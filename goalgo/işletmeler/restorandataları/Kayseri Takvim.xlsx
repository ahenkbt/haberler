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def Liste" sheetId="1" r:id="rId4"/>
    <sheet state="visible" name="Takvim" sheetId="2" r:id="rId5"/>
    <sheet state="visible" name="import" sheetId="3" r:id="rId6"/>
    <sheet state="visible" name="Durum Parametreler" sheetId="4" r:id="rId7"/>
    <sheet state="visible" name="özet" sheetId="5" r:id="rId8"/>
  </sheets>
  <definedNames>
    <definedName hidden="1" localSheetId="2" name="_xlnm._FilterDatabase">import!$A$1:$Q$785</definedName>
    <definedName hidden="1" localSheetId="0" name="Z_2AFBCE81_70E2_4642_AA0D_5BDE19FDDCA7_.wvu.FilterData">'Hedef Liste'!$A$1:$AA$279</definedName>
    <definedName hidden="1" localSheetId="0" name="Z_162B8A1B_EA35_47D1_BBEE_6D8E5483E043_.wvu.FilterData">'Hedef Liste'!$A$1:$AA$279</definedName>
    <definedName hidden="1" localSheetId="0" name="Z_C94DFAC9_FA99_47DF_B055_30BC37DBA3B6_.wvu.FilterData">'Hedef Liste'!$A$1:$AQ$547</definedName>
    <definedName hidden="1" localSheetId="0" name="Z_FB98E829_DD7B_4C89_A968_BCED1FBEB4BE_.wvu.FilterData">'Hedef Liste'!$A$1:$AO$335</definedName>
    <definedName hidden="1" localSheetId="0" name="Z_6ECC639B_C101_4DC6_87A1_7DCB0EDB7742_.wvu.FilterData">'Hedef Liste'!$X$219</definedName>
    <definedName hidden="1" localSheetId="2" name="Z_A58F7F87_E105_4FC4_A245_3A897221D38F_.wvu.FilterData">import!$A$1:$Q$785</definedName>
    <definedName hidden="1" localSheetId="0" name="Z_FC18F716_8C44_4EB2_ADB0_F3FD89BB3587_.wvu.FilterData">'Hedef Liste'!$A$1:$AI$242</definedName>
    <definedName hidden="1" localSheetId="0" name="Z_035464A5_55D0_4A3A_9A1C_A573BC1D12CF_.wvu.FilterData">'Hedef Liste'!$X$83:$Y$84</definedName>
    <definedName hidden="1" localSheetId="0" name="Z_1B09383D_81DF_4322_9D91_8ED48E2CF70E_.wvu.FilterData">'Hedef Liste'!$A$1:$AQ$614</definedName>
    <definedName hidden="1" localSheetId="0" name="Z_962C69FA_5EA6_4F94_8922_939E5C4A684C_.wvu.FilterData">'Hedef Liste'!$A$1:$AO$296</definedName>
  </definedNames>
  <calcPr/>
  <customWorkbookViews>
    <customWorkbookView activeSheetId="0" maximized="1" windowHeight="0" windowWidth="0" guid="{2AFBCE81-70E2-4642-AA0D-5BDE19FDDCA7}" name="Filtre 5"/>
    <customWorkbookView activeSheetId="0" maximized="1" windowHeight="0" windowWidth="0" guid="{035464A5-55D0-4A3A-9A1C-A573BC1D12CF}" name="Filtre 4"/>
    <customWorkbookView activeSheetId="0" maximized="1" windowHeight="0" windowWidth="0" guid="{FC18F716-8C44-4EB2-ADB0-F3FD89BB3587}" name="Filtre 3"/>
    <customWorkbookView activeSheetId="0" maximized="1" windowHeight="0" windowWidth="0" guid="{6ECC639B-C101-4DC6-87A1-7DCB0EDB7742}" name="Filtre 2"/>
    <customWorkbookView activeSheetId="0" maximized="1" windowHeight="0" windowWidth="0" guid="{1B09383D-81DF-4322-9D91-8ED48E2CF70E}" name="Filtre 9"/>
    <customWorkbookView activeSheetId="0" maximized="1" windowHeight="0" windowWidth="0" guid="{A58F7F87-E105-4FC4-A245-3A897221D38F}" name="import"/>
    <customWorkbookView activeSheetId="0" maximized="1" windowHeight="0" windowWidth="0" guid="{C94DFAC9-FA99-47DF-B055-30BC37DBA3B6}" name="Filtre 8"/>
    <customWorkbookView activeSheetId="0" maximized="1" windowHeight="0" windowWidth="0" guid="{FB98E829-DD7B-4C89-A968-BCED1FBEB4BE}" name="Filtre 7"/>
    <customWorkbookView activeSheetId="0" maximized="1" windowHeight="0" windowWidth="0" guid="{962C69FA-5EA6-4F94-8922-939E5C4A684C}" name="Filtre 6"/>
    <customWorkbookView activeSheetId="0" maximized="1" windowHeight="0" windowWidth="0" guid="{162B8A1B-EA35-47D1-BBEE-6D8E5483E043}" name="Filtre 1"/>
  </customWorkbookViews>
  <pivotCaches>
    <pivotCache cacheId="0" r:id="rId9"/>
    <pivotCache cacheId="1" r:id="rId10"/>
  </pivotCaches>
</workbook>
</file>

<file path=xl/sharedStrings.xml><?xml version="1.0" encoding="utf-8"?>
<sst xmlns="http://schemas.openxmlformats.org/spreadsheetml/2006/main" count="19090" uniqueCount="4623">
  <si>
    <t>Restaurant ID</t>
  </si>
  <si>
    <t>Restoran
Adı</t>
  </si>
  <si>
    <t>Satışa
Açık Mı?</t>
  </si>
  <si>
    <t>Mutfak</t>
  </si>
  <si>
    <t>TOPLAM
SİPARİŞ</t>
  </si>
  <si>
    <t>SON 2 
HAFTA</t>
  </si>
  <si>
    <t>RESİMLİ
ÜRÜN</t>
  </si>
  <si>
    <t>RESİMSİZ
ÜRÜN</t>
  </si>
  <si>
    <t>TOPLAM
ÜRÜN</t>
  </si>
  <si>
    <t>Ratio</t>
  </si>
  <si>
    <t>Yetkili</t>
  </si>
  <si>
    <t>Telefon</t>
  </si>
  <si>
    <t>İLÇE</t>
  </si>
  <si>
    <t>MAHALLE</t>
  </si>
  <si>
    <t>ADRES</t>
  </si>
  <si>
    <t>Geleneksel
Zincir</t>
  </si>
  <si>
    <t>FOTOĞRAF SEGMENT</t>
  </si>
  <si>
    <t>Aradık Mı?</t>
  </si>
  <si>
    <t>Kendi Fotosu
Var</t>
  </si>
  <si>
    <t>Randevu 
Durumu</t>
  </si>
  <si>
    <t>Randevu
Alan</t>
  </si>
  <si>
    <t>Fotoğrafçı</t>
  </si>
  <si>
    <t>Not</t>
  </si>
  <si>
    <t>Randevu Alma 
Tarihi</t>
  </si>
  <si>
    <t>Randevu 
Tarihi</t>
  </si>
  <si>
    <t>Anket
Durum</t>
  </si>
  <si>
    <t>1. Arama</t>
  </si>
  <si>
    <t>1. Arama
Tarihi</t>
  </si>
  <si>
    <t>2. Arama</t>
  </si>
  <si>
    <t>2. Arama
Tarihi</t>
  </si>
  <si>
    <t>3. Arama</t>
  </si>
  <si>
    <t>3. Arama
Tarihi</t>
  </si>
  <si>
    <t>4. Arama</t>
  </si>
  <si>
    <t>4. Arama
Tarihi</t>
  </si>
  <si>
    <t>5. Arama</t>
  </si>
  <si>
    <t>5. Arama
Tarihi</t>
  </si>
  <si>
    <t>1. Arayan</t>
  </si>
  <si>
    <t>2. Arayan</t>
  </si>
  <si>
    <t>3. Arayan</t>
  </si>
  <si>
    <t>4. Arayan</t>
  </si>
  <si>
    <t>5. Arayan</t>
  </si>
  <si>
    <t>SY</t>
  </si>
  <si>
    <t>SY - Durum</t>
  </si>
  <si>
    <t>5ff2f522e5886ade7f95c664</t>
  </si>
  <si>
    <t>@'li Burger, Melikgazi (Fatih Mah.-İldem)</t>
  </si>
  <si>
    <t>Burger</t>
  </si>
  <si>
    <t>Ahmet Tiryakioğlu</t>
  </si>
  <si>
    <t>Melikgazi</t>
  </si>
  <si>
    <t>Gesi Fatih</t>
  </si>
  <si>
    <t>İldem Fatih Mah. Günsazak Cad. No:65/109 Melikgazi/KAYSERİ</t>
  </si>
  <si>
    <t>Franchise</t>
  </si>
  <si>
    <t>10 dk sonra// açmadı</t>
  </si>
  <si>
    <t>merkeze bağlı olduklarını belirtti</t>
  </si>
  <si>
    <t>Ulaşılamadı</t>
  </si>
  <si>
    <t>Görüşüldü</t>
  </si>
  <si>
    <t>Hatice Özer</t>
  </si>
  <si>
    <t>Mustafa Dursun</t>
  </si>
  <si>
    <t>60476b283ca27400207fbf26</t>
  </si>
  <si>
    <t>1991 Tarihi Ortaköy Kumpircisi, Talas (Mevlana Mah.)</t>
  </si>
  <si>
    <t>Sokak Lezzetleri</t>
  </si>
  <si>
    <t>Muammer Efe Bayrakdar</t>
  </si>
  <si>
    <t>Talas</t>
  </si>
  <si>
    <t>Mevlana</t>
  </si>
  <si>
    <t>Mevlana Mah. Bilge Kağan Cad. No:40, 38280 Talas/Kayseri</t>
  </si>
  <si>
    <t>Dönüş Yapacak</t>
  </si>
  <si>
    <t>açmadılar//açmadılar/ulaşılamıyor// malzemeleri henüz tam değil 3 ürünü var elinde tamamlayınca geri dönüş yapacak / meşgul çalıyor</t>
  </si>
  <si>
    <t>Enes Günal</t>
  </si>
  <si>
    <t>609523a9cdfc10ad229f0016</t>
  </si>
  <si>
    <t>Abadan Cafe &amp; Restaurant &amp; Baklava, Kocasinan (Yeşil Mah.)</t>
  </si>
  <si>
    <t>Pasta &amp; Tatlı</t>
  </si>
  <si>
    <t>Muhammed Mustafa Duman</t>
  </si>
  <si>
    <t>Kocasinan</t>
  </si>
  <si>
    <t>Yeşil</t>
  </si>
  <si>
    <t>Yeşil Mah. Erkilet Blv. No:182 Kocasinan/KAYSERİ</t>
  </si>
  <si>
    <t>Randevu Alındı</t>
  </si>
  <si>
    <t>Ferhat Köksal</t>
  </si>
  <si>
    <t>Muzaffer Köprü</t>
  </si>
  <si>
    <t>12.30 gibi ararsanız eğer sizlere çok yardımcı olurum dedi//6-6,5 gibi ara dedi/1 saat sonra aranılcsk</t>
  </si>
  <si>
    <t>Tekrar Aranacak</t>
  </si>
  <si>
    <t>Simge Tüçay</t>
  </si>
  <si>
    <t>Selcan Topçu</t>
  </si>
  <si>
    <t>5fdc980a677179fbcebca723</t>
  </si>
  <si>
    <t>Abamın Yeri, Talas (Mevlana Mah.)</t>
  </si>
  <si>
    <t>Tost &amp; Sandviç</t>
  </si>
  <si>
    <t>Hatice Dirik</t>
  </si>
  <si>
    <t>Mevlana Mah., Papatya Cad., No:44/C Talas/Kayseri</t>
  </si>
  <si>
    <t>Zeliha Özer</t>
  </si>
  <si>
    <t>meşgule attı//yüzüme kapattı/açmadılar//aömadılar\ramazandan sonra aranacak//11 haziranda randevu oluşacak</t>
  </si>
  <si>
    <t>Eylem Ünal</t>
  </si>
  <si>
    <t>5fd2434c74b885204e058ea7</t>
  </si>
  <si>
    <t>Aboww Pizza Talas (Mevlana Mah.)</t>
  </si>
  <si>
    <t>Pizza</t>
  </si>
  <si>
    <t>Yaşar Üsten</t>
  </si>
  <si>
    <t>Mevlana, 6078. Sokak, 38250 Talas/Kayseri</t>
  </si>
  <si>
    <t>Randevu İptal</t>
  </si>
  <si>
    <t>Hatem Soyaslan</t>
  </si>
  <si>
    <t>Feyza Yıldırım</t>
  </si>
  <si>
    <t>açmadı/açmadılar/açmadılar\\açmıyor//ÜSTEKİYLE AYNI YETKİLİ</t>
  </si>
  <si>
    <t>61e903e12f86de2d69cd7435</t>
  </si>
  <si>
    <t>Acıyaman Çiğ Köfte, Kocasinan (Sahabiye Mah.)</t>
  </si>
  <si>
    <t>Çiğ Köfte</t>
  </si>
  <si>
    <t>Abdulmenaf Mendi</t>
  </si>
  <si>
    <t>Serçeönü</t>
  </si>
  <si>
    <t>Sahabiye Mah. Çankaya Cad. No:9/E Kocasinan/KAYSERİ</t>
  </si>
  <si>
    <t>60e4210f3dc05857257bd751</t>
  </si>
  <si>
    <t>Acıyaman Çiğ Köfte, Melikgazi (Bahçelievler Mah.)</t>
  </si>
  <si>
    <t>Serdar Burak Karaca</t>
  </si>
  <si>
    <t>Bahçelievler</t>
  </si>
  <si>
    <t>Bahçelievler Mah. Kocasinan 2. Cad. No:13/D Melikgazi/KAYSERİ</t>
  </si>
  <si>
    <t xml:space="preserve">fotoğrafçı işten çıktığı için iptal oldu </t>
  </si>
  <si>
    <t>Betül Demir</t>
  </si>
  <si>
    <t>61b8d603e492d21fa9d22c12</t>
  </si>
  <si>
    <t>Acıyaman Çiğ Köfte, Melikgazi (Fatih Mah.-İldem - 2354. Sok.)</t>
  </si>
  <si>
    <t>Mehmet Eldaş</t>
  </si>
  <si>
    <t>Gesi Fatih Mah. 2354. Sok. No:10/C Melikgazi/KAYSERİ</t>
  </si>
  <si>
    <t>Restoran Silindi</t>
  </si>
  <si>
    <t xml:space="preserve">restorantı kapatmışlar </t>
  </si>
  <si>
    <t>61bc76b2cfa49e2f7163db46</t>
  </si>
  <si>
    <t>Acıyaman Çiğ Köfte, Melikgazi (Fatih Mah.-İldem)</t>
  </si>
  <si>
    <t>Turgut Aras</t>
  </si>
  <si>
    <t>Gesi Fatih Mah. Uygar Sok. No:26/B Melikgazi/KAYSERİ</t>
  </si>
  <si>
    <t>Hacı Baba Lale</t>
  </si>
  <si>
    <t>620bd78cdf3d594c19d20b28</t>
  </si>
  <si>
    <t>Acıyaman Çiğ Köfte, Melikgazi (Kılıçaslan Mah.)</t>
  </si>
  <si>
    <t>Ertuğrulhan Öztürkoğlu</t>
  </si>
  <si>
    <t>Kılıçaslan</t>
  </si>
  <si>
    <t>Kılıçaslan Mah. Sivas Blv. No:62/F Melikgazi/KAYSERİ</t>
  </si>
  <si>
    <t>Yurdagül Kulaksız</t>
  </si>
  <si>
    <t>6130c94e1e3f4b837f22a193</t>
  </si>
  <si>
    <t>Acıyaman Çiğ Köfte, Melikgazi (Köşk Mah.)</t>
  </si>
  <si>
    <t>Barış Arslan</t>
  </si>
  <si>
    <t>Köşk</t>
  </si>
  <si>
    <t>Köşk Mah. Çakır Sok. No:9/B Melikgazi/KAYSERİ</t>
  </si>
  <si>
    <t>İleride Randevu Alınacak</t>
  </si>
  <si>
    <t xml:space="preserve">daha sonra arancak / babası ameliyat olmuş daha sonra aranabilir / babası vefat etmiş daha sonra görüşelim dedi </t>
  </si>
  <si>
    <t>6110430691aca476a6279eb4</t>
  </si>
  <si>
    <t>Acıyaman Çiğ Köfte, Melikgazi (Yeşilyurt Mah.-İldem)</t>
  </si>
  <si>
    <t>MELİKE ŞULE ÖZMEN</t>
  </si>
  <si>
    <t>Yeşilyurt</t>
  </si>
  <si>
    <t>Yeşilyurt Mah.2776. Sok. A-Blok D25 Apt. No:47/B Melikgazi/KAYSERİ</t>
  </si>
  <si>
    <t>Sude Alkan</t>
  </si>
  <si>
    <t xml:space="preserve">perihan </t>
  </si>
  <si>
    <t>61a8d5d02c33a9fb4f2e0b8e</t>
  </si>
  <si>
    <t>Rukiye Yılmaz</t>
  </si>
  <si>
    <t>Yeşilyurt Mah. 2776. Sok. No:47/B Melikgazi/KAYSERİ</t>
  </si>
  <si>
    <t>Başka Şubeden Çekilecek</t>
  </si>
  <si>
    <t>61e14231e2b19c723200d4aa</t>
  </si>
  <si>
    <t>Acıyaman Çiğ Köfte, Talas (Mevlana Mah.)</t>
  </si>
  <si>
    <t>Özgür Bektaş</t>
  </si>
  <si>
    <t>Mevlana Mah. Halef Hoca Cad. No:70/D Talas/KAYSERİ</t>
  </si>
  <si>
    <t>Sistemden Çıkmak İstiyor</t>
  </si>
  <si>
    <t xml:space="preserve">sistemden çıkmak istediğini belirtti  </t>
  </si>
  <si>
    <t>61f8203ce7f2725c65d56b31</t>
  </si>
  <si>
    <t>Acıyaman Çiğköfte, Melikgazi (Yeniköy Mah.)</t>
  </si>
  <si>
    <t>Hülya Bayram</t>
  </si>
  <si>
    <t>Yeniköy</t>
  </si>
  <si>
    <t>Yeniköy Mah. Bülbül Cad. No:8/A Melikgazi/KAYSERİ</t>
  </si>
  <si>
    <t>5fdb9cf9521daf8d68679514</t>
  </si>
  <si>
    <t>Acil Pizza Pide Lahmacun, Talas (Tablakaya Mah.)</t>
  </si>
  <si>
    <t>Mustafa Okan Demirci</t>
  </si>
  <si>
    <t>Tablakaya</t>
  </si>
  <si>
    <t>Tablakaya mh talas kayseri</t>
  </si>
  <si>
    <t>açmadı/düşünmüyolarmış</t>
  </si>
  <si>
    <t>6166e31190a1b0c4cdd796d7</t>
  </si>
  <si>
    <t>Aç Geldim Pide &amp; Lahmacun, Talas (Mevlana Mah.)</t>
  </si>
  <si>
    <t>Pide</t>
  </si>
  <si>
    <t>Yasin Kösem</t>
  </si>
  <si>
    <t>Mevlana Mah. Bademli Cad. No:2/A Talas/KAYSERİ</t>
  </si>
  <si>
    <t>Çekim İstemiyor</t>
  </si>
  <si>
    <t xml:space="preserve">istemedi gerek yok dedi  </t>
  </si>
  <si>
    <t>61cc7a6ed0f64b3ca7a85762</t>
  </si>
  <si>
    <t>Ada Döner, Kocasinan (Hacı Saki Mah.)</t>
  </si>
  <si>
    <t>Döner</t>
  </si>
  <si>
    <t>Ali Aktay</t>
  </si>
  <si>
    <t>Hacı Saki</t>
  </si>
  <si>
    <t>Hacı Saki Mah. Atatürk Blv. No:29/B Kocasinan/KAYSERİ</t>
  </si>
  <si>
    <t>5fda06ff8e3739fd3a13204a</t>
  </si>
  <si>
    <t>Ada Tost, Kocasinan (Mevlana Mah.)</t>
  </si>
  <si>
    <t>Ahmet Lütfullah Dirican</t>
  </si>
  <si>
    <t>Plevne</t>
  </si>
  <si>
    <t>Mevlana Mah. Barış Manço Cad. No:8/B Kocasinan Kayseri</t>
  </si>
  <si>
    <t>Senanur Çınar</t>
  </si>
  <si>
    <t>60e5b7c557031a248f0d2c1c</t>
  </si>
  <si>
    <t>Ada Tost, Melikgazi (Kılıçaslan Mah.)</t>
  </si>
  <si>
    <t>Mehmet Ali Çetin</t>
  </si>
  <si>
    <t>Kılıçaslan Mah. Şht. Ütğm. Mustafa Şimşek Blv. No:41/B Melikgazi/KAYSERİ</t>
  </si>
  <si>
    <t xml:space="preserve">öğleden sonra 2 gibi arayın der / kendi fotoğrafları varmış mail atacak </t>
  </si>
  <si>
    <t>6227a4948eff0032b06d42b7</t>
  </si>
  <si>
    <t>Gökhan Derin</t>
  </si>
  <si>
    <t xml:space="preserve">dükkan devir aşamasında panelin açılmasını bekliyorum  - ramazan sonra yapalım </t>
  </si>
  <si>
    <t>5fda0d214a5aa19b40da7467</t>
  </si>
  <si>
    <t>Ada Tost, Talas (Mevlana Mah.)</t>
  </si>
  <si>
    <t>Serdar Yargı</t>
  </si>
  <si>
    <t>Mevlana, Fildişi Sk. No: 30/ A, 38280 Talas/Kayseri</t>
  </si>
  <si>
    <t xml:space="preserve">diğer şube ile randevu ayarlnamış ordan </t>
  </si>
  <si>
    <t>6192251d4e902f570f793b74</t>
  </si>
  <si>
    <t>Adıger Çiğ Köfte, Melikgazi (Fatih Mah. - İldem)</t>
  </si>
  <si>
    <t>Hikmet Karatepe</t>
  </si>
  <si>
    <t>Gesi Fatih Mah. 2351. Sok. No:5/A Melikgazi/KAYSERİ</t>
  </si>
  <si>
    <t>BlackList</t>
  </si>
  <si>
    <t xml:space="preserve">bir daha alınmasın </t>
  </si>
  <si>
    <t>623e17df82283e1aa18ccb06</t>
  </si>
  <si>
    <t>Adıyaman Ciğ Köftecisi Bayram Usta, (Hoca Ahmet Yesevi Mah.)</t>
  </si>
  <si>
    <t>Abdullah Çakırbeyli</t>
  </si>
  <si>
    <t>Hoca Ahmet Yesevi</t>
  </si>
  <si>
    <t>Hoca Ahmet Yesevi Mah. Kaman 1. Sok. No:11/A Kocasinan/KAYSERİ</t>
  </si>
  <si>
    <t>61f822875bb75953ca722175</t>
  </si>
  <si>
    <t>Adıyaman Çiğ Köftecisi Bayram Usta, (Erkilet Ertuğrul Gazi Mah.)</t>
  </si>
  <si>
    <t>Orhan Tezcan</t>
  </si>
  <si>
    <t>Dere</t>
  </si>
  <si>
    <t>Ertuğrul Gazi Mah. Pusula Cad. No:8/C Kocasinan/KAYSERİ</t>
  </si>
  <si>
    <t>614a1fd8ade6451dc4787606</t>
  </si>
  <si>
    <t>Adıyaman Çiğ Köftecisi Bayram Usta, (Erkilet Osman Gazi Mah.)</t>
  </si>
  <si>
    <t>Mustafa Kaplan</t>
  </si>
  <si>
    <t>Osmangazi</t>
  </si>
  <si>
    <t>Osmangazi Mah. 54. Sok. No:29/B Kocasinan/KAYSERİ</t>
  </si>
  <si>
    <t xml:space="preserve">devam çekimi alındı </t>
  </si>
  <si>
    <t>6006a6da3c42003af6bef424</t>
  </si>
  <si>
    <t>Adıyaman Çiğ Köftecisi Bayram Usta, (Yeşilyurt Mah.-İldem)</t>
  </si>
  <si>
    <t>Özlem arı</t>
  </si>
  <si>
    <t>Yeşilyurt Mah. 2357. Cad. B Blok(D17) No:37/C Melikgazi/KAYSERİ</t>
  </si>
  <si>
    <t>614a1ab51cc882677b63dd31</t>
  </si>
  <si>
    <t>Adıyaman Çiğ Köftecisi Bayram Usta, Kocasinan (Beyazşehir Mah.)</t>
  </si>
  <si>
    <t>Büşra Tekmanlı</t>
  </si>
  <si>
    <t>Beyazşehir</t>
  </si>
  <si>
    <t>Beyazşehir Mah. 825. Sok. No:22/E Kocasinan/KAYSERİ</t>
  </si>
  <si>
    <t>Mesut Bey 5534434688</t>
  </si>
  <si>
    <t>60422696b826f0d63b306be6</t>
  </si>
  <si>
    <t>Adıyaman Çiğ Köftecisi Bayram Usta, Kocasinan (Sümer Mah.)</t>
  </si>
  <si>
    <t>Ahmet Diri</t>
  </si>
  <si>
    <t>Sümer</t>
  </si>
  <si>
    <t>Sümer Mah. 11.Cad. No:4/B Kocasinan/KAYSERİ</t>
  </si>
  <si>
    <t>61bc6fe34ae455c0386d1bf4</t>
  </si>
  <si>
    <t>Adıyaman Çiğ Köftecisi Bayram Usta, Melikgazi (Fatih Mah.-İldem)</t>
  </si>
  <si>
    <t>Doğuş Bak</t>
  </si>
  <si>
    <t>Gesi Fatih Mah. İhlas Sok. No:16/B Melikgazi/KAYSERİ</t>
  </si>
  <si>
    <t>61fc2d91b572d22bc0a6acfe</t>
  </si>
  <si>
    <t>Ömer Faruk Demirkoparan</t>
  </si>
  <si>
    <t>61a8dcde392c8abc8fb07615</t>
  </si>
  <si>
    <t>Adıyaman Çiğ Köftecisi Bayram Usta, Melikgazi(Bahçelievler Mah.)</t>
  </si>
  <si>
    <t>Berkay Kenan Çelik</t>
  </si>
  <si>
    <t>Bahçelievler Mah. Kocasinan 2. Cad. No:8/F Melikgazi/KAYSERİ</t>
  </si>
  <si>
    <t xml:space="preserve">panelde fotoğrafları var </t>
  </si>
  <si>
    <t>6242271b4adec638e6f07a11</t>
  </si>
  <si>
    <t>Adıyaman Çiğ Köftecisi Bayram Usta, Talas (Mevlana Mah.)</t>
  </si>
  <si>
    <t>BERAT BURHAN KÖSE</t>
  </si>
  <si>
    <t>Mevlana Mah. Taslak Sok. No:2/B Talas/KAYSERİ</t>
  </si>
  <si>
    <t>618a7701adfb063b750bb16a</t>
  </si>
  <si>
    <t>Adıyaman Çiğ Köftecisi Bayram Usta, Talas (Yenidoğan Mah.)</t>
  </si>
  <si>
    <t>Yunus Emre Erdoğan</t>
  </si>
  <si>
    <t>Yenidoğan</t>
  </si>
  <si>
    <t>Yenidoğan Mah. Çimenli Cad. No:35/C Talas/KAYSERİ</t>
  </si>
  <si>
    <t>61d53a98874a59f37ed67c4c</t>
  </si>
  <si>
    <t>Adıyaman Çiğ Köftecisi Ömer Aybak, Melikgazi (Köşk Mah.)</t>
  </si>
  <si>
    <t>Bilal Sarıoğlu</t>
  </si>
  <si>
    <t>Köşk Mah. Kışla Cad. No:52 Sosyete Pazarı Melikgazi/KAYSERİ</t>
  </si>
  <si>
    <t>610d27657ea705a07e2d4b6c</t>
  </si>
  <si>
    <t>Adıyaman Çiğköfte Yeri, Melikgazi (Esentepe Mah.)</t>
  </si>
  <si>
    <t>Yasemin Karaca</t>
  </si>
  <si>
    <t>Esentepe</t>
  </si>
  <si>
    <t>Esentepe Mah. 981. Sok. No:3/B Melikgazi/KAYSERİ</t>
  </si>
  <si>
    <t>keykubat mah kuyu caddesi no 14/a</t>
  </si>
  <si>
    <t>5fdb2adb1e128f82cb8143c9</t>
  </si>
  <si>
    <t>Adıyaman Çiğköftecisi Bayram Usta, Kocasinan(Fevziçakmak Mah.)</t>
  </si>
  <si>
    <t>Ersin Pugar</t>
  </si>
  <si>
    <t>Fevzi Çakmak</t>
  </si>
  <si>
    <t>Sivas bulvarı, defne apt., A Blok No:63 B</t>
  </si>
  <si>
    <t>açmadı</t>
  </si>
  <si>
    <t>5fda33ef2eff062b2f202ec3</t>
  </si>
  <si>
    <t>Adıyaman Çiğköftecisi Bayram Usta, Kocasinan(Mimarsinan Mah.)</t>
  </si>
  <si>
    <t>Hakan Yıldırım</t>
  </si>
  <si>
    <t>Alpaslan</t>
  </si>
  <si>
    <t>Mimar Sinan Mah., Sivas Bulvarı, No:165/A</t>
  </si>
  <si>
    <t>yt yok akşam gelir dedi.</t>
  </si>
  <si>
    <t>61a8d8e82c7e5b4d44e5e19f</t>
  </si>
  <si>
    <t>Adıyaman Tadımca Çiğ Köfte, Melikgazi (Keykubat Mah.)</t>
  </si>
  <si>
    <t>Nazif Burak Kiraz</t>
  </si>
  <si>
    <t>Keykubat</t>
  </si>
  <si>
    <t>Keykubat Mah. Anafartalar Cad. No:137/E Melikgazi/KAYSERİ</t>
  </si>
  <si>
    <t>5fd3687e373158a727a55d19</t>
  </si>
  <si>
    <t>Adıyörem Çiğ Köfte Talas (Mevlana Mah.-Halef Hoca Cad.)</t>
  </si>
  <si>
    <t>Servet Kartal</t>
  </si>
  <si>
    <t>Mevlana mh. Halef Hoca cad. No: 72/E</t>
  </si>
  <si>
    <t>frencheise</t>
  </si>
  <si>
    <t>5fd62e55e1bbde69651130d5</t>
  </si>
  <si>
    <t>Adıyörem Çiğ Köfte Talas (Mevlana Mah.-Mehmet Timuçin Cad.)</t>
  </si>
  <si>
    <t>Yakup Emre Şahin</t>
  </si>
  <si>
    <t>Mevlana Mah Mehmet Timuçin CD PRS 553/1, NO 22/H/7 Tevfik Ziya Ap. Talas/Kayseri</t>
  </si>
  <si>
    <t>6040a80fa64e330bc44e2965</t>
  </si>
  <si>
    <t>Adıyörem Çiğ Köfte, Kocasinan (Ahi Evran Mah.)</t>
  </si>
  <si>
    <t>Özlem Sural</t>
  </si>
  <si>
    <t>Ahi Evran</t>
  </si>
  <si>
    <t>Ahi Evran Mah. 410. Sok. No:19/B Kocasinan/KAYSERİ</t>
  </si>
  <si>
    <t>62276346c6158d1ea0c8f1f4</t>
  </si>
  <si>
    <t>Adıyörem Çiğ Köfte, Kocasinan (Erkilet General Emir Mah.)</t>
  </si>
  <si>
    <t>Emine Kılıç</t>
  </si>
  <si>
    <t>General Emir</t>
  </si>
  <si>
    <t>Erkilet General Emir Mah. No:2/D Kocasinan/KAYSERİ</t>
  </si>
  <si>
    <t xml:space="preserve">ben ustama sorup dönüş sağlarım dedi  - eşi talat beyden randevu alındı </t>
  </si>
  <si>
    <t>5ff32040ee0f721a2ea8e2c2</t>
  </si>
  <si>
    <t>Adıyörem Çiğ Köfte, Kocasinan (Yavuzselim Mah.)</t>
  </si>
  <si>
    <t>Gökan Süslü</t>
  </si>
  <si>
    <t>Yavuz Selim</t>
  </si>
  <si>
    <t>Yavuzselim Mah. 727.Sok. No:14/F Kocasinan/KAYSERİ</t>
  </si>
  <si>
    <t>617fb86313c1432da8d083af</t>
  </si>
  <si>
    <t>Adıyörem Çiğ Köfte, Melikgazi (Cumhuriyet Mah.)</t>
  </si>
  <si>
    <t>Yusuf Acar</t>
  </si>
  <si>
    <t>Cumhuriyet</t>
  </si>
  <si>
    <t>Cumhuriyet Mah. Ulu Camii Cad. No:1/D Melikgazi/KAYSERİ</t>
  </si>
  <si>
    <t>607eea6f5d6f24b7c39d97ad</t>
  </si>
  <si>
    <t>Adıyörem Çiğ Köfte, Melikgazi (Fatih Mah. - İldem)</t>
  </si>
  <si>
    <t>Aygül Yıldız</t>
  </si>
  <si>
    <t>Gesi Fatih Mah. Saffet Arıkan Bedük Cad. No:61/C Melikgazi/KAYSERİ</t>
  </si>
  <si>
    <t>61c4f43a8fa144fc1c51e4e7</t>
  </si>
  <si>
    <t>Adıyörem Çiğ Köfte, Melikgazi (Yeniköy Mah.)</t>
  </si>
  <si>
    <t>Kadir Pınarbaşı</t>
  </si>
  <si>
    <t>Yeniköy Mah. Zeren Cad. No:26/B Melikgazi/KAYSERİ</t>
  </si>
  <si>
    <t>60e4616f013efed83d8a3623</t>
  </si>
  <si>
    <t>Adıyörem Çiğ Köfte, Talas (Harman Mah.)</t>
  </si>
  <si>
    <t>Neriman Çolak</t>
  </si>
  <si>
    <t>Harman</t>
  </si>
  <si>
    <t>Harman Mah. Tepebağlar Cad. No:1/F Talas/KAYSERİ</t>
  </si>
  <si>
    <t>60ec00a213140085b57b3e85</t>
  </si>
  <si>
    <t>Adıyörem Çiğ Köfte, Talas (Mevlana / Turgut Özal)</t>
  </si>
  <si>
    <t>MURAT CAN KAHRAMAN</t>
  </si>
  <si>
    <t>Mevlana Mah. Turgut Özal Cad. No:43/F Talas/KAYSERİ</t>
  </si>
  <si>
    <t>6156dc7ce1feb74499d69501</t>
  </si>
  <si>
    <t>Adıyörem Çiğ Köfte, Talas (Yenidoğan Mah.)</t>
  </si>
  <si>
    <t>Musa Tığ</t>
  </si>
  <si>
    <t>Yenidoğan Mah. Timuçin Cad. No:5/B Talas/KAYSERİ</t>
  </si>
  <si>
    <t>61d563a0b2d3e01f4016aa8a</t>
  </si>
  <si>
    <t>Adil Usta Kadayıf &amp; Baklava, Melikgazi (Esenyurt Mah.)</t>
  </si>
  <si>
    <t>Mehmet Atar</t>
  </si>
  <si>
    <t>Nurihas</t>
  </si>
  <si>
    <t>Esenyurt Mah. Yavuz Cad. No:15/A Melikgazi/Kayseri</t>
  </si>
  <si>
    <t>büyük menderes caddesi no  41</t>
  </si>
  <si>
    <t>5ff49fd7f0267c0c9c146509</t>
  </si>
  <si>
    <t>Adiloğlu Cafe &amp; Pastane, Kocasinan (Erkilet Camiikebir Mah.)</t>
  </si>
  <si>
    <t>Yılmaz Ergin</t>
  </si>
  <si>
    <t>Camikebir</t>
  </si>
  <si>
    <t>Camikebir mah. Zihniye Baykan Cad. No:5/C Kocasinan/KAYSERİ</t>
  </si>
  <si>
    <t>mustafa bey 05322311551</t>
  </si>
  <si>
    <t>61c9c23fd8a7637c2329c94d</t>
  </si>
  <si>
    <t>Ahbap'ss Köfte &amp; Islak Hamburger, Talas (Mevlana Mah.)</t>
  </si>
  <si>
    <t>Ali Şaş</t>
  </si>
  <si>
    <t>Mevlana Mah. 15 Temmuz Cad. No:6/A Talas/KAYSERİ</t>
  </si>
  <si>
    <t>yetkili yokmuş gelince dönecek</t>
  </si>
  <si>
    <t>Yetkili Yok</t>
  </si>
  <si>
    <t>5fd22d23da5e216be008e307</t>
  </si>
  <si>
    <t>Ahbap'ss Köfte &amp; Islak Hamburger, Talas (Yenidoğan Mah.)</t>
  </si>
  <si>
    <t>Selim dirik</t>
  </si>
  <si>
    <t>Yenidoğan Mah. Atatürk Blv. No:15/C Talas/KAYSERİ</t>
  </si>
  <si>
    <t>Emre Dalgıç</t>
  </si>
  <si>
    <t>RANDEVU İSTİYOR- çekime gerek yok dedi /kendi fotoğraflarını iletecekler.</t>
  </si>
  <si>
    <t>616007115e2ddfecae83e3f7</t>
  </si>
  <si>
    <t>Aksu Tantuni &amp; Ciğer, Kocasinan (Erkilet Ertuğrul Gazi Mah.)</t>
  </si>
  <si>
    <t>Ahmet Aksu</t>
  </si>
  <si>
    <t>Erkilet 100.yıl</t>
  </si>
  <si>
    <t>Ertuğrul Gazi Mah. 4341. Sok. No:19/C Kocasinan/KAYSERİ</t>
  </si>
  <si>
    <t xml:space="preserve">istemiyorum sağolun dedi </t>
  </si>
  <si>
    <t>607d9ab041375f5f5dd89094</t>
  </si>
  <si>
    <t>Alaçatı Muhallebicisi, Talas (Yenidoğan Mah.)</t>
  </si>
  <si>
    <t>CANER İZGİ</t>
  </si>
  <si>
    <t>Yenidoğan Mah. Atatürk Blv. No:9/D Talas/KAYSERİ</t>
  </si>
  <si>
    <t>Ezgi Turan</t>
  </si>
  <si>
    <t>TEYİT İÇİN ARANDI MÜSAİT DEĞİLİM DEDİ</t>
  </si>
  <si>
    <t>5fd35e75d0cd4b74a1538d1a</t>
  </si>
  <si>
    <t>Albina Restoran Talas (Mevlana)</t>
  </si>
  <si>
    <t>Kahvaltı</t>
  </si>
  <si>
    <t>Kaan Nart</t>
  </si>
  <si>
    <t>Mevlana Mah. Elçibey Cad. No: 18 B</t>
  </si>
  <si>
    <t xml:space="preserve">mail atıcak - devir etme durumum var dedi / işletme kapanmış </t>
  </si>
  <si>
    <t>61caf53dab56abfc5c9ff680</t>
  </si>
  <si>
    <t>Alem Tantuni, Talas (Tablakaya Mah.)</t>
  </si>
  <si>
    <t>Oğulcan Reyhan</t>
  </si>
  <si>
    <t>Tablakaya Mah. 6181 Sok. No:18/A Talas/KAYSERİ</t>
  </si>
  <si>
    <t>61bde2ce8cdd9479f51c8d2b</t>
  </si>
  <si>
    <t>Ali Rıza Usta, Talas (Mevlana Mah.)</t>
  </si>
  <si>
    <t>Elif Tamer</t>
  </si>
  <si>
    <t>Mevlana Mah. Velioğlu Cad. Kaya 1 Sok. No:3/F TALAS/KAYSERİ</t>
  </si>
  <si>
    <t>şu anda böyle bir hazırlık yapamayız dedi</t>
  </si>
  <si>
    <t>Ayşegül Kır</t>
  </si>
  <si>
    <t>61e90a900dd67f91d7076e54</t>
  </si>
  <si>
    <t>Almina Döner &amp; Kahvaltı, Kocasinan (Sanayi Mah.)</t>
  </si>
  <si>
    <t>Bayram Kurudirek</t>
  </si>
  <si>
    <t>Sanayi</t>
  </si>
  <si>
    <t>Sanayi Mah. 6011. Cad. No:7 Kocasinan/KAYSERİ</t>
  </si>
  <si>
    <t>sahabiye mah. mete cad. no:3 öğretmenevi ilerisi</t>
  </si>
  <si>
    <t>61f2d139e82b61735e4c6282</t>
  </si>
  <si>
    <t>Altın Bahçe, Melikgazi (Hunat Mah.)</t>
  </si>
  <si>
    <t>Teslime Orhan</t>
  </si>
  <si>
    <t>Hunat</t>
  </si>
  <si>
    <t>Hunat Mah. Zenneci Sok. No:27/A Melikgazi/KAYSERİ</t>
  </si>
  <si>
    <t>5ffc3779f11235c874af955c</t>
  </si>
  <si>
    <t>Altın Kebap, Melikgazi (Cumhuriyet Mah.-İldem)</t>
  </si>
  <si>
    <t>Yıldıray Altıntaş</t>
  </si>
  <si>
    <t>İldem Cumhuriyet Mah. Saffet Arıkan Bedük Cad. No:42/B Melikgazi/KAYSERİ</t>
  </si>
  <si>
    <t>henüz getiri kullanmaya başlamamış.//açmadı// biz çekime gerek duymuyoruz yoğunuz der</t>
  </si>
  <si>
    <t>5feae4334f55ab51149d0c40</t>
  </si>
  <si>
    <t>Altın Köşk Döner, Melikgazi (Hürriyet Mah.)</t>
  </si>
  <si>
    <t>Meryem Çapar</t>
  </si>
  <si>
    <t>Çorakçılar</t>
  </si>
  <si>
    <t>Kemeraltı Mah. Sokullu Cad. İpek Apt. No:63/C Melikgazi/KAYSERİ</t>
  </si>
  <si>
    <t>yogunuz dedi kapatı</t>
  </si>
  <si>
    <t>60c4d7641c70c80e683d063c</t>
  </si>
  <si>
    <t>Altınköşe Kebab Salonu, Melikgazi (Aydınlıkevler Mah.)</t>
  </si>
  <si>
    <t>Kebap</t>
  </si>
  <si>
    <t>Şaban Türkmen</t>
  </si>
  <si>
    <t>Hürriyet</t>
  </si>
  <si>
    <t>Aydınlıkevler Mah. Cengiz Topel Cad. No:40 Melikgazi/KAYSERİ</t>
  </si>
  <si>
    <t xml:space="preserve">ürünü çıkarmam çok mailyetli olu dedi ben çekerim dedi </t>
  </si>
  <si>
    <t>60e41b0a12b96a79c9478889</t>
  </si>
  <si>
    <t>Ana Tokyat, Melikgazi (Fatih Mah. - İldem)</t>
  </si>
  <si>
    <t>Alim Akkoyun</t>
  </si>
  <si>
    <t>Gesi Fatih Mah. Gün Sazak Cad. No:47/A Melikgazi/KAYSERİ</t>
  </si>
  <si>
    <t xml:space="preserve">babası ile konuşup dönüş yapacak </t>
  </si>
  <si>
    <t>fotografcı işten cıktıgı ıcın ıptal oldu/MUSAIT DEGILLER</t>
  </si>
  <si>
    <t>60b912e01a727901c7f1ebd0</t>
  </si>
  <si>
    <t>Anadolu Et Lokantası, Kocasinan (Gevhernesibe Mah.)</t>
  </si>
  <si>
    <t>Doğuş Vural</t>
  </si>
  <si>
    <t>Gevher Nesibe</t>
  </si>
  <si>
    <t>Gevher Nesibe Mah. Gür Sok. No:9/A Kocasinan/KAYSERİ</t>
  </si>
  <si>
    <t>TEYİT İÇİN ARANDI GERÇEKLEŞTİ</t>
  </si>
  <si>
    <t>622f51e84d8a31861996c467</t>
  </si>
  <si>
    <t>Ananın Yeri, Kocasinan (Hoca Ahmet Yesevi Mah.)</t>
  </si>
  <si>
    <t>Mehmet Özdin</t>
  </si>
  <si>
    <t>Hoca Ahmet Yesevi Mah. Mustafa Kemal Paşa Blv. No:300/A Kocasinan/KAYSERİ</t>
  </si>
  <si>
    <t xml:space="preserve">ramazan ayının 2. haftası istiyor / bayramdan sonra istedi </t>
  </si>
  <si>
    <t>5fe5ae8f8d4d71316bae18bc</t>
  </si>
  <si>
    <t>Anayurt Köşk, Talas (Mevlana Mah.)</t>
  </si>
  <si>
    <t>Emin Hançer</t>
  </si>
  <si>
    <t>Mevlana Mah. Halef Hoca Cad. No:61/A Talas/KAYSERİ</t>
  </si>
  <si>
    <t>açmadılar//açmadılar\\açmıyorr\açmadı/randevu alındı//TEYİT İÇİN ARANDI YET YOK</t>
  </si>
  <si>
    <t>5fd9ce23a908bd05347a38a3</t>
  </si>
  <si>
    <t>Anayurt1 Köşk, Melikgazi (Kılıçaslan Mah.)</t>
  </si>
  <si>
    <t>Serkan Adıyaman</t>
  </si>
  <si>
    <t>Kılıçaslan Mah. Sivas Blv. No.86D Çınar Apt. Altı, 38030 Melikgazi/Kayseri</t>
  </si>
  <si>
    <t>Nazmiye Yuka</t>
  </si>
  <si>
    <t>iptalin yerine alındı//TEYİT İÇİN ARANDI GERÇEKLEŞTİ</t>
  </si>
  <si>
    <t>60a658460328fd47f789e62f</t>
  </si>
  <si>
    <t>Anayurt4 Köşk Kebap, Kocasinan (Barbaros Mah.)</t>
  </si>
  <si>
    <t>Ahmet Can Arslan</t>
  </si>
  <si>
    <t>Yunus Emre</t>
  </si>
  <si>
    <t>Yunus Emre Mah. Bağdat Cad. No:71/C Kocasinan/KAYSERİ</t>
  </si>
  <si>
    <t>Fotoğrafçı Hanifi KAtı//TEYİT İÇİN ARANDI GERÇEKLEŞMİŞ</t>
  </si>
  <si>
    <t>60e5d8d54a0c29934b6d658f</t>
  </si>
  <si>
    <t>Anılss Döner, Melikgazi (Keykubat Mah.)</t>
  </si>
  <si>
    <t>Ümit Arslan</t>
  </si>
  <si>
    <t>Sakarya</t>
  </si>
  <si>
    <t>Keykubat Mah. Şht. Büyükelçi İsmail Erez Blv. No:20/C Melikgazi/KAYSERİ</t>
  </si>
  <si>
    <t xml:space="preserve">5074527870 / fotoğrafları varmış </t>
  </si>
  <si>
    <t>61c1c391e2ed2feb24ca6538</t>
  </si>
  <si>
    <t>Annemin Mutfağı, Talas (Yenidoğan Mah.)</t>
  </si>
  <si>
    <t>Ev Yemekleri</t>
  </si>
  <si>
    <t>Hatice Gül Yıldız</t>
  </si>
  <si>
    <t>Yenidoğan Mah. Deliçay 1. Sok. No:10/B Talas/KAYSERİ</t>
  </si>
  <si>
    <t>kalan ürünleri çıkarmıyorum dedi</t>
  </si>
  <si>
    <t>62306320bbd66e817d8d1a9d</t>
  </si>
  <si>
    <t>Antep Baklava, Talas (Mevlana Mah.)</t>
  </si>
  <si>
    <t>Azizhan Şenen</t>
  </si>
  <si>
    <t>Mevlana Mah. Papatya Cad. Np:41/C Talas/KAYSERİ</t>
  </si>
  <si>
    <t xml:space="preserve">ulaşılamadı </t>
  </si>
  <si>
    <t>6113fa315c3a357bd2e9a2be</t>
  </si>
  <si>
    <t>Antep Baklavacısı &amp; Dondurma, Kocasinan (Beyazşehir Mah.)</t>
  </si>
  <si>
    <t>MERVENUR AKIL</t>
  </si>
  <si>
    <t>Beyazşehir Mah. 825. Sok. No:22 Kocasinan/KAYSERİ</t>
  </si>
  <si>
    <t>6228fa0f5405c88c6ce4d2e1</t>
  </si>
  <si>
    <t>Antep Baklavacısı Kamil Usta, Kocasinan (Mevlana Mah.)</t>
  </si>
  <si>
    <t>TEMEL KEPEZKAYA</t>
  </si>
  <si>
    <t>Kayseri Kocasinan Mevlana mah. Barış Manço cad. Plevne sok. 16/b</t>
  </si>
  <si>
    <t>Devir</t>
  </si>
  <si>
    <t>614a34058e1b3e1c5aa6ae65</t>
  </si>
  <si>
    <t>Antep Baklavacısı, Kocasinan (Fevziçakmak Mah.)</t>
  </si>
  <si>
    <t>Fevzi Çakmak Mah. Sivas Blv. No:89/B Kocasinan/KAYSERİ</t>
  </si>
  <si>
    <t xml:space="preserve">istemiyorum diyor / tşekkür ederim istemiyorum dedi </t>
  </si>
  <si>
    <t>603c90f487fccf3820d4f8d6</t>
  </si>
  <si>
    <t>Antep Baklavacısı, Melikgazi (Esenyurt Mah.)</t>
  </si>
  <si>
    <t>Esenyurt</t>
  </si>
  <si>
    <t>3 gibi ara / numarayı aradım geçici süreliğine kapalı/istemiyormuş gerek yok sağolun dedi/haftaya randevu oluşturulacak</t>
  </si>
  <si>
    <t>611b756be8611e47b811b7da</t>
  </si>
  <si>
    <t>Antep Baklavacısı, Melikgazi (Kazımkarabekir Mah.)</t>
  </si>
  <si>
    <t>Yakup Doğru</t>
  </si>
  <si>
    <t>Kazımkarabekir</t>
  </si>
  <si>
    <t>Kazımkarabekir Mah. Balveren Sok. No:30/A Melikgazi/KAYSERİ</t>
  </si>
  <si>
    <t>6042129a27aa2008ce59b5fd</t>
  </si>
  <si>
    <t>Antep Baklavacısı, Melikgazi (Keykubat Mah.)</t>
  </si>
  <si>
    <t>Özkan Dursun</t>
  </si>
  <si>
    <t>Keykubat Mah. İsmail Erez Blv. No:16/A Melikgazi/KAYSERİ</t>
  </si>
  <si>
    <t>05434088633 özkan bey /oses çiğköfteci antep baklavacısı</t>
  </si>
  <si>
    <t>6094e834ddbd4462ce8d91bf</t>
  </si>
  <si>
    <t>Antep Baklavacısı, Melikgazi (Kılıçaslan Mah.)</t>
  </si>
  <si>
    <t>Sivas Blv. No:46 A Kılıçaslan Mah. Melikgazi/Kayseri</t>
  </si>
  <si>
    <t>merkeze bağlılarmış</t>
  </si>
  <si>
    <t>623100b1c321a81edff22787</t>
  </si>
  <si>
    <t>Antep Baklavacısı, Melikgazi (Kocatepe Mah.)</t>
  </si>
  <si>
    <t>Yaşar Ateş</t>
  </si>
  <si>
    <t>Kocatepe</t>
  </si>
  <si>
    <t>Kocatepe Mah., 3025 Sok., No:37/A, Melikgazi, Kayseri</t>
  </si>
  <si>
    <t>60cae32bcbd319155babfccb</t>
  </si>
  <si>
    <t>Antep Baklavacısı, Talas (Mevlana Mah.)</t>
  </si>
  <si>
    <t>Halil Bayram</t>
  </si>
  <si>
    <t>Mevlana Mah., Papatya Cad., No:41, Talas, Kayseri, Türkiye,</t>
  </si>
  <si>
    <t>tatlıları mevcut değilöiş şu an 2 hafta sonra aranacak/dükkanı devredicem dedi.</t>
  </si>
  <si>
    <t>61c46e95b77575039df5c095</t>
  </si>
  <si>
    <t>Antep Eli Kebap &amp; Lahmacun, Talas (Yenidoğan Mah.)</t>
  </si>
  <si>
    <t>Lahmacun</t>
  </si>
  <si>
    <t>Önder Can</t>
  </si>
  <si>
    <t>Yenidoğan Mah. Timuçin Cad. No:23/B Talas/KAYSERİ</t>
  </si>
  <si>
    <t>ökkeş/5061251825</t>
  </si>
  <si>
    <t>5fdb614589603399c7eea587</t>
  </si>
  <si>
    <t>Antep Eli Lahmacun, Kocasinan (Sahabiye Mah.)</t>
  </si>
  <si>
    <t>Davut Çapan</t>
  </si>
  <si>
    <t>Sahabiye Mah. Ahmet Paşa Cad. 14/B Çiçek İş Merkezi Altı, 38100 Kocasinan/Kayseri</t>
  </si>
  <si>
    <t>5fde26cf3587c378d752ded5</t>
  </si>
  <si>
    <t>Antep-lim Gaziantep Baklavaları, Talas (Mevlana Mah.)</t>
  </si>
  <si>
    <t>Rıdvan Kefkir</t>
  </si>
  <si>
    <t>Mevlana, Yavuz Sultan Selim Cd. No:18 D:E, 38280 Talas/Kayseri</t>
  </si>
  <si>
    <t>5305950999 furkan</t>
  </si>
  <si>
    <t>61e679ffb6b550161120e288</t>
  </si>
  <si>
    <t>Antepeli Baklavacısı, Talas (Mevlana Mah.)</t>
  </si>
  <si>
    <t>Esma Diri</t>
  </si>
  <si>
    <t>Mevlana Mah. Halef Hoca Cad. No:70 Talas/KAYSERİ</t>
  </si>
  <si>
    <t>6110352fc45dd7a3a64c34e9</t>
  </si>
  <si>
    <t>Anteplim Izgara&amp;Lahmacun&amp;Pide, Melikgazi (Cumhuriyet Mah.-İldem)</t>
  </si>
  <si>
    <t>ALİ CAN AKPINAR</t>
  </si>
  <si>
    <t>İldem Cumhuriyet</t>
  </si>
  <si>
    <t>İldem Cumhuriyet Mah. Serdar 1. Sok. No:2/B Melikgazi/KAYSERİ</t>
  </si>
  <si>
    <t>5527496099-  Ali bey no :05550403827</t>
  </si>
  <si>
    <t>5fd0f9fbe4047ebc90fd04fb</t>
  </si>
  <si>
    <t>As Pat Burger Talas (Mevlana Mah.)</t>
  </si>
  <si>
    <t>Tugay Gündüz</t>
  </si>
  <si>
    <t>istanbul adalar</t>
  </si>
  <si>
    <t>5076106944 tugay bey açmadı\</t>
  </si>
  <si>
    <t>6050762ddee5d7669530ece5</t>
  </si>
  <si>
    <t>As Pide, Melikgazi (Gültepe Mah.)</t>
  </si>
  <si>
    <t>Yusuf Sapayer</t>
  </si>
  <si>
    <t>Gültepe</t>
  </si>
  <si>
    <t>Gültepe Mah. Mustafa Şimşek Bulv. Zafer Apt. Altı, 38030 Melikgazi/Kayseri</t>
  </si>
  <si>
    <t>Özlem gümüş</t>
  </si>
  <si>
    <t xml:space="preserve">çekilmeyen ürünler için perşembe günü randevu verilmiş//İLERde randevu istiyor 3kez gidilmemiş / geliyoruz diyorsunuz gelmiyorsunuz gelmeyin de aramayın da dedi </t>
  </si>
  <si>
    <t>618258fdf5a47d6029f8ca78</t>
  </si>
  <si>
    <t>Asbil Kebap, Kocasinan (Barbaros Mah.)</t>
  </si>
  <si>
    <t>Harun Karakaya</t>
  </si>
  <si>
    <t>Barbaros</t>
  </si>
  <si>
    <t>Barbaros Mah. Hakimiyet Cad. No:55/D Kocasinan/Kayseri</t>
  </si>
  <si>
    <t>6156d9cc14c72121121df298</t>
  </si>
  <si>
    <t>Aslı Antep Baklavaları, Kocasinan (Erkilet Ertuğrul Gazi Mah.)</t>
  </si>
  <si>
    <t>Suat Akbaba</t>
  </si>
  <si>
    <t>Erkilet Mehmet Akif Ersoy</t>
  </si>
  <si>
    <t>Ertuğrul Gazi Mah. 4341. Sok. No:19/B Kocasinan/KAYSERİ</t>
  </si>
  <si>
    <t>5ff33c7fe5886a195295edc8</t>
  </si>
  <si>
    <t>Aşk Lokmam, Talas (Yenidoğan Mah.)</t>
  </si>
  <si>
    <t>Ahmet Konyalıoğlu</t>
  </si>
  <si>
    <t>Yenidoğan Mah. Bilge Kağan Cad. Çiğdem Apt. No:5/A Talas/KAYSERİ</t>
  </si>
  <si>
    <t>TEYİT İÇİN ARANDI GERÇEKLEŞTİ-AKŞAM ÜZERİ TEKRAR ARANACAK</t>
  </si>
  <si>
    <t>624df837082708cf65bb813b</t>
  </si>
  <si>
    <t>Aşkım Mini Pankek, Talas (Mevlana Mah.)</t>
  </si>
  <si>
    <t>Abdullah Ensağ</t>
  </si>
  <si>
    <t>Mevlana Mah. Batuhan Sok. No:17/B Talas/KAYSERİ</t>
  </si>
  <si>
    <t>612256ed7c71942690d4ac79</t>
  </si>
  <si>
    <t>Ateş Sucuk Ekmek, Talas (Mevlana Mah.)</t>
  </si>
  <si>
    <t>Melisa Yeşil</t>
  </si>
  <si>
    <t>Mevlana Mah. Fildişi Sok. No:30/C Talas/KAYSERİ</t>
  </si>
  <si>
    <t xml:space="preserve">Ahmet bey / ramazandan sonra yapaılm dedi </t>
  </si>
  <si>
    <t>5fe47960d4987a7f7dfbd969</t>
  </si>
  <si>
    <t>Aygün 2 Pide &amp; Döner &amp; Lahmacun, Talas (Mevlana Mah.)</t>
  </si>
  <si>
    <t>Fevziye Güneş</t>
  </si>
  <si>
    <t>Mevlana, Mehmet Timuçin Cd. no:26\1, 38280 Talas/Kayseri</t>
  </si>
  <si>
    <t>Funda Ünlü</t>
  </si>
  <si>
    <t>Ahmet Demirdoğan</t>
  </si>
  <si>
    <t>istemiyormuş nedenini sorunca isteğim yok gerek yok dedi.</t>
  </si>
  <si>
    <t>5fe0aee324561e4ad095f57a</t>
  </si>
  <si>
    <t>Aygün Ev Yemekleri, Talas (Mevlana Mah.)</t>
  </si>
  <si>
    <t>Ayşegül Apaydın</t>
  </si>
  <si>
    <t>Mevlana Mah. Cemil Baba Cad. No: 22 G Talas/Kayseri</t>
  </si>
  <si>
    <t>şuan için gerek yok dedi\\3-4 gibi ara</t>
  </si>
  <si>
    <t>61b75528ace1b18965e175e4</t>
  </si>
  <si>
    <t>Bağdat Kokoreç, Kocasinan (Turgutreis Mah.)</t>
  </si>
  <si>
    <t>Seher Yalınız</t>
  </si>
  <si>
    <t>Turgut Reis</t>
  </si>
  <si>
    <t>Turgut Reis Mah. Bağdat Cad. No:234/B Kocasinan/KAYSERİ</t>
  </si>
  <si>
    <t>6166928399ad5ecd1c9d19c0</t>
  </si>
  <si>
    <t>Baklavacı Hacı, Kocasinan (Mevlana Mah.)</t>
  </si>
  <si>
    <t>Mustafa Şahin</t>
  </si>
  <si>
    <t>Mevlana Mah. Barış Manço Cad. No:70/C Kocasinan/ KAYSERİ</t>
  </si>
  <si>
    <t>61fac54e5f067722ca188bd1</t>
  </si>
  <si>
    <t>Baklavacı Hacızade, Kocasinan (Mimarsinan Mah.)</t>
  </si>
  <si>
    <t>Gökhan Dönmez</t>
  </si>
  <si>
    <t>Mimarsinan</t>
  </si>
  <si>
    <t>Mimarsinan Mah. Fuzuli Cad. No:60/A Kocasinan/KAYSERİ</t>
  </si>
  <si>
    <t>5fdb71965504790fd0da52a7</t>
  </si>
  <si>
    <t>Baklavacı Orhan Anteplioğlu, Melikgazi (Alpaslan Mah.)</t>
  </si>
  <si>
    <t>Adem Kulluk</t>
  </si>
  <si>
    <t>Alpaslan, Kızılırmak Cd. 80/A, 38030 Melikgazi/Kayseri</t>
  </si>
  <si>
    <t>mail atacak - zafer bey no : 05454363333</t>
  </si>
  <si>
    <t>623b93df4473ae35e6fb39b3</t>
  </si>
  <si>
    <t>Baklavacı Orhan Anteplioğlu, Melikgazi (Kılıçaslan Mah.)</t>
  </si>
  <si>
    <t>Kılıçaslan Mah., Sivas Cad., No:50/D, Melikgazi, Kayseri</t>
  </si>
  <si>
    <t xml:space="preserve">alparslan şubeden çekim yapılmış </t>
  </si>
  <si>
    <t>6221d580207163759893531f</t>
  </si>
  <si>
    <t>Bayram Liva Unlu Mamülleri, Kocasinan (Mevlana Mah.)</t>
  </si>
  <si>
    <t>Şükrü Bayram</t>
  </si>
  <si>
    <t>Mevlana Mah., Barış Manço Cad., No: 80, Kocasinan, Kayseri</t>
  </si>
  <si>
    <t>62179bc13f4f3bf18f196992</t>
  </si>
  <si>
    <t>Bella Waffle &amp; Sweet, Talas (Mevlana Mah.)</t>
  </si>
  <si>
    <t>DOĞUKAN CIRDI</t>
  </si>
  <si>
    <t>Mevlana Mah. Mehmet Akif Ersoy Cad. No:28/C Talas/KAYSERİ</t>
  </si>
  <si>
    <t>6189275b420dd38d85f34f31</t>
  </si>
  <si>
    <t>Belqi Döner, Talas (Mevlana Mah.)</t>
  </si>
  <si>
    <t>Mevlana Mah. 6078. Sok. No:12/D Talas/KAYSERİ</t>
  </si>
  <si>
    <t>no servis dışı</t>
  </si>
  <si>
    <t>5feb2ebb0e63fedc83cb0eec</t>
  </si>
  <si>
    <t>Bereket Develi Cıvıklısı, Melikgazi (Gültepe Mah.)</t>
  </si>
  <si>
    <t>Cafer Nalbant</t>
  </si>
  <si>
    <t>Gültepe Mah. Şehit Üstegmen Mustafa Şimşek Blv. No:6 Melikgazi/KAYSERİ</t>
  </si>
  <si>
    <t>bı kac hafta musaıt degılız</t>
  </si>
  <si>
    <t>5feb2b2d87a63b21c8326d81</t>
  </si>
  <si>
    <t>Bereket Develi Cıvıklısı, Talas (Yenidoğan Mah.)</t>
  </si>
  <si>
    <t>Yenidoğan Mah. Oğulcuklu 1. Sok. No:24/A Talas/KAYSERİ</t>
  </si>
  <si>
    <t>5fe369c30345d26c817fe449</t>
  </si>
  <si>
    <t>Bereket Sofrası, Kocasinan (Sahabiye Mah.)</t>
  </si>
  <si>
    <t>Hasan Albayrak</t>
  </si>
  <si>
    <t>Sahabiye Mah., Oğuz Cad., No:3, Kocasinan, Kayseri, Türkiye,</t>
  </si>
  <si>
    <t>603cce4e1e5134cdd033d250</t>
  </si>
  <si>
    <t>Beyazşehir Çiğ Köfte ve Tatlıcı, (Beyazşehir Mah.)</t>
  </si>
  <si>
    <t>Rifat İslam Kılıç</t>
  </si>
  <si>
    <t>Mimarsinanbahçelievler Mah. Şht. Raşit Kılıç Sok. No:16/A Melikgazi/KAYSERİ</t>
  </si>
  <si>
    <t>devam çekimi</t>
  </si>
  <si>
    <t>5fe1e2add3f42b18b3af05f9</t>
  </si>
  <si>
    <t>Beylerin Beyi Bey Evi, Kocasinan (Sahabiye Mah.)</t>
  </si>
  <si>
    <t>Canan İlhan</t>
  </si>
  <si>
    <t>Serçeönü, Çankaya Cd. no: 17/d, 38010 Kocasinan/Kayseri</t>
  </si>
  <si>
    <t>kendi fotoğraflarının kontrolünü sağlayıp var ise gönderecek yoksa dönüş yapacak/5326177111 kendi fotoğraflarını yollayacak olıursa eklersiniz olmazsa çekime gerek yok dedi</t>
  </si>
  <si>
    <t>611bbce500756403183648d6</t>
  </si>
  <si>
    <t>Beyoğlu Hatay Soslu Döner, Kocasinan (Hoca Ahmet Yesevi Mah.)</t>
  </si>
  <si>
    <t>Mustafa Bozdağ</t>
  </si>
  <si>
    <t>Hoca Ahmet Yesevi Mah. Bekir Yıldız Blv. No:130/C Kocasinan/KAYSERİ</t>
  </si>
  <si>
    <t>622fb7e25b3d4a31a21fda02</t>
  </si>
  <si>
    <t>Biberzade Adıyaman Çiğ Köfte, Melikgazi (Altınoluk Mah.)</t>
  </si>
  <si>
    <t>Fatma Yılmaz</t>
  </si>
  <si>
    <t>Altınoluk</t>
  </si>
  <si>
    <t>Altınoluk Mah., Veysel Cad., No:14/D,Melikgazi, Kayseri</t>
  </si>
  <si>
    <t>61b9e35c7baa1012960acf4c</t>
  </si>
  <si>
    <t>Big Pizza, Melikgazi (Fatih Mah. - İldem)</t>
  </si>
  <si>
    <t>Murat Gürler</t>
  </si>
  <si>
    <t>Gesi Fatih Mah. Gün Sazak Cad. No:65/103 Melikgazi/KAYSERİ</t>
  </si>
  <si>
    <t xml:space="preserve">yetkili 11 gibi gelecek </t>
  </si>
  <si>
    <t>623e09016a101873c684e4b3</t>
  </si>
  <si>
    <t>Bilaloğlu Baklava, Kocasinan (Yavuzselim Mah.)</t>
  </si>
  <si>
    <t>GÖKAN SÜSLÜ</t>
  </si>
  <si>
    <t xml:space="preserve">burası dağıtım şubesi </t>
  </si>
  <si>
    <t>5fdcd225afe7b1b94ed2ecaf</t>
  </si>
  <si>
    <t>Bir Canım Tantuni, Talas (Yenidoğan Mah.)</t>
  </si>
  <si>
    <t>Tavuk</t>
  </si>
  <si>
    <t>Bircan Kalkan</t>
  </si>
  <si>
    <t>Yenidoğan Mah., Kayabağlar Cad., No:44/B Talas/Kayseri</t>
  </si>
  <si>
    <t>TEYİT İÇİN ARANDI GERÇEKLEŞMİŞ</t>
  </si>
  <si>
    <t>61efe72d7185bb44d441ecb3</t>
  </si>
  <si>
    <t>Birdie's Fried Chicken &amp; Burger, Melikgazi (Alpaslan Mah.)</t>
  </si>
  <si>
    <t>Ömer Faruk Kılıç</t>
  </si>
  <si>
    <t>Alpaslan Mah. Aşık Veysel Blv. No:22/Z07 Melikgazi/KAYSERİ</t>
  </si>
  <si>
    <t xml:space="preserve">15 dk sonra ara </t>
  </si>
  <si>
    <t>6198ff3f836d44c668b8c8c7</t>
  </si>
  <si>
    <t>Bitter Pastaneleri, Kocasinan (Gevher Nesibe Mah.)</t>
  </si>
  <si>
    <t>Ramazan Gençoğlu</t>
  </si>
  <si>
    <t>Gevher Nesibe Mah. Mehmet Akif Cad. No:8/C Kocasinan/KAYSERİ</t>
  </si>
  <si>
    <t>Geleneksel</t>
  </si>
  <si>
    <t>6113b7eb4fd7ef49dde24021</t>
  </si>
  <si>
    <t>Bitter Pastaneleri, Kocasinan (Yeşil Mah.)</t>
  </si>
  <si>
    <t>MUSTAFA ÇINGI</t>
  </si>
  <si>
    <t>Yeşil Mah. Erkilet Blv. No:242/A Kocasinan/KAYSERİ</t>
  </si>
  <si>
    <t>6048ba6a118621c60bc39af6</t>
  </si>
  <si>
    <t>Bol Fıstıklım, Talas (Mevlana Mah.)</t>
  </si>
  <si>
    <t>Bahattin Aslan</t>
  </si>
  <si>
    <t>Bahçelievler Mah. Atatürk Blv. No:48/B Talas/KAYSERİ</t>
  </si>
  <si>
    <t>size dönüş yaparım dedi\\mail verildi</t>
  </si>
  <si>
    <t>5ffc0bdcf11235d0feaf8a5c</t>
  </si>
  <si>
    <t>Bolu Et Mangal, Melikgazi (Germir Mah.)</t>
  </si>
  <si>
    <t>AHMET ÜRPER</t>
  </si>
  <si>
    <t>Yıldızevler</t>
  </si>
  <si>
    <t>Germir Mah. Sivas Blv. Restorant No:242/C Melikgazi/KAYSERİ</t>
  </si>
  <si>
    <t>602d3736c20d04e6675030ca</t>
  </si>
  <si>
    <t>Bon Pizza, Kocasinan (Sahabiye Mah.)</t>
  </si>
  <si>
    <t>LÜTFİYE PINAR</t>
  </si>
  <si>
    <t>Sahabiye</t>
  </si>
  <si>
    <t>Sahabiye Mah. Türkay Sok. No:4 Kocasinan/KAYSERİ</t>
  </si>
  <si>
    <t>foto/ feyza yıldırım//TEYİT İÇİN ARANDI DEVAM ÇEKİMİ İSTEMİYOR</t>
  </si>
  <si>
    <t>6166ce9b567bc34ba4641825</t>
  </si>
  <si>
    <t>Boo's Burger, Talas (Bahçelievler Mah.)</t>
  </si>
  <si>
    <t>Merve Şahin</t>
  </si>
  <si>
    <t>Bahçelievler Mah. Uğur Sok. No:3/B Talas/KAYSERİ</t>
  </si>
  <si>
    <t>60019a4fd0f3ba0272100f9f</t>
  </si>
  <si>
    <t>Boss Waffle, Melikgazi (Kılıçaslan Mah.)</t>
  </si>
  <si>
    <t>Cüneyt Çetin</t>
  </si>
  <si>
    <t>Kılıçaslan Mah. Şht. Ütğm. Mustafa Şimşek Blv. Beylerbeyi Apt. No:37/B Melikgazi/KAYSERİ</t>
  </si>
  <si>
    <t>el degişikliği olabilirmiş ilerde aranacak</t>
  </si>
  <si>
    <t>624697f53f7f082be9f10786</t>
  </si>
  <si>
    <t>Yusuf Doğan</t>
  </si>
  <si>
    <t>Kılıçaslan Mah., Mustafa Şimşek Blv., No:37/B, Melikgazi, Kayseri</t>
  </si>
  <si>
    <t xml:space="preserve">ulaşılamadı / ortağı ile de görüşüp dönecek </t>
  </si>
  <si>
    <t>61102d97ef593b2b59dda807</t>
  </si>
  <si>
    <t>Boss Waffle, Talas (Kiçiköy Mah.)</t>
  </si>
  <si>
    <t>Erkan Ülkan</t>
  </si>
  <si>
    <t>Kiçiköy Mah. Halef Hoca Cad. No:9/J Talas/KAYSERİ</t>
  </si>
  <si>
    <t xml:space="preserve">açmadı </t>
  </si>
  <si>
    <t>607d7c1ede7ecf2fc7a531b6</t>
  </si>
  <si>
    <t>Buğlem Kebap, Kocasinan (Barbaros Mah.)</t>
  </si>
  <si>
    <t>Gürkan Karakaya</t>
  </si>
  <si>
    <t>İstasyon</t>
  </si>
  <si>
    <t>Barbaros Mah. Kaldırım Cad.No:17/A Kocasinan/KAYSERİ</t>
  </si>
  <si>
    <t>ÇEKİMLER YAPILMIŞ</t>
  </si>
  <si>
    <t>Hemen Randevu İstiyorum</t>
  </si>
  <si>
    <t>604be1a11bdb7fb44820b0be</t>
  </si>
  <si>
    <t>Buhara Tandır, Melikgazi (Hunat Mah.)</t>
  </si>
  <si>
    <t>Serkan Karadaş</t>
  </si>
  <si>
    <t>Hunat Mah. Kalpaklıoğlu Cad. No:11/A Melikgazi/KAYSERİ</t>
  </si>
  <si>
    <t>Tam ürün çıkaramadığından dolayı 10 gün sonra tekrar aranacak/açmadı/randevu tekrar alındı//TEYİT İÇİN ARANDI RANDEVU İSTİYOR GİDİLMEMİŞ/5376670505</t>
  </si>
  <si>
    <t>61f11ea7593bfcc345b88d63</t>
  </si>
  <si>
    <t>Buket Kıymalı Pide &amp; Lahmacun, Talas (Bahçelievler Mah.)</t>
  </si>
  <si>
    <t>Hülya Bozdemir</t>
  </si>
  <si>
    <t>Bahçelievler Mah. Kardeşler Sok. No:4/B TALAS/KAYSERİ</t>
  </si>
  <si>
    <t>61e90f3379045e78971984ee</t>
  </si>
  <si>
    <t>Bülent Usta Lahmacun, Kocasinan (Gevhernesibe Mah.)</t>
  </si>
  <si>
    <t>Ümit Yılmaz</t>
  </si>
  <si>
    <t>Gevher Nesibe Mah. İstasyon Cad. No:65/B Kocasinan/KAYSERİ</t>
  </si>
  <si>
    <t>625163fb302e12731445a7ad</t>
  </si>
  <si>
    <t>Cadde Döner, Melikgazi (Germir Mah.)</t>
  </si>
  <si>
    <t>İlhami Başer</t>
  </si>
  <si>
    <t>Germir</t>
  </si>
  <si>
    <t>Germir Mah. 1772. Sok. No:5 Melikgazi/KAYSERİ</t>
  </si>
  <si>
    <t xml:space="preserve">ramazan dolayısıyla döneri takılı değil bayramdan sonra </t>
  </si>
  <si>
    <t>6231046ec789917bfb412e12</t>
  </si>
  <si>
    <t>Cadde Döner, Melikgazi (Keykubat Mah.)</t>
  </si>
  <si>
    <t>Salim Altak</t>
  </si>
  <si>
    <t>Keykubat Mah., Osman Kavuncu Blv., Nejla Apt., No:295/C, Melikgazi, Kayseri</t>
  </si>
  <si>
    <t xml:space="preserve">fiyat konusunda sıkıntılıymış </t>
  </si>
  <si>
    <t>60e5c1c26ce46d2ac41405f2</t>
  </si>
  <si>
    <t>Cadde Kebap &amp; Kokoreç, Talas (Mevlana Mah.)</t>
  </si>
  <si>
    <t>Erşad Başbağ</t>
  </si>
  <si>
    <t>Mevlana Mah. 15 Temmuz Cad. No:12/C Talas/KAYSERİ</t>
  </si>
  <si>
    <t>5304564519/menü güncellemesi yapacaklarmış 1 ay sonra iletişime geçmek istiyorlar</t>
  </si>
  <si>
    <t>60f00e7e9b2a2c36bfddc821</t>
  </si>
  <si>
    <t>Cafe Arka Bahçe, Kocasinan (Sahabiye Mah.)</t>
  </si>
  <si>
    <t>İsmail Doğu</t>
  </si>
  <si>
    <t>Sahabiye Mah. Mete Cad. No:7/5 Kocasinan/KAYSERİ</t>
  </si>
  <si>
    <t>62310da72d88d03040a40570</t>
  </si>
  <si>
    <t>Cafe Döner, Kocasinan (Ziya Gökalp Mah.)</t>
  </si>
  <si>
    <t>Hayrullah Bilgin</t>
  </si>
  <si>
    <t>Ziyagökalp</t>
  </si>
  <si>
    <t>Ziya Gökalp Mah., Meral Sok., No:9/A, Kocasinan, Kayseri</t>
  </si>
  <si>
    <t xml:space="preserve">numara hatalı </t>
  </si>
  <si>
    <t>60c86bb0f07269c7992f0467</t>
  </si>
  <si>
    <t>Cajun Corner, Talas (Mevlana Mah.)</t>
  </si>
  <si>
    <t>ATAKAN ALİ BAŞ</t>
  </si>
  <si>
    <t>Mevlana Mah. Elçibey Cad. No:41/B Talas/KAYSERİ</t>
  </si>
  <si>
    <t>604b567f93656d42c8b6924c</t>
  </si>
  <si>
    <t>Camikebir Pidecisi, Melikgazi (Hürriyet Mah.)</t>
  </si>
  <si>
    <t>Emre Topaklı</t>
  </si>
  <si>
    <t>Hürriyet Mah. Cengiz Topel Cad. No:105/G Melikgazi/KAYSERİ</t>
  </si>
  <si>
    <t>getiri kapattım kuryem konumu bulamıyor siz de müşterinin numarasını vermiyorsunuz dedi.</t>
  </si>
  <si>
    <t>60081426f5c83e4e6791142f</t>
  </si>
  <si>
    <t>Can &amp; Tantuni Künefe, Melikgazi (Fatih Mah.-İldem)</t>
  </si>
  <si>
    <t>Ahmet Can Palancıoğlu</t>
  </si>
  <si>
    <t>Gesi Fatih Mah. Gün Sazak Cad. No:32/A Melikgazi/KAYSERİ</t>
  </si>
  <si>
    <t xml:space="preserve">YETKİLİ YOK//30DK GELİR / çekim yapılmamış şuan da işletmeyi taşıdığı için çki olamazmış </t>
  </si>
  <si>
    <t>61d534b85e55ea3ebd885f0f</t>
  </si>
  <si>
    <t>Can Döner, Talas (Mevlana Mah.)</t>
  </si>
  <si>
    <t>Erkan Üzüm</t>
  </si>
  <si>
    <t>Mevlana Mah. Anayurt Cad. No:10/A Talas/KAYSERİ</t>
  </si>
  <si>
    <t>gerek duymuyorum der</t>
  </si>
  <si>
    <t>6231888595feff3252d94ea9</t>
  </si>
  <si>
    <t>Can Ocakbaşı, Melikgazi (Hunat Mah.)</t>
  </si>
  <si>
    <t>Saniye Dağlar</t>
  </si>
  <si>
    <t>Hunat Mah., Uçak Sok., No:21/A, Melikgazi, Kayseri</t>
  </si>
  <si>
    <t xml:space="preserve">bayramdan sonra alınabilir </t>
  </si>
  <si>
    <t>6253345fcdcc3477eda1a6bf</t>
  </si>
  <si>
    <t>Canım Ciğerim Tantuni &amp; Künefe, Kocasinan (Gevhernesibe Mah.)</t>
  </si>
  <si>
    <t>Mustafa Şencanlar</t>
  </si>
  <si>
    <t>Gevher Nesibe Mah., İstasyon Cad., Fazlıoğlu İş Merkezi, No:8/E, Kocasinan, Kayseri</t>
  </si>
  <si>
    <t>6234ed4ea93c3db47441fea2</t>
  </si>
  <si>
    <t>Canım Ciğerim Tantuni &amp; Künefe, Kocasinan (Mevlana Mah.)</t>
  </si>
  <si>
    <t>Yahya Aras</t>
  </si>
  <si>
    <t>Mevlana Mah., Barış Manço Cad., Kazım Yedekçioğlu Sok, No: 2/A, Kocasinan, Kayseri</t>
  </si>
  <si>
    <t xml:space="preserve">öğleden sonra gelir </t>
  </si>
  <si>
    <t>62486cdf3a20a93829c09a48</t>
  </si>
  <si>
    <t>Canım Ciğerim Tantuni &amp; Künefe, Kocasinan (Şeker Mah.)</t>
  </si>
  <si>
    <t>İbrahim Şencanlar</t>
  </si>
  <si>
    <t>Şeker</t>
  </si>
  <si>
    <t>Şeker Mah., Muhsin Yazıcıoğlu Blv., No:70/A, Kocasinan, Kayseri, Türkiye</t>
  </si>
  <si>
    <t xml:space="preserve">fotoğrafları var mail atacak </t>
  </si>
  <si>
    <t>6252af035d104623e86c0235</t>
  </si>
  <si>
    <t>Canım Ciğerim Tantuni &amp; Künefe, Talas (Yenidoğan Mah.)</t>
  </si>
  <si>
    <t>Mehmet Erdoğan</t>
  </si>
  <si>
    <t>Yenidoğan Mah., Atatürk Blv., No:23/B, Talas, Kayseri</t>
  </si>
  <si>
    <t xml:space="preserve">öğleden sonra yetkili gelir dedi </t>
  </si>
  <si>
    <t>6252c3051cfdec228a710421</t>
  </si>
  <si>
    <t>Canım Ciğerim, Kocasinan (Erciyesevler Mah.)</t>
  </si>
  <si>
    <t>Erciyesevler</t>
  </si>
  <si>
    <t>Erciyesevler Mah., Tuna Cad., No:12/A, Kocasinan, Kayseri</t>
  </si>
  <si>
    <t xml:space="preserve">yetkili 4 gibi gelir </t>
  </si>
  <si>
    <t>61de993390c39bd0edd1cbf0</t>
  </si>
  <si>
    <t>Capella Cafe, Kocasinan (Sahabiye Mah.)</t>
  </si>
  <si>
    <t>Yasemin Çelebi</t>
  </si>
  <si>
    <t>Sahabiye Mah. Mete Cad. No:14/C Kocasinan/KAYSERİ</t>
  </si>
  <si>
    <t>5fda2b5c700b9be9df4950a6</t>
  </si>
  <si>
    <t>Chef Fried Chicken</t>
  </si>
  <si>
    <t>Muhammed Saraç</t>
  </si>
  <si>
    <t>Sivas Bulvarı, No:201/A, Kocasinan</t>
  </si>
  <si>
    <t>615bfc3c91ce4235d8aec47b</t>
  </si>
  <si>
    <t>Chef Waffle, Talas (Kiçiköy Mah.)</t>
  </si>
  <si>
    <t>Oktay Alkan</t>
  </si>
  <si>
    <t>Kiçiköy</t>
  </si>
  <si>
    <t>Kiçiköy Mah. Atatürk Blv. No:73/F Talas/KAYSERİ</t>
  </si>
  <si>
    <t xml:space="preserve">gerek yok dedi  </t>
  </si>
  <si>
    <t>604370f11e89a9128d665864</t>
  </si>
  <si>
    <t>Choco Bons Waffle, Melikgazi Mah. (İpeksaray)</t>
  </si>
  <si>
    <t>Gökhan Ünlühizarcı</t>
  </si>
  <si>
    <t>Melikgazi Mah. Sivas Blv. İpek Saray No:182/204 Melikgazi/KAYSERİ</t>
  </si>
  <si>
    <t>mailden atacak</t>
  </si>
  <si>
    <t>60a63dfd07150696af332ad2</t>
  </si>
  <si>
    <t>Chocolabs Chocolate &amp; Coffee, Melikgazi (Alpaslan Mah.)</t>
  </si>
  <si>
    <t>JANBERK TÜRK</t>
  </si>
  <si>
    <t>Alpaslan Mah. Kızılırmak Cad. No:85/B Melikgazi/KAYSERİ</t>
  </si>
  <si>
    <t>bizden de daha önce çekilmiş fotoğrafların örneklerini istediler eğer daha iyiyse çektirebilirlermiş</t>
  </si>
  <si>
    <t>619627f8836d444fb7528395</t>
  </si>
  <si>
    <t>Ciğerci Bahattin, Kocasinan (Mevlana Mah.)</t>
  </si>
  <si>
    <t>Yusuf Paşaoğlu</t>
  </si>
  <si>
    <t>Mevlana Mah. Barış Manço Cad. No:10/A Kocasinan/ KAYSERİ</t>
  </si>
  <si>
    <t>Yusuf Bey 5533104377 / Şuan kayseride değilmiş 1 aya kadar yapılacak - paket servis yok o yüzden gere yok dedi</t>
  </si>
  <si>
    <t>5fe2fa620345d282cc7fd2d5</t>
  </si>
  <si>
    <t>Ciğerci Mehmet, Kocasinan (Sahabiye Mah.)</t>
  </si>
  <si>
    <t>Metin Aybar</t>
  </si>
  <si>
    <t>Sahabiye, Saray Cd. No:6/A, 38015 Kocasinan/Kayseri</t>
  </si>
  <si>
    <t xml:space="preserve">mail atacak / mail adresi iletildi </t>
  </si>
  <si>
    <t>61102fa21d32018d57df116d</t>
  </si>
  <si>
    <t>Cihan Exclusive Talas (Mevlana Mah.)</t>
  </si>
  <si>
    <t>YAVUZ SELİM ZENGER</t>
  </si>
  <si>
    <t>Mevlana Mah. 15 Temmuz Cad. No:17 Talas/KAYSERİ</t>
  </si>
  <si>
    <t xml:space="preserve">oğlu yavuz selim zengerden randevu alındı </t>
  </si>
  <si>
    <t>5fdb4a83b62a1d4aa38182e9</t>
  </si>
  <si>
    <t>Cihan Exclusive, Melikgazi (Alpaslan Mah.)</t>
  </si>
  <si>
    <t>Şaban Zenger</t>
  </si>
  <si>
    <t>Kızılırmak Cd., 110- 114, 38030, Melikgazi</t>
  </si>
  <si>
    <t>5ff731f3bb116173ba759981</t>
  </si>
  <si>
    <t>Cihan Exclusive, Melikgazi (Cumhuriyet Mah.)</t>
  </si>
  <si>
    <t>Dünya Mutfağı</t>
  </si>
  <si>
    <t>Cumhuriyet Mah. Millet Cad. No:11 Melikgazi/KAYSERİ</t>
  </si>
  <si>
    <t>alparslan şubesini arayarak yetkili ile görüşülebilir</t>
  </si>
  <si>
    <t>61b281ebb212cb2568928392</t>
  </si>
  <si>
    <t>Class Fast Food, Melikgazi (Bahçelievler Mah.)</t>
  </si>
  <si>
    <t>Muhammed Salih Arslan</t>
  </si>
  <si>
    <t>Bahçelievler Mah. 2170. Sok. No:50/B Melikgazi/KAYSERİ</t>
  </si>
  <si>
    <t>şuan için uygunluğum yok istemiyorum olursa dönerim size der</t>
  </si>
  <si>
    <t>5fd88b8f4304e6a50bca03b8</t>
  </si>
  <si>
    <t>Confurt Dondurma, Melikgazi (Alpaslan Mah.)</t>
  </si>
  <si>
    <t>Dondurma</t>
  </si>
  <si>
    <t>Bülent Şahin</t>
  </si>
  <si>
    <t>Alpaslan Mah. Kızılırmak Cad. Vakıf Yenipark Apt. No:118/B Melikgazi/KAYSERİ</t>
  </si>
  <si>
    <t>5fd888eb4d587052641b84f8</t>
  </si>
  <si>
    <t>Confurt Dondurma, Melikgazi (Köşk Mah.)</t>
  </si>
  <si>
    <t>Köşk Mah. Mustafa Şimşek Cad. Hisar Apt. No:56/E Melikgazi/KAYSERİ</t>
  </si>
  <si>
    <t xml:space="preserve">Fotoğrafçı Ahmet//TEYİT İÇİN ARANDI GERÇEKLEŞMİŞ / çekim yapılmış ama panelde ekle değil </t>
  </si>
  <si>
    <t>5fd88ce34d58709ff41b8589</t>
  </si>
  <si>
    <t>Confurt Dondurma, Talas (Bahçelievler Mah.)</t>
  </si>
  <si>
    <t>Bahçelievler Mah. Mevlana Cad. Atalay Apt. No:35/A Talas/KAYSERİ</t>
  </si>
  <si>
    <t>istemiyor</t>
  </si>
  <si>
    <t>6065b2013fba85dfdc2c193d</t>
  </si>
  <si>
    <t>Çağlayan Kebap, Melikgazi (Cumhuriyet Mah.)</t>
  </si>
  <si>
    <t>Mehmet Aktaş</t>
  </si>
  <si>
    <t>Cumhuriyet Mah. Tennuri Sok. No:25/B Melikgazi/KAYSERİ</t>
  </si>
  <si>
    <t>10DK///AÇMADI- hat meşgul</t>
  </si>
  <si>
    <t>61bdaf49edd604b108c4cba5</t>
  </si>
  <si>
    <t>Çağlayan Kebap, Melikgazi (Gülük Mah.)</t>
  </si>
  <si>
    <t>Selda Aktaş</t>
  </si>
  <si>
    <t>Gülük</t>
  </si>
  <si>
    <t>Gülük Mah. Yiğit Sok. No:6/C Melikgazi/KAYSERİ</t>
  </si>
  <si>
    <t>61e9077694bbb724ccfe1d18</t>
  </si>
  <si>
    <t>Çamburç Pastanesi, Melikgazi (Keykubat Mah.)</t>
  </si>
  <si>
    <t>Uğur Alan</t>
  </si>
  <si>
    <t>Keykubat Mah. Şehit İsmail Erez Blv. No:16/B Melikgazi/KAYSERİ</t>
  </si>
  <si>
    <t xml:space="preserve">6 dan sonra aranılcak - 05530643871 - devam çekimi alındı </t>
  </si>
  <si>
    <t>614ce39769ae304a46a08c7c</t>
  </si>
  <si>
    <t>Çarşı Yoğunburç Serince Çiğ Köfte, Melikgazi(Tacettin Veli Mah.)</t>
  </si>
  <si>
    <t>Engin Can Çağlar</t>
  </si>
  <si>
    <t>Tacettinveli</t>
  </si>
  <si>
    <t>Tacettinveli Mah. Seyyid Burhaneddin Blv. No:16/A Melikgazi/KAYSERİ</t>
  </si>
  <si>
    <t>5fe5ee78ad8a38103124db30</t>
  </si>
  <si>
    <t>Çatlayana Kadar, Talas (Mevlana Mah.)</t>
  </si>
  <si>
    <t xml:space="preserve">TEYİT İÇİN ARANDI GERÇEKLEŞMİŞ AMA FOTOĞRAFLAR YÜKLENMEMİŞ - devam çekimi alındı </t>
  </si>
  <si>
    <t>5fdb39278960330c8ceea394</t>
  </si>
  <si>
    <t>Çemen's, Melikgazi (Alpaslan Mah.)</t>
  </si>
  <si>
    <t>Hülya Tiritoğlu</t>
  </si>
  <si>
    <t>Aşık Veysel Blv. No:22, 38030</t>
  </si>
  <si>
    <t xml:space="preserve">öğleden sonra ara //açmadı//açmadı/açmadılar/açmadı//şuan müsait değil daha sonra ara//1 2 saat sonra ara//yetkili yok / paekte servise uygun ürünler yapmadıkları için getiri kapatmışlar </t>
  </si>
  <si>
    <t>5ffc7a5e937d1b9078bd54a7</t>
  </si>
  <si>
    <t>Çıtır Chicken, Talas (Mevlana Mah.)</t>
  </si>
  <si>
    <t>Aykut Mustafa İzci</t>
  </si>
  <si>
    <t>Mevlana Mah. Halef Hoca Cad. No:42/A Talas/KAYSERİ</t>
  </si>
  <si>
    <t xml:space="preserve">5333281136 / ramazandan sonra </t>
  </si>
  <si>
    <t>5fdb15dd03d1e67e93e0600e</t>
  </si>
  <si>
    <t>Çıtır Çıtır Unlu Mamülleri, Talas (Mevlana Mah.)</t>
  </si>
  <si>
    <t>Mustafa Sağlam</t>
  </si>
  <si>
    <t>Mevlana, Akbülbül Cd., No:2 D:C, 38280 Talas</t>
  </si>
  <si>
    <t>yetkili 12 gibi gelirmiş.\\ramazandan sonra//5326201201-fotoğraflar yüklensin ona göre konuşalım dedi</t>
  </si>
  <si>
    <t>60069d335e157f504ed866e4</t>
  </si>
  <si>
    <t>Çıtır Künefe &amp; Baklava, Talas (Bahçelievler Mah.)</t>
  </si>
  <si>
    <t>Veysel Birol</t>
  </si>
  <si>
    <t>Bahçelievler Mah. Bahçelievler Cad. No:39/B Talas/ KAYSERİ</t>
  </si>
  <si>
    <t>KENDİ FOTOĞRAFLARI VAR</t>
  </si>
  <si>
    <t>6207a3387b919d6755b914e3</t>
  </si>
  <si>
    <t>Çıtır Pide &amp; Lahmacun, Melikgazi (Sakarya Mah.)</t>
  </si>
  <si>
    <t>Caner Toprak</t>
  </si>
  <si>
    <t>Sakarya Mah. Doğanyurt Cad. No:10/A Melikgazi/KAYSERİ</t>
  </si>
  <si>
    <t xml:space="preserve">kurye sıkıntısından dolayı şuan paneli açamıyormuş </t>
  </si>
  <si>
    <t>607ebf7a58e435a36e986b72</t>
  </si>
  <si>
    <t>Çiftlik Kokoreç, Talas (Bahçelievler Mah.)</t>
  </si>
  <si>
    <t>ESRA KILIÇARSLAN</t>
  </si>
  <si>
    <t>Bahçelievler Mah. Rüzgarlı Cad. No:5/A Talas/Kayseri</t>
  </si>
  <si>
    <t>haftaya tekrar arayın</t>
  </si>
  <si>
    <t>61bc6a5db9af94342346ed52</t>
  </si>
  <si>
    <t>Çiğ Köfteci Ömer Usta, Melikgazi (Fatih Mah. - İldem)</t>
  </si>
  <si>
    <t>Şaban Sağıroğlu</t>
  </si>
  <si>
    <t>Gesi Fatih Mah. Hanedan Sok. No:11/C Melikgazi/KAYSERİ</t>
  </si>
  <si>
    <t>617fafa30941d28381502b51</t>
  </si>
  <si>
    <t>Çiğköfteci Ömer Usta, Melikgazi (Hunat Mah.)</t>
  </si>
  <si>
    <t>Ufuk Saim</t>
  </si>
  <si>
    <t>Hunat Mah. Nuh Naci Yazgan Cad. No:33/A Melikgazi/KAYSERİ</t>
  </si>
  <si>
    <t>5fd38a6114bd88195baa95ec</t>
  </si>
  <si>
    <t>Çizmeli Develi Cıvıklısı, Talas (Mevlana Mah.)</t>
  </si>
  <si>
    <t>Emrah Çizmeli</t>
  </si>
  <si>
    <t>Mevlana Mh. Mehmet Timuçin Cd. No:7/A/1</t>
  </si>
  <si>
    <t>TEYİT İÇİN ARANDI MÜSAİT OLAMADIK TEKRAR RANDEVU İSTİYOR</t>
  </si>
  <si>
    <t>6220ab5a1c94713e4fac66c1</t>
  </si>
  <si>
    <t>Çorba da Mola, Talas (Mevlana Mah.)</t>
  </si>
  <si>
    <t>Nuran Uysaler</t>
  </si>
  <si>
    <t>Mevlana Mah., 15 Temmuz Caddesi, Ermiş Sok., Güneş Apt., No:6/A Talas</t>
  </si>
  <si>
    <t xml:space="preserve">şuan yoğunluk var eşim ilgileniyor öğleden sonra ben sizi aratırırım dedi / şuan ürünlerim yo bayramdan sonra yapaılm dedi </t>
  </si>
  <si>
    <t>5fd0924b16bc584b48db4e98</t>
  </si>
  <si>
    <t>Çorbacı Celal (Talas)</t>
  </si>
  <si>
    <t>Rıdvan Karaca</t>
  </si>
  <si>
    <t>Kiçiköy, Halef Hoca Cd. No:9 D:H, 38280 Talas/Kayseri</t>
  </si>
  <si>
    <t>5443034205 rıdvan</t>
  </si>
  <si>
    <t>617005ea2b05cb2d0aef02cf</t>
  </si>
  <si>
    <t>Dalyan Balıkçılık, Talas (Mevlana Mah.)</t>
  </si>
  <si>
    <t>Balık &amp; Deniz Ürünleri</t>
  </si>
  <si>
    <t>Burak Yılmaz</t>
  </si>
  <si>
    <t>Mevlana Mah. Papatya Cad. No:40/A Talas/KAYSERİ</t>
  </si>
  <si>
    <t xml:space="preserve">dinlemeden kapattı  </t>
  </si>
  <si>
    <t>61ba0ad927cfce11874fcdb2</t>
  </si>
  <si>
    <t>Daniş Et Sanatları Restoran, Talas (Yenidoğan Mah.)</t>
  </si>
  <si>
    <t>Orhan Kuruşcuoğlu</t>
  </si>
  <si>
    <t>Yenidoğan Mah. Atatürk Blv. No:15/A Talas/KAYSERİ</t>
  </si>
  <si>
    <t>6223a7c10067fda63c3dbfef</t>
  </si>
  <si>
    <t>Dedecan Ocakbaşı, Talas (Mevlana Mah.)</t>
  </si>
  <si>
    <t>Mustafa Demirel</t>
  </si>
  <si>
    <t>Mevlana Mah., Halef Hoca Cad., 6076.Sok., B Blok, No:3/1, Talas, Kayseri</t>
  </si>
  <si>
    <t xml:space="preserve">İşletme numarası yanlış  / bayramdan sonra </t>
  </si>
  <si>
    <t>6048c4c027aa2031315b8e93</t>
  </si>
  <si>
    <t>Defne Çiğ Köfte, Talas (Mevlana Mah.)</t>
  </si>
  <si>
    <t>Muhammed Mustafa Uçankuş</t>
  </si>
  <si>
    <t>Mevlana Mah. Yavuz Sultan Selim Cad. No:16/B Talas/KAYSERİ</t>
  </si>
  <si>
    <t>61150b912d648c8effdd0210</t>
  </si>
  <si>
    <t>Divan Çorba &amp; Izgara, Melikgazi (Tacettin Veli Mah.)</t>
  </si>
  <si>
    <t>YUNUS EREN</t>
  </si>
  <si>
    <t>Tacettin Veli Mah. Seyyid Burhaneddin Blv. No:48/C Melikgazi/KAYSERİ</t>
  </si>
  <si>
    <t>620795f422f881779b40534c</t>
  </si>
  <si>
    <t>Doğan Kaymaklı, Melikgazi (Gültepe Mah.)</t>
  </si>
  <si>
    <t>Aslıhan Bülbül</t>
  </si>
  <si>
    <t>Gültepe Mah. Orgeneral Hulusi Akar Blv. No:20/B Melikgazi/KAYSERİ</t>
  </si>
  <si>
    <t>mail atacak</t>
  </si>
  <si>
    <t>62533f22164c070fa0696101</t>
  </si>
  <si>
    <t>Dois, Talas (Yenidoğan Mah.)</t>
  </si>
  <si>
    <t>Yenidoğan Mah., Atatürk Blv., No:21/C, Talas, Kayseri</t>
  </si>
  <si>
    <t xml:space="preserve">YUSUF BEY 5413527352 - Ulaşılamadı </t>
  </si>
  <si>
    <t>61b8de46b9af94c8c4ae7636</t>
  </si>
  <si>
    <t>Dolmix Dürüm, Melikgazi (Alpaslan Mah.)</t>
  </si>
  <si>
    <t>Züheyla Olgaç</t>
  </si>
  <si>
    <t>Alpaslan Mah. Org. Eşref Bitlis Blv. No:5/A Melikgazi/KAYSERİ</t>
  </si>
  <si>
    <t>6228a106776ec6174363cbd0</t>
  </si>
  <si>
    <t>Donas, Kocasinan (Sahabiye Mah. - Sivas Cad.)</t>
  </si>
  <si>
    <t>Süleyman Höyüklüoğlu</t>
  </si>
  <si>
    <t>Sahabiye Mah. Sivas Blv. No:21/E Kocasinan/KAYSERİ</t>
  </si>
  <si>
    <t xml:space="preserve">yetkili erdem beyden randevu alındı 5387368405 </t>
  </si>
  <si>
    <t>61b73f50c352a1f4c5bca83c</t>
  </si>
  <si>
    <t>Donas, Kocasinan (Sahabiye Mah.)</t>
  </si>
  <si>
    <t>Ayhan Höyüklüoğlu</t>
  </si>
  <si>
    <t>Sahabiye Mah. İstasyon Cad. No:6/A Kocasinan/KAYSERİ</t>
  </si>
  <si>
    <t>6228a59177bf6aca6a983162</t>
  </si>
  <si>
    <t>Donas, Melikgazi (Alpaslan Mah.)</t>
  </si>
  <si>
    <t>Alpaslan Mah. Eşref Bitlis Blv. No:5/B Melikgazi/KAYSERİ</t>
  </si>
  <si>
    <t>61b73b29c352a1c182bb96b1</t>
  </si>
  <si>
    <t>Donas, Melikgazi (Gülük Mah.)</t>
  </si>
  <si>
    <t>Gülük Mah. Yiğit Sok. No:2/A Melikgazi/KAYSERİ</t>
  </si>
  <si>
    <t>devam çekımı --5537354856</t>
  </si>
  <si>
    <t>6228a8674670d9757c9621d8</t>
  </si>
  <si>
    <t>Donas, Melikgazi (Hunat Mah.)</t>
  </si>
  <si>
    <t>Hunat Mah. Sivas Cad. No:12/C Melikgazi/KAYSERİ</t>
  </si>
  <si>
    <t xml:space="preserve">6228a106776ec6174363cbd0 bu işletmesinde çekilen ürünler kullanılacak </t>
  </si>
  <si>
    <t>61b73caa307ae554dad244aa</t>
  </si>
  <si>
    <t>Donas, Talas (Bahçelievler Mah.)</t>
  </si>
  <si>
    <t>Yukarı</t>
  </si>
  <si>
    <t>Bahçelievler Mah. Atatürk Blv. No:14 Talas/KAYSERİ</t>
  </si>
  <si>
    <t>merkezle görüşün der</t>
  </si>
  <si>
    <t>6196614e2b421d3fbde1d0b8</t>
  </si>
  <si>
    <t>Dorato Coffee, Talas (Bahçelievler Mah.)</t>
  </si>
  <si>
    <t>Fatma Eser</t>
  </si>
  <si>
    <t>Bahçelievler Mah. Tepebağlar Cad. No:14/B Talas/KAYSERİ</t>
  </si>
  <si>
    <t>61c445796ad39c8085a33420</t>
  </si>
  <si>
    <t>Doymix, Kocasinan (Erkilet Ertuğrul Gazi Mah.)</t>
  </si>
  <si>
    <t>Metin Höyüklüoğlu</t>
  </si>
  <si>
    <t>Ertuğrul Gazi Mah. 4340. Sok. No:9/A Kocasinan/KAYSERİ</t>
  </si>
  <si>
    <t>Ahmet Bey 5386028117 öğle molasından gelince aranacak</t>
  </si>
  <si>
    <t>622fad7d86911f6481164b46</t>
  </si>
  <si>
    <t>Döner House, Melikgazi (Altınoluk Mah.)</t>
  </si>
  <si>
    <t>Abdullah Aydoğan</t>
  </si>
  <si>
    <t>Altınoluk Mah., Veysel Cad., No:8/D,Melikgazi, Kayseri</t>
  </si>
  <si>
    <t xml:space="preserve">ramazan sonra olabilir dedi </t>
  </si>
  <si>
    <t>5fe1c0b56ce3dd9f37cfd74d</t>
  </si>
  <si>
    <t>Dönerci Baba, Melikgazi (Gültepe Mah.)</t>
  </si>
  <si>
    <t>Eski Hama İlerisi, Gültepe Mah. Mustafa Şimşek Bulv. Zafer Apt. Altı, 38030 Melikgazi/Kayseri</t>
  </si>
  <si>
    <t xml:space="preserve">devam çekimi eksik ürünler için istedi//TEYİT İÇİN ARANDI GİDİLMEMİŞ İSTİYOR / istemiyor </t>
  </si>
  <si>
    <t>6233900c8cfe1e7c68d57c60</t>
  </si>
  <si>
    <t>Dönercimmm, Melikgazi (Fatih Mah. - İldem)</t>
  </si>
  <si>
    <t>Merve Güleç</t>
  </si>
  <si>
    <t>Gesi Fatih Mah., Hanedan Sok, No:24/C, Melikgazi, Kayseri</t>
  </si>
  <si>
    <t xml:space="preserve">hiç gerek yok dedi </t>
  </si>
  <si>
    <t>5feaf45adc26c732aad052c0</t>
  </si>
  <si>
    <t>Dört Döner, Melikgazi (Hürriyet Mah.)</t>
  </si>
  <si>
    <t>Burhan Vural</t>
  </si>
  <si>
    <t>Çorakçılar Mah. Cengiz Topel Cad. No:33/B Melikgazi/KAYSERİ</t>
  </si>
  <si>
    <t>Aydınlıkevler mah olarak değişmiş.</t>
  </si>
  <si>
    <t>623efe4fee9d439f3d670376</t>
  </si>
  <si>
    <t>Dünya Tantuni &amp; Döner, Merkez (Esentepe Mah.)</t>
  </si>
  <si>
    <t>Musa Dünya</t>
  </si>
  <si>
    <t>Esentepe Mah., Ahmet Gazi Ayhan Blv., No:119/B, Melikgazi, Kayseri</t>
  </si>
  <si>
    <t xml:space="preserve">şuan olmaz ramazandan sonra dedi </t>
  </si>
  <si>
    <t>5fcfd64e40fbdb8962745940</t>
  </si>
  <si>
    <t>Efece Ev Yemekleri, Talas (Bahçelievler)</t>
  </si>
  <si>
    <t>Gülten Özmen</t>
  </si>
  <si>
    <t>Bahçelievler, Hacı Cemil 1. Sk. 25/A, 38280 Talas/Kayseri</t>
  </si>
  <si>
    <t>getir yemeği kapattım kullanmıyorum dedi</t>
  </si>
  <si>
    <t>62338d248ae6262839d64241</t>
  </si>
  <si>
    <t>Ekler Pastanesi, Melikgazi (Demokrasi Mah. - Toki)</t>
  </si>
  <si>
    <t>Nediret Sarıbaş</t>
  </si>
  <si>
    <t>Bahçelievler Mah, Kocasinan İkinci Cad., No:61/A, Melikgazi, Kayseri</t>
  </si>
  <si>
    <t>617001f241c58959fc76d760</t>
  </si>
  <si>
    <t>Ekol Baklava, Melikgazi (Cumhuriyet Mah.)</t>
  </si>
  <si>
    <t>Resul Doğan</t>
  </si>
  <si>
    <t>Kiçikapı</t>
  </si>
  <si>
    <t>Cumhuriyet Mah. İnönü Blv. No:27/E Melikgazi/KAYSERİ</t>
  </si>
  <si>
    <t>Enes/ 5059721737</t>
  </si>
  <si>
    <t>6177cfe5e69f8b6e96608384</t>
  </si>
  <si>
    <t>Ekrem Coşkun Döner, Melikgazi (Cumhuriyet Mah.)</t>
  </si>
  <si>
    <t>Necmettin Koç</t>
  </si>
  <si>
    <t>Şehit Nazımbey</t>
  </si>
  <si>
    <t>Cumhuriyet Mah. İnönü Blv. No:65 Melikgazi/KAYSERİ</t>
  </si>
  <si>
    <t>6177d13cad67cfdae628e600</t>
  </si>
  <si>
    <t>Ekrem Coşkun Döner, Talas (Bahçelievler Mah.)</t>
  </si>
  <si>
    <t>Bahçelievler Mah. Atatürk Blv. No:22/B Talas/KAYSERİ</t>
  </si>
  <si>
    <t>61be02cdab91f507233807f1</t>
  </si>
  <si>
    <t>Ekrem Usta Adana Sofrası, Talas (Yenidoğan Mah.)</t>
  </si>
  <si>
    <t>Abdullah Toprak</t>
  </si>
  <si>
    <t>Yenidoğan Mah. Timuçin Cad. No:23/A Talas/KAYSERİ</t>
  </si>
  <si>
    <t>5fd5e388cba35d420dd1898e</t>
  </si>
  <si>
    <t>Elit 38 Lahmacun &amp; Pide Talas (Mevlana Mah.)</t>
  </si>
  <si>
    <t>Onur Karakoç</t>
  </si>
  <si>
    <t>Mevlana Mh. Bilge Kağan Cd. B giriş No: 30/E</t>
  </si>
  <si>
    <t>Cenazesi varmış tekrar randevu 5309223386 onur beyle iletişime geçilecek // ramazandan dolayı ürün sayım az o yüzden ileri tarih daha iyi olur der//yetkili yarım saat sonra gelir dedi//7 e doğru aranacak//TEYİT İÇİN ARANDI YET YOK</t>
  </si>
  <si>
    <t>623240e8a018803c5e12a2f5</t>
  </si>
  <si>
    <t>Kenan Karakoç</t>
  </si>
  <si>
    <t>Mevlana Mah. Cemil Baba Cad. No:34/C Talas/KAYSERİ</t>
  </si>
  <si>
    <t xml:space="preserve">bayramdan sonra </t>
  </si>
  <si>
    <t>625ac89f3987772e723f3209</t>
  </si>
  <si>
    <t>Elit Cafe, Kocasinan (Alsancak Mah.)</t>
  </si>
  <si>
    <t>SELİM KAHRAMAN</t>
  </si>
  <si>
    <t>Alsancak mah. Osmangazi cad. 91 Kocasinan/KAYSERİ</t>
  </si>
  <si>
    <t xml:space="preserve">ancak bayramdan sonra olabilir dedi </t>
  </si>
  <si>
    <t>61f2cf6a0c08b5659373c751</t>
  </si>
  <si>
    <t>Emeyra Lezzetler, Kocasinan (Mevlana Mah.)</t>
  </si>
  <si>
    <t>Rabia Ergül</t>
  </si>
  <si>
    <t>Mevlana Mah. Çalışkan Sok. N0:5/1 Kocasinan/KAYSERİ</t>
  </si>
  <si>
    <t>0352 338 49 09 / Gamze Hanım 5424536897 / Saat 2 gibi aranacak</t>
  </si>
  <si>
    <t>6231849de64f28ea2d727f96</t>
  </si>
  <si>
    <t>Eminönü Hatay Soslu Döner, Melikgazi (Şirintepe Mah.)</t>
  </si>
  <si>
    <t>Nevzat Yalçın</t>
  </si>
  <si>
    <t>Şirintepe</t>
  </si>
  <si>
    <t>Şirintepe Mah., Malazgirt Blv., No:26, Melikgazi, Kayseri</t>
  </si>
  <si>
    <t xml:space="preserve">getiri kullanamıyorlarmış şifre vermemiş getir </t>
  </si>
  <si>
    <t>61c1a9e0683d374090f0c09a</t>
  </si>
  <si>
    <t>Emsi Malatya Pide &amp; Lahmacun, Melikgazi (Anafartalar Mah.)</t>
  </si>
  <si>
    <t>Sinan Koçak</t>
  </si>
  <si>
    <t>Anafartalar</t>
  </si>
  <si>
    <t>Anafartalar Mah. Postane Sok. No:4/F Melikgazi/KAYSERİ</t>
  </si>
  <si>
    <t>panelde görsel istemiyo</t>
  </si>
  <si>
    <t>61e680ee2d69d30b2b933ff9</t>
  </si>
  <si>
    <t>Ender Restaurant, Talas (Kiçiköy Mah.)</t>
  </si>
  <si>
    <t>Serdar Çaparoğlu</t>
  </si>
  <si>
    <t>Kiçiköy Mah. Atatürk Blv. No:93/B Talas/KAYSERİ</t>
  </si>
  <si>
    <t>5fea19c5e97c0d573cd0f99e</t>
  </si>
  <si>
    <t>Enfess Lahmacun &amp; Pide, Talas (Mevlana Mah.)</t>
  </si>
  <si>
    <t>Fadime Yıldırım</t>
  </si>
  <si>
    <t>Mevlana Mah. Papatya Cad. No:21/A Talas/KAYSERİ</t>
  </si>
  <si>
    <t>5ff72602e348f64d26a1cde3</t>
  </si>
  <si>
    <t>Erdem Malatya Pide Fırını, Kocasinan (Gevhernesibe Mah.)</t>
  </si>
  <si>
    <t>Volkan Demirci</t>
  </si>
  <si>
    <t>Gevhernesibe Mah. İstasyon Cad. No:19/B Kocasinan/KAYSERİ</t>
  </si>
  <si>
    <t>608016cba1b8bed169d62760</t>
  </si>
  <si>
    <t>Erdo Dondurma, Kocasinan (Fevzi Çakmak Mah.)</t>
  </si>
  <si>
    <t>Yüksel zaman</t>
  </si>
  <si>
    <t>Fevzi Çakmak Mah. Fevzi Çakmak Cad. No:1/B Kocasinan/KAYSERİ</t>
  </si>
  <si>
    <t xml:space="preserve">Kendim sizi aramak istiyorum hazırlık yapmam gerek der//hazırlık yapmam gerek ben istediğimde sizlere dönüş yaparım der / sezonu daha açılmamış </t>
  </si>
  <si>
    <t>6227614b45c0dc2135c244ef</t>
  </si>
  <si>
    <t>Erkilet Saray Kebap, Kocasinan (Erkilet Dere Mah.)</t>
  </si>
  <si>
    <t>624b32d790f7c3ea21b06625</t>
  </si>
  <si>
    <t>Ermir Döner, Kocasinan (Yakut Mah.)</t>
  </si>
  <si>
    <t>Fatma Arslan</t>
  </si>
  <si>
    <t>Yakut</t>
  </si>
  <si>
    <t>Yakut Mah. 3845. Cad. No: 16/A Kocasinan/KAYSERİ</t>
  </si>
  <si>
    <t xml:space="preserve">fotoğraflarıvarmış mail adresine atacak </t>
  </si>
  <si>
    <t>621793a4f6a8cabdecc9e78b</t>
  </si>
  <si>
    <t>Erol'ca Cafe, Talas (Yenidoğan Mah.)</t>
  </si>
  <si>
    <t>Erdoğan Kanlıoğlu</t>
  </si>
  <si>
    <t>Yenidoğan Mah. Mehmet Akif Ersoy Cad. No:19/B Talas/KAYSERİ</t>
  </si>
  <si>
    <t xml:space="preserve">ileride istiyo - ulaşılamadı </t>
  </si>
  <si>
    <t>5fd62ba19685d478b8ef41ff</t>
  </si>
  <si>
    <t>Eski Tostum Talas(Mevlana Mah.)</t>
  </si>
  <si>
    <t>5ff9b9d9b765dd641db09ab1</t>
  </si>
  <si>
    <t>Express 4 Döner, Kocasinan (Fevzi Çakmak Mah.)</t>
  </si>
  <si>
    <t>Alev Gökoğuz</t>
  </si>
  <si>
    <t>Fevzi Çakmak Mah. Bozantı Cad. No:96/A Kocasinan/KAYSERİ</t>
  </si>
  <si>
    <t xml:space="preserve">5548608802/ sabah saatlerinde ara//fotoğrafları kontrol edecek mail verildi - eşi mesut beyden randevu alındı </t>
  </si>
  <si>
    <t>5ff478dcce622f8f63cd4b60</t>
  </si>
  <si>
    <t>Eylül Kebap &amp; Çorba, Kocasinan (Erkilet Dere Mah.)</t>
  </si>
  <si>
    <t>Sezai Aydın</t>
  </si>
  <si>
    <t>Erkilet Dere Mah. 4340.Sok. Rüveyda Konağı No:17/B Kocasinan/KAYSERİ</t>
  </si>
  <si>
    <t>624bfdcdb9d1df3812d1c5e5</t>
  </si>
  <si>
    <t>Fatma Abla, Melikgazi (Esenyurt Mah.)</t>
  </si>
  <si>
    <t>FATMA KOÇ</t>
  </si>
  <si>
    <t>Battalgazi</t>
  </si>
  <si>
    <t>Esenyurt mah.Kartal Blv.33-D Melikgazi/KAYSERİ</t>
  </si>
  <si>
    <t xml:space="preserve">yetkili öğleden sonra gelecek </t>
  </si>
  <si>
    <t>620bdcf587b2af72789c83fc</t>
  </si>
  <si>
    <t>Fatma Abla, Talas (Mevlana Mah.)</t>
  </si>
  <si>
    <t>Zahide Hasdemir</t>
  </si>
  <si>
    <t>Mevlana Mah. Turgut Özal Cad. No:8/A Talas/KAYSERİ</t>
  </si>
  <si>
    <t>6254854a13747771da526820</t>
  </si>
  <si>
    <t>Fazıloğlu Ata Sofrası, Kocasinan (Şeker Mah.)</t>
  </si>
  <si>
    <t>Muhammet Ata Çakmak</t>
  </si>
  <si>
    <t>Oymaağaç</t>
  </si>
  <si>
    <t>Oymaağaç Mah., 5062.Cad., 2.Blok, No:71/A, Kocasinan, Kayseri</t>
  </si>
  <si>
    <t xml:space="preserve">beni 4 gibi arayın dedi </t>
  </si>
  <si>
    <t>6019637aa9c5cf9665c50d65</t>
  </si>
  <si>
    <t>Fors Beyaz Saray Kebap, Melikgazi (Cumhuriyet Mah.-İldem)</t>
  </si>
  <si>
    <t>Coşkun Altıparmak</t>
  </si>
  <si>
    <t>İldem Cumhuriyet Mah. Gün Sazak Cad. No:98/A Melikgazi/KAYSERİ</t>
  </si>
  <si>
    <t>5fec84f1333ef59d50af42eb</t>
  </si>
  <si>
    <t>Fors Beyaz Saray Kebap, Melikgazi (Demokrasi Mah. - Toki)</t>
  </si>
  <si>
    <t>Fatma Aksu</t>
  </si>
  <si>
    <t>Demokrasi</t>
  </si>
  <si>
    <t>Mimarsinan Demokrasi Mah. Adnan Menderes 1. Cad. No:7/2 Melikgazi/KAYSERİ</t>
  </si>
  <si>
    <t xml:space="preserve">fatma hanım yokmuş daha sonra aranacak // yarın ara//açmadılar/açmadılar/açmadılar/açmadı/ytk yoktu //yarım saat sonra ara//tabelasını değiştirecekmiş 2 hafta sonra arayın randevu oluşturulabilir./ kuryesi yokmuş şuan çekim düşünmüyor </t>
  </si>
  <si>
    <t>6156d69a3f7ee81e0f44f3f3</t>
  </si>
  <si>
    <t>Garden L'uva, Kocasinan (Ahi Evran Mah.)</t>
  </si>
  <si>
    <t>Uğur Murat Dirim</t>
  </si>
  <si>
    <t>Ahi Evran Mah. 410. Sok. No:19 Kocasinan/KAYSERİ</t>
  </si>
  <si>
    <t>5fd892204d8cc04fbb7f3fae</t>
  </si>
  <si>
    <t>Gazi Çiğ Köfte, Melikgazi (Alpaslan Mah.)</t>
  </si>
  <si>
    <t>3-4 şubesi varmış//getiri kullanmıyormuş</t>
  </si>
  <si>
    <t>5fd88f8043e70230231acefd</t>
  </si>
  <si>
    <t>Gazi Çiğ Köfte, Melikgazi (Köşk Mah.)</t>
  </si>
  <si>
    <t>Köşk Mah. Mustafa Şimşek Cad. Hisar Apt. No:56/D Melikgazi/KAYSERİ</t>
  </si>
  <si>
    <t>çekim gerçekleşmiş ama yüklenmemiş henüz</t>
  </si>
  <si>
    <t>5fd893afd92b42038db945c8</t>
  </si>
  <si>
    <t>Gazi Çiğ Köfte, Talas (Bahçelievler Mah.)</t>
  </si>
  <si>
    <t>açmadılar// yetkili yok köşk şubesinde dedi</t>
  </si>
  <si>
    <t>60e423824c4404836a677c6e</t>
  </si>
  <si>
    <t>Gaziantep Fıstıklım Baklavaları, Melikgazi (Bahçelievler Mah.)</t>
  </si>
  <si>
    <t>603e1a51bd73dd8c09e659d1</t>
  </si>
  <si>
    <t>Gaziantep Osman Güllioğlu Baklavaları, (Erciyesevler Mah.)</t>
  </si>
  <si>
    <t>Osman Dikici</t>
  </si>
  <si>
    <t>Erciyesevler Mah. Tuna Cad. No:30/A Kocasinan/KAYSERİ</t>
  </si>
  <si>
    <t>6108ffc2ca892c6f147c61e4</t>
  </si>
  <si>
    <t>Gaziayıntap Baklava &amp; Tatlı, Melikgazi (Yeşilyurt Mah.)</t>
  </si>
  <si>
    <t>Harun Ataş</t>
  </si>
  <si>
    <t>Yeşilyurt Mah. 2357.Cad. No:61/G Melikgazi/KAYSERİ</t>
  </si>
  <si>
    <t>devam cekımı</t>
  </si>
  <si>
    <t>624b264b18048df4d7acb977</t>
  </si>
  <si>
    <t>Gelateria Dondurma, Melikgazi (Köşk Mah.)</t>
  </si>
  <si>
    <t>Hürü Şahin</t>
  </si>
  <si>
    <t>Köşk Mah. Köşk Cad. No:65/B Melikgazi/KAYSERİ</t>
  </si>
  <si>
    <t>61b9fc813b26a224b120d224</t>
  </si>
  <si>
    <t>Germirlioğlu Et &amp; Pide, Talas (Yenidoğan Mah.)</t>
  </si>
  <si>
    <t>Hülya Germirlioğlu</t>
  </si>
  <si>
    <t>Yenidoğan Mah. Kayabağlar Cad. Hüner Sok. No:10/A Talas/KAYSERİ</t>
  </si>
  <si>
    <t>625189c0fd90594ce43e9da4</t>
  </si>
  <si>
    <t>Gizem Kahvaltı, Melikgazi (Yeniköy Mah.)</t>
  </si>
  <si>
    <t>FURKAN TEKİN</t>
  </si>
  <si>
    <t>Yeniköy mah.Seher blv. no:6 Melikgazi/KAYSERİ</t>
  </si>
  <si>
    <t>şuan müsait değilim dedi yüzüme kapattı</t>
  </si>
  <si>
    <t>6196581b0b5c73f036cc88e4</t>
  </si>
  <si>
    <t>Gold Meat Restaurant, Talas (Mevlana Mah.)</t>
  </si>
  <si>
    <t>Nebahat Hopur</t>
  </si>
  <si>
    <t>Mevlana Mah. Zafer Bayburtluoğlu Cad. No:4/D Talas/KAYSERİ</t>
  </si>
  <si>
    <t>5387257052 cep numarası bu ama açmıyor</t>
  </si>
  <si>
    <t>60b6530f8d4a686d59845387</t>
  </si>
  <si>
    <t>Golden Pack Street Food, Talas (Mevlana Mah.)</t>
  </si>
  <si>
    <t>Berrin Şener</t>
  </si>
  <si>
    <t>Mevlana Mah. Metehan Sok. No:40/B Talas/KAYSERİ</t>
  </si>
  <si>
    <t>devir aşamasındalarmış</t>
  </si>
  <si>
    <t>6252b5c6df13af24f1c81211</t>
  </si>
  <si>
    <t>Göksel Tantuni, Kocasinan (Mimarsinan Mah.)</t>
  </si>
  <si>
    <t>Nurettin Ünal</t>
  </si>
  <si>
    <t>Mimarsinan MAh., Sivas Blv., Ümit Apt., No:163/A, Melikgazi, Kayseri</t>
  </si>
  <si>
    <t xml:space="preserve">ramazan dolayısıyla ürün sayımız az bayramdan sonra gelin dedi </t>
  </si>
  <si>
    <t>624870e0b1916d6dfccc54d0</t>
  </si>
  <si>
    <t>Göksel Tantuni, Talas (Yenidoğan Mah.)</t>
  </si>
  <si>
    <t>Ekrem Aras</t>
  </si>
  <si>
    <t>Yenidoğan Mah., Atatürk Blv., No:15, Talas, Kayseri</t>
  </si>
  <si>
    <t xml:space="preserve">öğlen saat 15.00 gibi gelir yetkili dedi  - yetkili şermin hanımdan randevu alındı 05524398892 </t>
  </si>
  <si>
    <t>6220c26a86b42d7213d2b11d</t>
  </si>
  <si>
    <t>Görkem Fırın, Talas (Mevlana Mah.)</t>
  </si>
  <si>
    <t>Serkan Serçel</t>
  </si>
  <si>
    <t>Mevlana Mah., Gözde Sok., No:33/A, Talas/Kayseri</t>
  </si>
  <si>
    <t>ne zaman yoğun olacağım belli değil 2-3 tane ürün çıkartırım anca  ben sizlere dedi / yok teşekkür ederim dedi kapattı</t>
  </si>
  <si>
    <t>6254881f9d7cd3a4906d74ee</t>
  </si>
  <si>
    <t>Green Flower Cafe, Kocasinan (Sahabiye Mah.)</t>
  </si>
  <si>
    <t>Duran Can</t>
  </si>
  <si>
    <t>Sahabiye Mah., Otak Sok., No:10/A, Kocasinan, Kayseri</t>
  </si>
  <si>
    <t>5fddfc12fdea333ff4dec27b</t>
  </si>
  <si>
    <t>Gurme Dondurma &amp; Cafe, Talas (Yenidoğan Mah.)</t>
  </si>
  <si>
    <t>Salata</t>
  </si>
  <si>
    <t>İsmail Tekgöz</t>
  </si>
  <si>
    <t>Yenidoğan, Bilge Kağan Cd, 38280 Talas/Kayseri</t>
  </si>
  <si>
    <t xml:space="preserve">1AY SONRA arancak- ulaşılamadı </t>
  </si>
  <si>
    <t>607eb8b5d384d4a611d37047</t>
  </si>
  <si>
    <t>Gül Sofrası Develi Cıvıklısı &amp; Ev Yemekleri, (Bahçelievler Mah.)</t>
  </si>
  <si>
    <t>Gülüzar Turhan</t>
  </si>
  <si>
    <t>Bahçelievler Mah. Dedeoğlu 1. Sok. No:8/A Talas/KAYSERİ</t>
  </si>
  <si>
    <t xml:space="preserve">1 hafta  sonra aranacak elemanı korona olmuş aynı zamanda menü de değişiklik yapacak  - fırını daha yapılmamış ramazan dan sonra randevu alınabilir / ramazanda kapalı </t>
  </si>
  <si>
    <t>625489eb164c07e77d98574d</t>
  </si>
  <si>
    <t>Gümüş Sini, Talas (Harman Mah.)</t>
  </si>
  <si>
    <t>Süleyman Soydan</t>
  </si>
  <si>
    <t>Harman Mah., Tepebağlar Cad., No:1/E, Talas, Kayseri</t>
  </si>
  <si>
    <t xml:space="preserve">OĞLU SERKAN BEYDEN RANDEVU ALINDI </t>
  </si>
  <si>
    <t>61d566bc0e3cdd36fd5e240d</t>
  </si>
  <si>
    <t>Güneş Pide, Melikgazi (Kazımkarabekir Mah.)</t>
  </si>
  <si>
    <t>Fatih Süleyman Güneş</t>
  </si>
  <si>
    <t>Kazımkarabekir Mah. Toros Cad. No:36 Melikgazi/KAYSERİ</t>
  </si>
  <si>
    <t xml:space="preserve">mail atacak </t>
  </si>
  <si>
    <t>60b8fbc42d25bfe8ef11b846</t>
  </si>
  <si>
    <t>Güneyce Etsiz Çiğ Köfte, Kocasinan (Mithat Paşa Mah.)</t>
  </si>
  <si>
    <t>Suat Şahin</t>
  </si>
  <si>
    <t>Mithatpaşa</t>
  </si>
  <si>
    <t>Mithat Paşa Mah. Erkilet Blv. No:181/B Kocasinan/KAYSERİ</t>
  </si>
  <si>
    <t>619a39df8ba522fe788fcdb2</t>
  </si>
  <si>
    <t>Güneyce Etsiz Çiğ Köfte, Kocasinan (Yenidoğan Mah.)</t>
  </si>
  <si>
    <t>Fatih Kurt</t>
  </si>
  <si>
    <t>Yenidoğan Mah. 3199.Sok. No:7 Kocasinan/KAYSERİ</t>
  </si>
  <si>
    <t xml:space="preserve">60b8fbc42d25bfe8ef11b846 - bu işletmesindeki fotoğrafları kullanmak istiyor </t>
  </si>
  <si>
    <t>62324ed08fc9bb5cdc9380fd</t>
  </si>
  <si>
    <t>Güneyce Etsiz Çiğ Köfte, Talas (Mevlana Mah.)</t>
  </si>
  <si>
    <t>Ahmet Eren Özsoy</t>
  </si>
  <si>
    <t>Mevlana Mah. Şht. Fatih Duman Sok. No:18/B Talas/KAYSERİ</t>
  </si>
  <si>
    <t>6238d1d9f3920243e967ec30</t>
  </si>
  <si>
    <t>Güneyce Etsiz Çiğköfte, Kocasinan (Turgutreis Mah.)</t>
  </si>
  <si>
    <t>Niyazi Bozkurt</t>
  </si>
  <si>
    <t>Turgut Reis Mah., Turgut Reis Cad., C2 Blok, No:13/C, Kocasinan, KAYSERİ</t>
  </si>
  <si>
    <t>617159c388c63b1606443529</t>
  </si>
  <si>
    <t>Hacer &amp; Musti Turşu Evi, Kocasinan (Fevzi Çakmak Mah.)</t>
  </si>
  <si>
    <t>Hacer Gözüküçük</t>
  </si>
  <si>
    <t>Fevzi Çakmak Mah. Sivas Blv. No:73/A Kocasinan/KAYSERİ</t>
  </si>
  <si>
    <t xml:space="preserve">haftaya aranacak - ulaşılamadı </t>
  </si>
  <si>
    <t>5ff348fe3458677f85478293</t>
  </si>
  <si>
    <t>Hacı Sokakta, Talas (Yenidoğan Mah.)</t>
  </si>
  <si>
    <t>Fatih Kılıçkaya</t>
  </si>
  <si>
    <t>Yenidoğan Mah. Atatürk Blv. C Giriş No:11/A Talas/KAYSERİ</t>
  </si>
  <si>
    <t xml:space="preserve">Hürmet Hanım/yarın arayın ortaklarımla görüşmem lazım dedi\\meşgul//ulaşılmıyor//ben bi konuşuyum yarın yine ara/Fatih Bey 5052920985 bu nodan aranacak </t>
  </si>
  <si>
    <t>60f004239808020427fe55ae</t>
  </si>
  <si>
    <t>Halil İbrahim Sofrası, Talas (Mevlana Mah.)</t>
  </si>
  <si>
    <t>Sezer Karakaya</t>
  </si>
  <si>
    <t>Mevlana Mah. Papatya Cad. No:43/C Talas/KAYSERİ</t>
  </si>
  <si>
    <t>yetkili yokmuş daha sonra aranabilri/daha sonra tekrar aranacak</t>
  </si>
  <si>
    <t>61bca70d381129e96f95cb24</t>
  </si>
  <si>
    <t>Halil Usta Adıyaman Çiğ Köftecisi, Talas (Mevlana)</t>
  </si>
  <si>
    <t>Yazgül Ertaş</t>
  </si>
  <si>
    <t>Mevlana Mah. Taslak Sok. No:26/D Talas/KAYSERİ</t>
  </si>
  <si>
    <t>Hamdullah bey</t>
  </si>
  <si>
    <t>60e2ca0165e5e1fe12ccf762</t>
  </si>
  <si>
    <t>Ham Burger, Talas (Mevlana Mah.)</t>
  </si>
  <si>
    <t>HACI MURAT KILIÇ</t>
  </si>
  <si>
    <t>Mevlana Mah.15 Temmuz Cad No:18/C</t>
  </si>
  <si>
    <t>61bcaf426d012a2324cb49fc</t>
  </si>
  <si>
    <t>Handem Cafe &amp; Bistro, Talas (Mevlana Mah.)</t>
  </si>
  <si>
    <t>Mustafa Emir Yılmaz</t>
  </si>
  <si>
    <t>Mevlana Mah. Yavuz Sultan Selim Cad. No:7/A Talas/KAYSERİ</t>
  </si>
  <si>
    <t>Şule Hanım</t>
  </si>
  <si>
    <t>60a8e5abf15cb1d6b1717ac7</t>
  </si>
  <si>
    <t>Has Pide &amp; Lahmacun, Talas (Mevlana Mah.)</t>
  </si>
  <si>
    <t>Osman Dağlı</t>
  </si>
  <si>
    <t>Mevlana Mah. Halef Hoca Cad. No:69/A Talas/KAYSERİ</t>
  </si>
  <si>
    <t xml:space="preserve">tadilat durumumuz var daha sonrası için görüşelim derler. / osman bey gece gelirmiş no da vermediler </t>
  </si>
  <si>
    <t>60e5c92f4fc59a83b552aff2</t>
  </si>
  <si>
    <t>Has Pide 2, Talas (Mevlana Mah.)</t>
  </si>
  <si>
    <t>Hakan Akkar</t>
  </si>
  <si>
    <t>Mevlana Mah. Mehmet Timuçin Cad. No:26/B Talas/Kayseri</t>
  </si>
  <si>
    <t xml:space="preserve">yetkili yok mart ayında gelirmiş yetkili yurtdışındaymış - 4 gibi arayın dedi </t>
  </si>
  <si>
    <t>5fe0c7910a229935fa90f782</t>
  </si>
  <si>
    <t>Hasan Usta Pizza &amp; Lahmacun, Melikgazi (Kılıçaslan Mah.)</t>
  </si>
  <si>
    <t>Hasan Salırlıoğlu</t>
  </si>
  <si>
    <t>Kılıçaslan Mah. ŞHT.ÜTĞM. Mustafa Şimşek Blv. Candoğan Apt. No: 27 A MElikgazi/Kayseri</t>
  </si>
  <si>
    <t>açmadı05346678022 aranacak // çekimi yapılmış// devam çekimi için şuan çok yoğunuz 1 ay sonra tekrar arayabilirsiniz.</t>
  </si>
  <si>
    <t>6228bfb42b92aee6b5f7fb05</t>
  </si>
  <si>
    <t>Hatay Doy's Döner, Talas (Mevlana Mah.)</t>
  </si>
  <si>
    <t>Sibel Sert</t>
  </si>
  <si>
    <t>Mevlana Mah. Cemil Baba Cad. No:15/D Talas/KAYSERİ</t>
  </si>
  <si>
    <t xml:space="preserve">20 dk ya arayın gelir dedi - 15 E - OĞLU EMRE BEYDEN RANDEVU ALINDI </t>
  </si>
  <si>
    <t>61eff4a399a8885d0e11e9f1</t>
  </si>
  <si>
    <t>Hatay Soslu Döner, Melikgazi (Keykubat Mah.)</t>
  </si>
  <si>
    <t>Dilek Kırtaş</t>
  </si>
  <si>
    <t>Keykubat Mah. Yurt Cad. No:102/B Melikgazi/KAYSERİ</t>
  </si>
  <si>
    <t>6223b823602e78378b53f391</t>
  </si>
  <si>
    <t>Hatso, Melikgazi (Cumhuriyet Mah.)</t>
  </si>
  <si>
    <t>Kürşad Gönül</t>
  </si>
  <si>
    <t>Gülük Mah., İnönü Bulv., No:22/D, Melikgazi, Kayseri</t>
  </si>
  <si>
    <t>61f81e8c298e233419bfa795</t>
  </si>
  <si>
    <t>Helvacı Seyid Ahmed, Kocasinan (Sahabiye Mah.)</t>
  </si>
  <si>
    <t>Emre Demiröz</t>
  </si>
  <si>
    <t>Sahabiye Mah. Sivas Blv. No:37/A Kocasinan/KAYSERİ</t>
  </si>
  <si>
    <t>614ce109d712ac3c011ed967</t>
  </si>
  <si>
    <t>Helvacı Yakub Efendi, Melikgazi (Alpaslan Mah.)</t>
  </si>
  <si>
    <t>Selman Türkyılmaz</t>
  </si>
  <si>
    <t>Melikgazi Mah. Org. Eşref Bitlis Blv. No:1/A Melikgazi/KAYSERİ</t>
  </si>
  <si>
    <t>6040c8793f01ac892e83abd9</t>
  </si>
  <si>
    <t>Helvacı Yakub Efendi, Melikgazi (Köşk Mah.)</t>
  </si>
  <si>
    <t>Fırat Kekeçoğlu</t>
  </si>
  <si>
    <t xml:space="preserve">Burası Cemal Kuşak Corner  omuş randevu alındı </t>
  </si>
  <si>
    <t>6220b4e6cd3459997386df5b</t>
  </si>
  <si>
    <t>Hg Pizza &amp; Burger, Talas (Mevlana Mah.)</t>
  </si>
  <si>
    <t>Hasan Gürpınar</t>
  </si>
  <si>
    <t>Mevlana Mah., Karasu Cad., No:54/C Talas / Kayseri</t>
  </si>
  <si>
    <t>12/C</t>
  </si>
  <si>
    <t>5fcfd488f6dd3a5bc82596bd</t>
  </si>
  <si>
    <t>Hisar, Melikgazi (Kılıçaslan Mah.)</t>
  </si>
  <si>
    <t>Ercan Göktepe</t>
  </si>
  <si>
    <t>Kılıçaslan Mah., Şht. Ütğm. Mustafa Şimşek Blv., No:51, Melikgazi, Kayseri, Türkiye</t>
  </si>
  <si>
    <t>Talas/Bahçelievler mahallesinde çekim sağlanacak hedef listede bulamadım randevusu oluşturuldu/3524374422</t>
  </si>
  <si>
    <t>5fcfd35e16bc5879a1db4701</t>
  </si>
  <si>
    <t>Hisar, Talas (Bahçelievler Mah.)</t>
  </si>
  <si>
    <t>Burak Göktepe</t>
  </si>
  <si>
    <t>Bahçelievler, Mevlana Cd. No:13 D:E, 38280 Talas/Kayseri</t>
  </si>
  <si>
    <t xml:space="preserve">3524374422 / ramazandab bir ay önce gelip çekim yepıldı dedi </t>
  </si>
  <si>
    <t>.</t>
  </si>
  <si>
    <t>5fe5c275ce622f0674cb33d9</t>
  </si>
  <si>
    <t>Hizmet Çorba Kebap, Kocasinan (Sahabiye Mah.)</t>
  </si>
  <si>
    <t>Mehmet Özen</t>
  </si>
  <si>
    <t>Sahabiye Mah. İstasyon Cad. Ak İş Merkezi No:14/A Kocasinan/KAYSERİ</t>
  </si>
  <si>
    <t>fotoğrafcı/ feyza yıldırım</t>
  </si>
  <si>
    <t>60408eecc6abf4ac0ae09798</t>
  </si>
  <si>
    <t>Huzur Kebap, Talas (Mevlana Mah.)</t>
  </si>
  <si>
    <t>Aydın Işık</t>
  </si>
  <si>
    <t>Mevlana Mah. Cemil Baba Cad. No:40/A Talas/KAYSERİ</t>
  </si>
  <si>
    <t>alındı/TEYİT İÇİN ARANDI GERÇEKLEŞTİ</t>
  </si>
  <si>
    <t>6233555f84f29c03cecb0138</t>
  </si>
  <si>
    <t>İkinci Bahar Ev Yemekleri, Melikgazi (Cumhuriyet Mah.)</t>
  </si>
  <si>
    <t>Hatice Kaya</t>
  </si>
  <si>
    <t>Camikebir Mah., Cumhuriyet Cad., No:30, Melikgazi, Kayseri</t>
  </si>
  <si>
    <t>62221fb8c2d3fbc67036e7f5</t>
  </si>
  <si>
    <t>İldem İnegöl Köftecisi, Melikgazi (Cumhuriyet Mah. - İldem)</t>
  </si>
  <si>
    <t>Bircan Özdemir</t>
  </si>
  <si>
    <t>İldem Cumhuriyet Mah., Tekin Sok., No:146, Melikgazi, Kayseri</t>
  </si>
  <si>
    <t>61facd325c09deef5617438c</t>
  </si>
  <si>
    <t>İldem Pide, Melikgazi (Cumhuriyet Mah. - İldem)</t>
  </si>
  <si>
    <t>Bayram Aydemir</t>
  </si>
  <si>
    <t>Gesi Cumhuriyet Mah. Gün Sazak Cad. No:70 Melikgazi/KAYSERİ</t>
  </si>
  <si>
    <t>623e0ddfe670bce4ddf3e323</t>
  </si>
  <si>
    <t>İnci Köşk, Kocasinan (Beyazşehir Mah.)</t>
  </si>
  <si>
    <t>Gıyasettin Bozkaya</t>
  </si>
  <si>
    <t>Kocasinan Mah. Marifet Cad. No:5/A Kocasinan/KAYSERİ</t>
  </si>
  <si>
    <t xml:space="preserve">saat 5 gibi ara </t>
  </si>
  <si>
    <t>6180e4008add790da7dcf398</t>
  </si>
  <si>
    <t>İstanbul Çiğ Köfte, Kocasinan (Argıncık Mah.)</t>
  </si>
  <si>
    <t>Murat Akkuş</t>
  </si>
  <si>
    <t>Kayabaşı</t>
  </si>
  <si>
    <t>Argıncık Mah. Kocasinan Blv. No:359/B Kocasinan/KAYSERİ</t>
  </si>
  <si>
    <t>5ffc472a68b4947f398ee949</t>
  </si>
  <si>
    <t>İstanbul Çiğ Köfte, Kocasinan (Barbaros Mah.)</t>
  </si>
  <si>
    <t>Ünal Comart</t>
  </si>
  <si>
    <t>Barbaros Mah. Külden Sok. No:5/A Kocasinan/KAYSERİ</t>
  </si>
  <si>
    <t xml:space="preserve">5425032650-fotoğrafcı hanifi/daha sonrarandv. istedi//yet yok//İLERDE RANDEVU İSTİYOR - ramazanda olabilir dedi / ramazandan sonra dedi </t>
  </si>
  <si>
    <t>Derya Tatlı</t>
  </si>
  <si>
    <t>6113f725b13ec61925f5e54a</t>
  </si>
  <si>
    <t>İstanbul Çiğ Köfte, Kocasinan (Erciyesevler Mah.)</t>
  </si>
  <si>
    <t>MESUT ERDEM</t>
  </si>
  <si>
    <t>Erciyesevler Mah. Tuna Cad. No:30/D Kocasinan/KAYSERİ</t>
  </si>
  <si>
    <t>6234967e32f2290ae9fd400a</t>
  </si>
  <si>
    <t>İstanbul Çiğ Köfte, Kocasinan (Erkilet Osman Gazi Mah.)</t>
  </si>
  <si>
    <t>Volkan Gice</t>
  </si>
  <si>
    <t>Erkilet Osmangazi Mah. Erkilet Blv. No:556/B Kocasinan/KAYSERİ</t>
  </si>
  <si>
    <t xml:space="preserve">yetkili 4 de gelecek </t>
  </si>
  <si>
    <t>60ad0859cae63695d9f32423</t>
  </si>
  <si>
    <t>İstanbul Çiğ Köfte, Kocasinan (Mithat Paşa Mah.)</t>
  </si>
  <si>
    <t>Nizamettin Cengiz</t>
  </si>
  <si>
    <t>MİTHATPAŞA MAH ÖĞÜN CAD.İŞLER APT.23/B KOCASİNAN/KAYSERİ</t>
  </si>
  <si>
    <t>61f1181b192409248a45d484</t>
  </si>
  <si>
    <t>İstanbul Çiğ Köfte, Kocasinan (Sahabiye Mah.)</t>
  </si>
  <si>
    <t>Mustafa Özcan</t>
  </si>
  <si>
    <t>Fatih</t>
  </si>
  <si>
    <t>Sahabiye Mah. Seher Sok. No:12/1A KOCASİNAN/KAYSERİ</t>
  </si>
  <si>
    <t>15 20 dk sonra</t>
  </si>
  <si>
    <t>601aadb23740f15bd4a0c843</t>
  </si>
  <si>
    <t>İstanbul Çiğ Köfte, Melikgazi (Altınoluk Mah.)</t>
  </si>
  <si>
    <t>Ali Deveci</t>
  </si>
  <si>
    <t>Altınoluk Mah. Seher Blv. No:35/A Melikgazi/KAYSERİ</t>
  </si>
  <si>
    <t>5320599603/</t>
  </si>
  <si>
    <t>616697bb638d1fef7191fdb2</t>
  </si>
  <si>
    <t>İstanbul Çiğ Köfte, Melikgazi (Bahçelievler Mah.)</t>
  </si>
  <si>
    <t>Şura Yıldız</t>
  </si>
  <si>
    <t>Bahçelievler Mah. Kocasinan 2. Cad. No:25/B Melikgazi/KAYSERİ</t>
  </si>
  <si>
    <t xml:space="preserve">yarın müsaitlik durumuna göre dönecek bana / haftaya alınabilir </t>
  </si>
  <si>
    <t>622755b4ad4d95515f0188b7</t>
  </si>
  <si>
    <t>İstanbul Çiğ Köfte, Melikgazi (Esenyurt Mah.)</t>
  </si>
  <si>
    <t>Recep Tayyip Özüdok</t>
  </si>
  <si>
    <t>Esenyurt Mah. Erciyes Blv. No:146/A Melikgazi/KAYSERİ</t>
  </si>
  <si>
    <t>602fd380fbe5056de6aa0b73</t>
  </si>
  <si>
    <t>İstanbul Çiğ Köfte, Melikgazi (Germir Mah.)</t>
  </si>
  <si>
    <t>Nafiye Soyer</t>
  </si>
  <si>
    <t>Konaklar</t>
  </si>
  <si>
    <t>Konaklar Mah. Konaklar Cad. No:120/B Melikgazi/KAYSERİ</t>
  </si>
  <si>
    <t>Keyifsizim hastayım o yüzden der ileri tarih için de aranmak istemiyor/5449146472göksel/getir yemekten memnun değil istemiyor</t>
  </si>
  <si>
    <t>5fe9e4e458f3ac1da0e55890</t>
  </si>
  <si>
    <t>İstanbul Çiğ Köfte, Melikgazi (Kılıçaslan Mah.)</t>
  </si>
  <si>
    <t>Yılmaz Hasoğlu</t>
  </si>
  <si>
    <t>Kılıçaslan Mah. Sivas Blv. No:50/E Melikgazi/KAYSERİ</t>
  </si>
  <si>
    <t>kendisi çekecekmiş//MÜSAİT DEĞİLMİŞ GEREKTE DUYMUYORMUŞ</t>
  </si>
  <si>
    <t>623b6a02905f4c3ebf1bf4cb</t>
  </si>
  <si>
    <t>İstanbul Çiğ Köfte, Melikgazi (Köşk Mah.)</t>
  </si>
  <si>
    <t>Hidayet Ördek</t>
  </si>
  <si>
    <t>Köşk Mah. Sırdar Geçidi Sok. No:2/D Melikgazi/KAYSERİ</t>
  </si>
  <si>
    <t>61c4eaba66ddc459eef16c43</t>
  </si>
  <si>
    <t>İstanbul Çiğ Köfte, Melikgazi (Şirintepe Mah.)</t>
  </si>
  <si>
    <t>Hatice Çalış</t>
  </si>
  <si>
    <t>Şirintepe Mah. Şht. Suat Hayri Dal Cad. No:5 Melikgazi/KAYSERİ</t>
  </si>
  <si>
    <t>Tadilat Var</t>
  </si>
  <si>
    <t xml:space="preserve">tadilat var iki işletmede 1 ay sonra tekrardan iletişime geçilecek </t>
  </si>
  <si>
    <t>61d536d79bc9e9a82db3cec4</t>
  </si>
  <si>
    <t>İstanbul Çiğ Köfte, Melikgazi (Tacettin Veli Mah.)</t>
  </si>
  <si>
    <t>Nejdet Burkay</t>
  </si>
  <si>
    <t>Tacettinveli Mah. Tacettin Veli Blv. No:5A Melikgazi/KAYSERİ</t>
  </si>
  <si>
    <t>62515da7ee180c1eab3cf74e</t>
  </si>
  <si>
    <t>İstanbul Çiğ Köfte, Melikgazi (Yeşilyurt Mah. - İldem)</t>
  </si>
  <si>
    <t>Faruk Şahinkaya</t>
  </si>
  <si>
    <t>Yeşilyurt Mah. Şht. J. Onb. Hakan Türk Cad. No:101/C Melikgazi/KAYSERİ</t>
  </si>
  <si>
    <t>623389c0d5e74bd3175d7db5</t>
  </si>
  <si>
    <t>İstanbul Çiğ Köfte, Talas (Bahçelievler)</t>
  </si>
  <si>
    <t>Coşkun Kocakaya</t>
  </si>
  <si>
    <t>Bahçelievler Mah., Atatürk Blv., No:16/D, Talas, Kayseri</t>
  </si>
  <si>
    <t>61a8e411ad353bf94d24435e</t>
  </si>
  <si>
    <t>İstanbul Çiğ Köfte, Talas (Kiçiköy Mah.)</t>
  </si>
  <si>
    <t>Mustafa Bünyamin Şimşek</t>
  </si>
  <si>
    <t>Kiçiköy Mah. Kayabağlar 2. Sok. No:1/A Talas/KAYSERİ</t>
  </si>
  <si>
    <t>5fde39ef2a802bc980fc9588	İstanbul Çiğ Köfte, Talas (Mevlana Mah.)</t>
  </si>
  <si>
    <t>617983b8b5b6ed558e191735</t>
  </si>
  <si>
    <t>İstanbul Çiğ Köfte, Talas (Mevlana Mah.-Yavuz Sultan Selim Cad.)</t>
  </si>
  <si>
    <t>Gürkan Uğurlu</t>
  </si>
  <si>
    <t>Mevlana Mah. Yavuz Sultan Selim Cad. No:18/D Talas/KAYSERİ</t>
  </si>
  <si>
    <t>5fde39ef2a802bc980fc9588</t>
  </si>
  <si>
    <t>İstanbul Çiğ Köfte, Talas (Mevlana Mah.)</t>
  </si>
  <si>
    <t>Ahmet Sert</t>
  </si>
  <si>
    <t>Mevlana, mercan konağı, Turgut Özal Cd. 8/E, 38280 Talas/Kayseri</t>
  </si>
  <si>
    <t>alındı//TEYİT İÇİN ARANDI GERÇEKLEŞTİ AMA BEĞENMEMİŞ YETKİLİ BİRİSİİYLE GÖRÜŞMEK İSTİYOR</t>
  </si>
  <si>
    <t>6223bb67dea08955093792f3</t>
  </si>
  <si>
    <t>İşte Pilav, Kiçikapı</t>
  </si>
  <si>
    <t>Ertuğrul Çilsalar</t>
  </si>
  <si>
    <t>Cumhuriyet Mah., Serdar Cad., No:30/B, Melikgazi, Kayseri</t>
  </si>
  <si>
    <t xml:space="preserve">şuan kapalıyım bayramdan sonra dedi </t>
  </si>
  <si>
    <t>6223a1e5068ef906a2a1bf1b</t>
  </si>
  <si>
    <t>Jaguar Brasserie, Melikgazi (Alpaslan Mah.)</t>
  </si>
  <si>
    <t>Selahaddin Kitir</t>
  </si>
  <si>
    <t>Alpaslan Mah., Aşık Veysel Cad., Mix AVM Yaşam Merkezi, K:1, No:22/205, Melikgazi/Kayseri</t>
  </si>
  <si>
    <t>61bb26edcfa49e7f8d27532d</t>
  </si>
  <si>
    <t>Jolly Waffles, Kocasinan (Yeni Mah.)</t>
  </si>
  <si>
    <t>Yasemin Rüzgar</t>
  </si>
  <si>
    <t>Yeni Mah. Mustafa Kemal Paşa Blv. No:143/E Kocasinan/KAYSERİ</t>
  </si>
  <si>
    <t>624c0bddb9d1dfcd1cd43b82</t>
  </si>
  <si>
    <t>Just Coffee Love, Melikgazi (Cumhuriyet Mah.)</t>
  </si>
  <si>
    <t>Fatih Nazlı</t>
  </si>
  <si>
    <t>Cumhuriyet Mah., Serdar Cad., No:10, Melikgazi, Kayseri</t>
  </si>
  <si>
    <t>60c354c33a3146e29853ac8b</t>
  </si>
  <si>
    <t>K.Maraş Seyfi Usta Dondurma, Melikgazi (Şirintepe Mah.)</t>
  </si>
  <si>
    <t>Seyfettin Sağırkaya</t>
  </si>
  <si>
    <t>Şehit Suat Hayridal Cad. Şirintepe Mah. No:10/A Melikgazi/KAYSERİ</t>
  </si>
  <si>
    <t>60211577252c442ebb13b73f</t>
  </si>
  <si>
    <t>Kadıköy Çorba &amp; Tantuni, Kocasinan (Erkilet Camiikebir Mah.)</t>
  </si>
  <si>
    <t>Cemil Aladağ</t>
  </si>
  <si>
    <t>Camiikebir</t>
  </si>
  <si>
    <t>Ertuğrul Gazi Mah. Pusula Cad. No:4/B Kocasinan/KAYSERİ</t>
  </si>
  <si>
    <t>yoğun vakit yok sonra dedi</t>
  </si>
  <si>
    <t>5ff597ef1687ab0bc7cc1443</t>
  </si>
  <si>
    <t>Kafkas Mutfak, Kocasinan (Sahabiye Mah.)</t>
  </si>
  <si>
    <t>Cem Ceylan</t>
  </si>
  <si>
    <t>Sahabiye Mah. Ahmet Paşa Cad. No:25/A Kocasinan/KAYSERİ</t>
  </si>
  <si>
    <t>ramazanda kapalıyız diğer ay için tekrar görüşelim</t>
  </si>
  <si>
    <t>615ac7a9c0920d1b67119dab</t>
  </si>
  <si>
    <t>Kahta Çiğ Köfte, Talas (Yenidoğan Mah.)</t>
  </si>
  <si>
    <t>Feride Tak</t>
  </si>
  <si>
    <t>Yenidoğan Mah. Boraevler Sok. No:19/D Talas/KAYSERİ</t>
  </si>
  <si>
    <t>60c0ad195a60787271e369d2</t>
  </si>
  <si>
    <t>Kahvaltı Evi, Talas (Mevlana Mah.)</t>
  </si>
  <si>
    <t>MİKAİL TAŞ</t>
  </si>
  <si>
    <t>Mevlana Mah. Cemil Baba Cad. No:22/H Talas/KAYSERİ</t>
  </si>
  <si>
    <t>meşgul</t>
  </si>
  <si>
    <t>5fd21bb199fe01829eadd170</t>
  </si>
  <si>
    <t>Kanatçı Bahadır, Talas (Yenidoğan Mah.)</t>
  </si>
  <si>
    <t>Hüseyin Bahadır Per</t>
  </si>
  <si>
    <t>mevlana mah. elçibey cad no:38Atalas/ kayseri</t>
  </si>
  <si>
    <t>TEYİT İÇİN ARANDI DEVAM ÇEKİMİ  İSTİYOR / 5060658707 Şuan şehir dışındaymış kayseriye geldiğinde arayacak beni devam çekimi randevusu istiyor</t>
  </si>
  <si>
    <t>5ff741f937b18126ca06b117</t>
  </si>
  <si>
    <t>Kanatçı Kara, Kocasinan (Erciyesevler Mah.)</t>
  </si>
  <si>
    <t>Kağan Kara</t>
  </si>
  <si>
    <t>Erciyesevler Mah. Enginar Cad. No:7 Kocasinan/KAYSERİ</t>
  </si>
  <si>
    <t xml:space="preserve">ramazandan sonra aranacak//şuan   ustası yok daha sonra/yetkili yok okuldaymış- yetkili şehir dışına çıkmış diğer hafta gelir o zaman arayın dedi </t>
  </si>
  <si>
    <t>616d3cf2ae15f6a6bb4efbb4</t>
  </si>
  <si>
    <t>Kapris Döner &amp; Çiğ Köfte, Melikgazi (Tınaztepe Mah.)</t>
  </si>
  <si>
    <t>Bulut Erzurum</t>
  </si>
  <si>
    <t>Tınaztepe</t>
  </si>
  <si>
    <t>Tınaztepe Mah. Dereboyu Sok. No:1 Melikgazi/KAYSERİ</t>
  </si>
  <si>
    <t>617141d314af6f493def8cdb</t>
  </si>
  <si>
    <t>Kasap Döner Express, Talas (Mevlana Mah.)</t>
  </si>
  <si>
    <t>Ekrem Demirtaş</t>
  </si>
  <si>
    <t>Mevlana Mah. 15 Temmuz Cad. No:12/D Talas/KAYSERİ</t>
  </si>
  <si>
    <t>yetkili yok. - 05326580919</t>
  </si>
  <si>
    <t>Kübra Toprak</t>
  </si>
  <si>
    <t>614a166e092473606f3d7443</t>
  </si>
  <si>
    <t>Kaya Hatay Döner, Melikgazi (Bahçelievler Mah.)</t>
  </si>
  <si>
    <t>Mehmet Kaya</t>
  </si>
  <si>
    <t>Bahçelievler Mah. 3187. Sok. No:1/A Melikgazi/KAYSERİ</t>
  </si>
  <si>
    <t>biz çok fazla yoğun oluyoruz vakit ayıramayız der</t>
  </si>
  <si>
    <t>62220239abb2a67ac0446469</t>
  </si>
  <si>
    <t>Kaya Senem Dürüm, Kocasinan (Erkilet Osman Gazi Mah.)</t>
  </si>
  <si>
    <t>Osmangazi Mah., Ahmet Arısoy Cad., No:41/A, Kocasinan, Kayseri</t>
  </si>
  <si>
    <t>5fe44599d108fc934e2c5492</t>
  </si>
  <si>
    <t>Kaygısız Izgara, Kocasinan (Gevhernesibe Mah.)</t>
  </si>
  <si>
    <t>Serdar Koç</t>
  </si>
  <si>
    <t>Gevhernesibe Mah. Kurşunlu Sok. 13/A Kocasinan, Kayseri</t>
  </si>
  <si>
    <t>5 ürün çıkarabilirim sadece dedi</t>
  </si>
  <si>
    <t>62302beac78991f8bc0ce7c0</t>
  </si>
  <si>
    <t>Kaygısızlar 3, Kocasinan (Gevhernesibe Mah.)</t>
  </si>
  <si>
    <t>Sinan Kaygısız</t>
  </si>
  <si>
    <t>Gevhernesibe Mah., İstasyon Cad., incetan İş Merkezi, No:31/E, Kocasinan, Kayseri</t>
  </si>
  <si>
    <t>61684025160544a76a5f34fb</t>
  </si>
  <si>
    <t>Kayseri Tanzim Restoran, Melikgazi (Yıldırım Beyazıt Mah.)</t>
  </si>
  <si>
    <t>Mustafa Çizmeli</t>
  </si>
  <si>
    <t>Yıldırım Beyazıt</t>
  </si>
  <si>
    <t>Yıldırım Beyazıt Mah. Sivas Blv. No:183 Melikgazi/KAYSERİ</t>
  </si>
  <si>
    <t>ahmet bey /5336022597</t>
  </si>
  <si>
    <t>5ff2e397e152154e7196b321</t>
  </si>
  <si>
    <t>Kebabistan, Melikgazi (Fatih Mah.-İldem)</t>
  </si>
  <si>
    <t>Sultan Yıldız</t>
  </si>
  <si>
    <t>Gesi Fatih Mah. Gün Sazak Cad. No:32/C Melikgazi/KAYSERİ</t>
  </si>
  <si>
    <t xml:space="preserve">sabah saatlerinde aranacak 10-11 arası </t>
  </si>
  <si>
    <t>616844d29f075aa20def72db</t>
  </si>
  <si>
    <t>Kebap 38, Melikgazi (Tacettin Veli Mah.)</t>
  </si>
  <si>
    <t>Mehmet Samed Koşkan</t>
  </si>
  <si>
    <t>Tacettin Veli Mah. Seyyid Burhaneddin Blv. No:34/C Melikgazi/KAYSERİ</t>
  </si>
  <si>
    <t>61cd79daf46da4486e0ddafb</t>
  </si>
  <si>
    <t>Kebap Sarayı, Kocasinan (Erkilet Camiikebir Mah.)</t>
  </si>
  <si>
    <t>Burhan Başboğa</t>
  </si>
  <si>
    <t>Camikebir mah. Zihniye Baykan Cad. No:1/D Kocasinan/KAYSERİ</t>
  </si>
  <si>
    <t>60c4e9bf2e51a7123468fd22</t>
  </si>
  <si>
    <t>Kebapçı Muhtar Usta, Kocasinan (Gevhernesibe Mah.)</t>
  </si>
  <si>
    <t>Ayşe Yalçın</t>
  </si>
  <si>
    <t>Gevher Nesibe Mah. İstasyon cad. No:75/A Kocasinan/Kayseri</t>
  </si>
  <si>
    <t xml:space="preserve">mail adresine fotoğrafları atacak - mail adresi verildi tekrardan </t>
  </si>
  <si>
    <t>619262d251c1a06d9368ed0d</t>
  </si>
  <si>
    <t>Kebapçı Musa Usta, Melikgazi (Osman Kavuncu Mah.)</t>
  </si>
  <si>
    <t>Türkan Başboğa</t>
  </si>
  <si>
    <t>Osman Kavuncu</t>
  </si>
  <si>
    <t>Osman Kavuncu Mah. Kevser Cad. No:81 Melikgazi/KAYSERİ</t>
  </si>
  <si>
    <t xml:space="preserve">yetkili yok daha sonra aranacak  / herşeyi anlattım ama istemedi zaten kaba bir adamdı </t>
  </si>
  <si>
    <t>61a5211474a1d1659e3564af</t>
  </si>
  <si>
    <t>Kebapçı Mustafa, Kocasinan (Yeni Mah.)</t>
  </si>
  <si>
    <t>Kemal Yalnıztaş</t>
  </si>
  <si>
    <t>Yeni</t>
  </si>
  <si>
    <t>Yeni Mah. Hayat Cad. No:9/H Kocasinan/KAYSERİ</t>
  </si>
  <si>
    <t xml:space="preserve">devir etmiş kemal bey </t>
  </si>
  <si>
    <t>60c4be1904ae932dfbb03ecd</t>
  </si>
  <si>
    <t>Kebapçı Numan Baba Torun, Melikgazi (Cumhuriyet Mah.)</t>
  </si>
  <si>
    <t>Furkan Sancakçeken</t>
  </si>
  <si>
    <t>Camikebir Mah. Karanlık Çarşı Sok. No:1 Melikgazi/KAYSERİ</t>
  </si>
  <si>
    <t>muzaffer</t>
  </si>
  <si>
    <t>5fd9ef565cb58955dd0f7178</t>
  </si>
  <si>
    <t>Kebapçı Şahin, Kocasinan (Alsancak Mah.)</t>
  </si>
  <si>
    <t>Şahin Altuntop</t>
  </si>
  <si>
    <t>Alsancak</t>
  </si>
  <si>
    <t>Alsancak Mah. 5 Cad.No:8 İç Kapı No: B-C Kocasinan/KAYSERİ</t>
  </si>
  <si>
    <t>5066990917//akşam vakti/rndvsu 8 ine ertelendi//GERÇEKLEŞMİŞ</t>
  </si>
  <si>
    <t>621f3ce83831a1f8c8530c7f</t>
  </si>
  <si>
    <t>Kebapçınız Bekir Usta, Melikgazi (Demokrasi Mah. - Toki)</t>
  </si>
  <si>
    <t>Köfte</t>
  </si>
  <si>
    <t>Bekir Bozkurt</t>
  </si>
  <si>
    <t>Demokrasi Mah. Kadir Has Bulvarı No:83 / C Melikgazi/Kayseri</t>
  </si>
  <si>
    <t>623b72eb866cd204765bd0a5</t>
  </si>
  <si>
    <t>Kebaphanem, Kocasinan (Oruçreis Mah.)</t>
  </si>
  <si>
    <t>Gülizar Sezen</t>
  </si>
  <si>
    <t>Oruçreis</t>
  </si>
  <si>
    <t>Oruçreis Mah. Ballıali Sok. No:10 Kocasinan/KAYSERİ</t>
  </si>
  <si>
    <t>61668efbccf6694d6f32ed28</t>
  </si>
  <si>
    <t>Keklik Pide Salonu, Melikgazi (Cumhuriyet Mah.)</t>
  </si>
  <si>
    <t>Melike Gören</t>
  </si>
  <si>
    <t>Cumhuriyet Mah. Park Blv. No:19/110 Melikgazi/KAYSERİ</t>
  </si>
  <si>
    <t xml:space="preserve">kardeşi abdullah beyden randevu alındı </t>
  </si>
  <si>
    <t>609520061094112065be2edb</t>
  </si>
  <si>
    <t>Kemal Ataklı Restaurant, Kocasinan (Sümer Mah.)</t>
  </si>
  <si>
    <t>Duran Ataklı</t>
  </si>
  <si>
    <t>Sümer Mah. Erkilet Blv. No:24/A Kocasinan/KAYSERİ</t>
  </si>
  <si>
    <t xml:space="preserve">açmıyor//5370296577verildi randevu istiyor.ama sabah saatlerinde 12den önce  - yoğun olduğum bir vakit yok resinler için ürün çıkartmam dedi / ramazandan sonra istedi </t>
  </si>
  <si>
    <t>5fd760b614bd887f10aadbcd</t>
  </si>
  <si>
    <t>Kemal Koçak Corner, Melikgazi (Alpaslan Mah.)</t>
  </si>
  <si>
    <t>Melikgazi, Aşık Veysel Blv. No:22, 38030, 38030 Melikgazi/Kayseri</t>
  </si>
  <si>
    <t>623106f924f838226c0abd01</t>
  </si>
  <si>
    <t>Kervan Maraş Paça &amp; Kebap, Kocasinan (Yıldızevler Mah.)</t>
  </si>
  <si>
    <t>Serdal Duran</t>
  </si>
  <si>
    <t>Yıldızevler Mah., Doğu Garajı, No:48/1, Kocasinan, Kayseri</t>
  </si>
  <si>
    <t xml:space="preserve">eşi nurdane hanım ben sizlere dönüş sağlayacağım dedi / ramazandan sonra istedi </t>
  </si>
  <si>
    <t>602e2c955eff1062c60e5ebe</t>
  </si>
  <si>
    <t>Keykubat Ocakbaşı, Melikgazi (Keykubat Mah.)</t>
  </si>
  <si>
    <t>Yunus Erkul</t>
  </si>
  <si>
    <t>Keykubat Mah. Ahmet Gazi Ayhan Blv. No:176/B Melikgazi/KAYSERİ</t>
  </si>
  <si>
    <t>sesin gelmiyo diyip yüzüme kapattı//istemiyorlarmış mailden atacaklar</t>
  </si>
  <si>
    <t>Fotoğraflarım Var</t>
  </si>
  <si>
    <t>60b6042df6e30a9807d2602b</t>
  </si>
  <si>
    <t>King Waffle, Kocasinan (Mimarsinan Mah.)</t>
  </si>
  <si>
    <t>Akın Yaroğlu</t>
  </si>
  <si>
    <t>Mimarsinan Mah. Bozantı Cad. İnönü Parkı No:0 Kocasinan/KAYSERİ</t>
  </si>
  <si>
    <t>61825b0df5a47d4edef92fd6</t>
  </si>
  <si>
    <t>KKR Fast Food &amp; Cafe, Kocasinan (Sümer Mah.)</t>
  </si>
  <si>
    <t>Aylin Köker</t>
  </si>
  <si>
    <t>Sümer Mah. 11. Cad. No:12/A Kocasinan/KAYSERİ</t>
  </si>
  <si>
    <t>ulaşılamadı</t>
  </si>
  <si>
    <t>623e11d4450242cb13ae737f</t>
  </si>
  <si>
    <t>Konak Börek, Kocasinan (Argıncık Mah.)</t>
  </si>
  <si>
    <t>Börek</t>
  </si>
  <si>
    <t>Ercan Yazıcı</t>
  </si>
  <si>
    <t>Argıncık Mah. Yavuz Sultan Selim Cad. No:144 Kocasinan/KAYSERİ</t>
  </si>
  <si>
    <t>61b723bc74acd35437951513</t>
  </si>
  <si>
    <t>Konyalı Hacı Ahmet, Melikgazi (Cumhuriyet Mah.)</t>
  </si>
  <si>
    <t>Ramazan Gündüz</t>
  </si>
  <si>
    <t>Cumhuriyet Mah. Turan Cad. No:10/A Melikgazi/KAYSERİ</t>
  </si>
  <si>
    <t>60f01bad84bde92cc6814783</t>
  </si>
  <si>
    <t>Kop Gel Mantı &amp; Tantuni ,Kocasinan (Hoca Ahmet Yesevi Mah.)</t>
  </si>
  <si>
    <t>Kürşat Demir</t>
  </si>
  <si>
    <t>Hoca Ahmet Yesevi Mah. Şht. J. Astsb. Suat Sarı Cad. No:4/B Kocasinan/KAYSERİ</t>
  </si>
  <si>
    <t xml:space="preserve">çalışanı kürşat bey askere gitti nasıl kullanılıyor bu sistem bilmiyorum genel merkezin numarası verildi yarın tekrardan iletişime geçelim dedi </t>
  </si>
  <si>
    <t>622fa64d5982524a0c6ad1b7</t>
  </si>
  <si>
    <t>Köftevizyon Express, Melikgazi (Cumhuriyet Mah.)</t>
  </si>
  <si>
    <t>Ahmet Demir</t>
  </si>
  <si>
    <t>Cumhuriyet Mah., İnönü Blv., No:75/C, Melikgazi, Kayseri</t>
  </si>
  <si>
    <t xml:space="preserve">numara kullnılmmakta </t>
  </si>
  <si>
    <t>622fa8fe33638ca813abd34a</t>
  </si>
  <si>
    <t>Köftevizyon, Kocasinan (Sanayi Mah.)</t>
  </si>
  <si>
    <t>Sanayi Bölgesi, 6004 Cad., No:75/C, Kocasinan, Kayseri</t>
  </si>
  <si>
    <t>61922ce94c33d57cf80be2c2</t>
  </si>
  <si>
    <t>Köşem Dürüm Salonu, Melikgazi (Cumhuriyet Mah. - İldem)</t>
  </si>
  <si>
    <t>İldem Cumhuriyet Mah. Gün Sazak Cad. No:101/A Melikgazi/KAYSERİ</t>
  </si>
  <si>
    <t>602fcb29b868aa6fc7f784ce</t>
  </si>
  <si>
    <t>Köşem Kebap, Kocasinan (Fevzi Çakmak Mah.)</t>
  </si>
  <si>
    <t>Keziban Toprak</t>
  </si>
  <si>
    <t>Fevzi Çakmak Mah. Yeşilırmak Cad. No:23/A Kocasinan/KAYSERİ</t>
  </si>
  <si>
    <t xml:space="preserve">çekim istemiyor 2 kez erteledi//vaktim yok hemde istemiyorum der//İLERDE ARANIP RANDEVU OLUŞTURULCAK / ramazanda kapalı </t>
  </si>
  <si>
    <t>61a875ca97cdddce056d9061</t>
  </si>
  <si>
    <t>Köşem Kebap, Melikgazi (Keykubat Mah.)</t>
  </si>
  <si>
    <t>Keykubat Mah. Çukur Sok. No:11/A Melikgazi/KAYSERİ</t>
  </si>
  <si>
    <t>61d56b75c57bbc5533df3142</t>
  </si>
  <si>
    <t>Köşk Izgara, Kocasinan (Gevhernesibe Mah.)</t>
  </si>
  <si>
    <t>Nursel Çakmak</t>
  </si>
  <si>
    <t>Fatih Mah. İstasyon Cad. No:46/B Kocasinan/KAYSERİ</t>
  </si>
  <si>
    <t>bayram bey yoğunum sonra arayın dedi</t>
  </si>
  <si>
    <t>5fd355b7d595925ebebc025c</t>
  </si>
  <si>
    <t>Kötü Gün Tostu, Talas (Tablakaya Mah.)</t>
  </si>
  <si>
    <t>Savaş Dağlı</t>
  </si>
  <si>
    <t>Tablakaya Mh. Yahya Sk. No:8/B Talas/Kayseri</t>
  </si>
  <si>
    <t>1Ay sonra aranacak - 11/ a</t>
  </si>
  <si>
    <t>6184d8599a98977bca349224</t>
  </si>
  <si>
    <t>Kral Kokoreç &amp; Izgara &amp; Köfte, Kocasinan(Hoca Ahmet Yesevi Mah.)</t>
  </si>
  <si>
    <t>Mukaddes Karacaoğlu</t>
  </si>
  <si>
    <t>Hoca Ahmet Yesevi Mah. Kanuni Geçidi Sok. No:2/A Kocasinan/KAYSERİ</t>
  </si>
  <si>
    <t xml:space="preserve">şuan değil ben sizleri ararım dedi / devir etmiş aranmasın </t>
  </si>
  <si>
    <t>6228b94e37f508ac4ec4b2e4</t>
  </si>
  <si>
    <t>Kral Köfte &amp; Izgara, Kocasinan(Hoca Ahmet Yesevi Mah.)</t>
  </si>
  <si>
    <t xml:space="preserve">bu numara başkasına ait aranmasın </t>
  </si>
  <si>
    <t>5fe1ca54d108fc70502c1838</t>
  </si>
  <si>
    <t>Kral Tantuni, Melikgazi (Yıldırım Beyazıt Mah.)</t>
  </si>
  <si>
    <t>Fatih Kayaaltı</t>
  </si>
  <si>
    <t>Yıldırım Beyazıt, Sırasöğütler Cd. No:13/c, 38030 Melikgazi/Kayseri</t>
  </si>
  <si>
    <t>teyit için arandı yet yok</t>
  </si>
  <si>
    <t>614a13605c47fc700f2d0e10</t>
  </si>
  <si>
    <t>Kumpir Center, Talas (Yenidoğan Mah.)</t>
  </si>
  <si>
    <t>Hacı Karakuş</t>
  </si>
  <si>
    <t>Yenidoğan mah Atatürk bulvarı Atatürk Bulvarı (Simit center, yanı) ödül yapı altı Talas, 38020 Talas/Kayseri</t>
  </si>
  <si>
    <t xml:space="preserve">5317425685// ürün çıkaramam dedi  </t>
  </si>
  <si>
    <t>620cf93ef10a92e0a35d45c7</t>
  </si>
  <si>
    <t>Kumsall Fast Food, Talas (Mevlana Mah.)</t>
  </si>
  <si>
    <t>Yücel Şen</t>
  </si>
  <si>
    <t>Mevlana Mah. Kaya 1. Sok. No:3/A Talas/KAYSERİ</t>
  </si>
  <si>
    <t>yenidoğan mah.timuçin cad no: 14/ C</t>
  </si>
  <si>
    <t>61a8df2275c86a429a6ca60d</t>
  </si>
  <si>
    <t>Kumsall Patisserie, Talas (Mevlana Mah.)</t>
  </si>
  <si>
    <t>tuğba hnaım b paneli kapattık başka panel üzerinden devam ediyoruz der</t>
  </si>
  <si>
    <t>5fde21a7c0e54fc0bc873ea7</t>
  </si>
  <si>
    <t>Kuzzu Kokoreç &amp; Midye, Talas (Mevlana Mah.)</t>
  </si>
  <si>
    <t>Emre Bayazıt</t>
  </si>
  <si>
    <t>Mevlana, Yavus, Yavuz Sultan Selim Cd. No:18/G, 38280 Talas/Kayseri</t>
  </si>
  <si>
    <t xml:space="preserve">ulaşılamıyor\\ulaşılamıyor/açmadı - ulaşılamadı </t>
  </si>
  <si>
    <t>620bf8087e19f325dd6631ef</t>
  </si>
  <si>
    <t>L'avenue Chocolatier, Talas (Yenidoğan Mah.)</t>
  </si>
  <si>
    <t>Burhanettin Yavuz</t>
  </si>
  <si>
    <t>Yenidoğan Mah. Atatürk Blv. No:9/A Talas/KAYSERİ</t>
  </si>
  <si>
    <t>6231fde2951a398f66db5670</t>
  </si>
  <si>
    <t>La Casa De Pizza, Talas (Bahçelievler Mah.)</t>
  </si>
  <si>
    <t>Osman Özdemir</t>
  </si>
  <si>
    <t>Bahçelievler Mah. Mevlana Cad. No:4/A Talas/KAYSERİ</t>
  </si>
  <si>
    <t>6258190d1c5e6ecfa1054e99</t>
  </si>
  <si>
    <t>Lavantes, Melikgazi (Köşk Mah.)</t>
  </si>
  <si>
    <t>Necmettin Bebütoğlu</t>
  </si>
  <si>
    <t>Köşk Mah., Kışla Cad., No:2/C, Melikgazi, Kayseri</t>
  </si>
  <si>
    <t xml:space="preserve">getiri kullanmıyormuş </t>
  </si>
  <si>
    <t>60953f90df86fb51c69bb48c</t>
  </si>
  <si>
    <t>Le Gelateria &amp; Magnum Dondurma, Talas (Yenidoğan Mah.)</t>
  </si>
  <si>
    <t>Ahmet Nazif Tolunay</t>
  </si>
  <si>
    <t>Yenidoğan Mah. Bilge Kağan Cad. No:16/A Talas/KAYSERİ</t>
  </si>
  <si>
    <t>yetkili yok</t>
  </si>
  <si>
    <t>6005cc48952e805549fac4f6</t>
  </si>
  <si>
    <t>Lezzet Ocakbaşı, Talas (Mevlana Mah.)</t>
  </si>
  <si>
    <t>Ahmet Güler</t>
  </si>
  <si>
    <t>Mevlana Mah. Cemil Baba Cad. No:40/G Talas/KAYSERİ</t>
  </si>
  <si>
    <t>TEYİT İÇİN ARANDI 5062352900 VERİDİ AÇMADI//MEŞGÜLE ATTI</t>
  </si>
  <si>
    <t>5ff5a20cc291bc7f0b998883</t>
  </si>
  <si>
    <t>Lezzeti Harika Hatay Sofrası, Kocasinan (Sahabiye Mah.)</t>
  </si>
  <si>
    <t>Nurşen Sakallı</t>
  </si>
  <si>
    <t>Sahabiye Mah. Ahmet Paşa Cad. No:14/A Kocasinan/KAYSERİ</t>
  </si>
  <si>
    <t>602be3ecc20d041c334fab8a</t>
  </si>
  <si>
    <t>Loqma'çik, İldem (Fatih)</t>
  </si>
  <si>
    <t>Cüneyt Battal Bayırbaşı</t>
  </si>
  <si>
    <t>Gesi Fatih mah. Gün sazak Cad. Kaysermall AVM</t>
  </si>
  <si>
    <t>6095303ca2333039a98950c2</t>
  </si>
  <si>
    <t>Lüx Sarıyer Börek, Melikgazi (Cumhuriyet Mah.)</t>
  </si>
  <si>
    <t>İsmail Özdemir</t>
  </si>
  <si>
    <t>Cumhuriyet Mah. İnönü Blv. No:51 Melikgazi/KAYSERİ</t>
  </si>
  <si>
    <t>5071748962 ismail bey //GERÇEKLEMİŞ Devam çekimi alındı</t>
  </si>
  <si>
    <t>60abd7fd9a85be27b400148c</t>
  </si>
  <si>
    <t>Madame Boulangerie Patisserie, Talas (Yenidoğan Mah.)</t>
  </si>
  <si>
    <t>GÜLERDE YILMAZ</t>
  </si>
  <si>
    <t>Yenidoğan Mah. Mehmet Akif Ersoy Cad. No:7/B Talas/KAYSERİ</t>
  </si>
  <si>
    <t>61b8db3a88979fd0785a8392</t>
  </si>
  <si>
    <t>Makarnamix, Talas (Mevlana Mah.)</t>
  </si>
  <si>
    <t>Mantı</t>
  </si>
  <si>
    <t xml:space="preserve">öğleden sonra tekrardan iletişime geçilecek </t>
  </si>
  <si>
    <t>602e96be17a376771a363a47</t>
  </si>
  <si>
    <t>Malatya Pide, Melikgazi (Keykubat Mah.)</t>
  </si>
  <si>
    <t>Erkan Karabey</t>
  </si>
  <si>
    <t>Keykubat Mah. Gazipaşa Cad. No:29/A Melikgazi/KAYSERİ</t>
  </si>
  <si>
    <t>yarın tekrar aranacak//mail atacak</t>
  </si>
  <si>
    <t>61bc624f7594006dffb58771</t>
  </si>
  <si>
    <t>Mangal Keyfi 2, Melikgazi (Yeşilyurt Mah. - İldem)</t>
  </si>
  <si>
    <t>Öznur Çetin</t>
  </si>
  <si>
    <t>Yeşilyurt Mah. Şht. J. Onb. Hakan Türk Cad. No:101/F Melikgazi/KAYSERİ</t>
  </si>
  <si>
    <t>61700a35d7675287da00a4ed</t>
  </si>
  <si>
    <t>Mangalcı Paşa, Develi (Yeni Mah.)</t>
  </si>
  <si>
    <t>Seda Tarhan</t>
  </si>
  <si>
    <t>Develi</t>
  </si>
  <si>
    <t>Yeni Mah. Tekir Cad. No:9 Develi/KAYSERİ</t>
  </si>
  <si>
    <t>61ee5dc89893d35f468e2962</t>
  </si>
  <si>
    <t>Metin Tarhan</t>
  </si>
  <si>
    <t>61cb9d4f1a9c3278a9e04e65</t>
  </si>
  <si>
    <t>Maraşlım Paça &amp; Çorba, Talas (Mevlana Mah.)</t>
  </si>
  <si>
    <t>Bahar Atlı</t>
  </si>
  <si>
    <t>Mevlana Mah. Tarif Sok. No:10/B Talas/KAYSERİ</t>
  </si>
  <si>
    <t xml:space="preserve">açmadı  </t>
  </si>
  <si>
    <t>6110384aedd456644a4db8db</t>
  </si>
  <si>
    <t>Mavera, Kocasinan (Sahabiye Mah.)</t>
  </si>
  <si>
    <t>Celal Önal</t>
  </si>
  <si>
    <t>Sahabiye Mah. Otak Sok. No:9/A Kocasinan/KAYSERİ</t>
  </si>
  <si>
    <t>kesıntılerden dolayı getırden cıkmak ıstıyorlar</t>
  </si>
  <si>
    <t>61c1af931a8109a20fb7b81b</t>
  </si>
  <si>
    <t>Mcs Cafe &amp; Bistro, Melikgazi (Altınoluk Mah.)</t>
  </si>
  <si>
    <t>Mustafa Sönmez</t>
  </si>
  <si>
    <t>Altınoluk Mah. Neslihan Sok. No:8/A Melikgazi/KAYSERİ</t>
  </si>
  <si>
    <t xml:space="preserve">oratağı ile konuşup dönüş sağlayacak  / zaten yoğun çalışıyorum çekimi gerekli görmüyorum dedi </t>
  </si>
  <si>
    <t>6065737eaa47296ce1ab6d05</t>
  </si>
  <si>
    <t>Mecburger, Kocasinan (Mevlana Mah.)</t>
  </si>
  <si>
    <t>Mevlana Mah. Barış Manço Cad. No:8/B Kocasinan/Kayseri</t>
  </si>
  <si>
    <t>meşgul//getirden baktım fotosu var</t>
  </si>
  <si>
    <t>617fb124e82a54aa79a7eb88</t>
  </si>
  <si>
    <t>Mecburger, Melikgazi (Kılıçaslan Mah.)</t>
  </si>
  <si>
    <t xml:space="preserve">ben kesinlikle çekim istemiyorum dedi </t>
  </si>
  <si>
    <t>6227a916c7e22ff1c1e8f760</t>
  </si>
  <si>
    <t xml:space="preserve">dükkan devir aşamasında panelin açılmasını bekliyorum / 2 hafta sonra / o kadar ürünü ben kime satayım ramzandan sonra yapalım dedi </t>
  </si>
  <si>
    <t>61e5206f1697af1351c8d84f</t>
  </si>
  <si>
    <t>Meg Piliç 2, Talas (Harman Mah.)</t>
  </si>
  <si>
    <t>Leyla Nur Ceylan</t>
  </si>
  <si>
    <t>Harman Mah. Tepebağlar Cad. No:1/C Talas/KAYSERİ</t>
  </si>
  <si>
    <t>leyla 5374006379</t>
  </si>
  <si>
    <t>61714ad1e3ffea8d1945a1ad</t>
  </si>
  <si>
    <t>Meg Piliç, Talas (Mevlana Mah.)</t>
  </si>
  <si>
    <t>Murat Güleseroğlu</t>
  </si>
  <si>
    <t>Mevlana Mah. Papatya Cad. No:29/B Talas/KAYSERİ</t>
  </si>
  <si>
    <t>6040bdda56cff1c6f6d8259c</t>
  </si>
  <si>
    <t>Mehmet Coşkun Et Döner, Hunat</t>
  </si>
  <si>
    <t>Sedat Çalışır</t>
  </si>
  <si>
    <t>Hunat Mah. Sivas Blv. No:16/C Melikgazi/KAYSERİ</t>
  </si>
  <si>
    <t>mail atacak/teyit amaçlı arandı açmadı</t>
  </si>
  <si>
    <t>6220cfcdb4053c64e431da02</t>
  </si>
  <si>
    <t>Mehmet Usta Döner, Kocasinan (Gevhernesibe Mah.)</t>
  </si>
  <si>
    <t>Yıldız Kumru</t>
  </si>
  <si>
    <t>Örnekevler</t>
  </si>
  <si>
    <t>Gevhernesibe Mah., Tuğcu Sok., No:3/C, Kocasinan/Kayseri</t>
  </si>
  <si>
    <t>61f1166eda0e364393e52e97</t>
  </si>
  <si>
    <t>Meram Lokantası, Melikgazi (Cumhuriyet Mah.)</t>
  </si>
  <si>
    <t>Mehmet Tahir Türkmen</t>
  </si>
  <si>
    <t>Cumhuriyet Mah. Bankalar Cad. No:8 Melikgazi/KAYSERİ</t>
  </si>
  <si>
    <t>6156f1a2bd56572a7d799f1c</t>
  </si>
  <si>
    <t>Mersin Tantunicim, Sakarya</t>
  </si>
  <si>
    <t>Pelin Yayla</t>
  </si>
  <si>
    <t>Sakarya Mah. Eren Yıldırım Blv. No:43/C Melikgazi/KAYSERİ</t>
  </si>
  <si>
    <t xml:space="preserve">yetkili gelince dönüş sağlayacak / GÖRÜŞÜP SAAT SÖYLEYECEKLER </t>
  </si>
  <si>
    <t>622341702cfb87110e3e9f0b</t>
  </si>
  <si>
    <t>Mersinli Ciğerci İlhan, Kocasinan (Ahievran Mah.)</t>
  </si>
  <si>
    <t>İlhan Taştan</t>
  </si>
  <si>
    <t>Cırgalan</t>
  </si>
  <si>
    <t>Ahi Evran Mah., Sivas Blv., 7.Km., No:370, Kocasinan, Kayseri</t>
  </si>
  <si>
    <t>5fdc94c01cce5e11471242ca</t>
  </si>
  <si>
    <t>Meşhur Adıyaman Çiğ Köftecisi Ömer Aybak, Talas (Mevlana Mah.)</t>
  </si>
  <si>
    <t>60659fbb2ae8317ce77d3636</t>
  </si>
  <si>
    <t>Meşhur Çelebi Baklava, Kocasinan (Yakut Mah.)</t>
  </si>
  <si>
    <t>Şevket Kaan</t>
  </si>
  <si>
    <t>Yakut Mah. Elisevenler Cad. No:6/C Kocasinan/KAYSERİ</t>
  </si>
  <si>
    <t>GERÇEKLEŞMİŞ</t>
  </si>
  <si>
    <t>61de94bff9e539f75f324499</t>
  </si>
  <si>
    <t>Meşhur Çiğ Köfteci Metin Usta, Kocasinan (Yeni Mah.)</t>
  </si>
  <si>
    <t>İsmail Furkan Çelebi</t>
  </si>
  <si>
    <t>Yeni Mah. 3543. Sok. No:39/A Kocasinan/KAYSERİ</t>
  </si>
  <si>
    <t>620cf490318b2d8c25e0a8fe</t>
  </si>
  <si>
    <t>Meşhur Ocakbaşı, Melikgazi (Şirintepe Mah.)</t>
  </si>
  <si>
    <t>Emrah Kurt</t>
  </si>
  <si>
    <t>Şirintepe Mah. Şengül Sok. No:11/C Melikgazi/KAYSERİ</t>
  </si>
  <si>
    <t>615f2b339620107892813c1e</t>
  </si>
  <si>
    <t>Meşhur Sivas Köftecisi, Talas (Yenidoğan Mah.)</t>
  </si>
  <si>
    <t>Fehmi Tutar</t>
  </si>
  <si>
    <t>Yenidoğan mah. Deliçay 1 Sok. No:12/B Talas/KAYSERİ</t>
  </si>
  <si>
    <t>no çalmıyor</t>
  </si>
  <si>
    <t>61965a7f2d0b295cfc501ad9</t>
  </si>
  <si>
    <t>Mevlana Ocakbaşı, Kocasinan (Mevlana Mah.)</t>
  </si>
  <si>
    <t>Harun Taşdemir</t>
  </si>
  <si>
    <t>Mevlana Mah. Mustafa Kemal Paşa Blv. No:123/B Kocasinan/KAYSERİ</t>
  </si>
  <si>
    <t>60058169a2992703a59821fe</t>
  </si>
  <si>
    <t>Meydan Merkez Pide Salonu, Kocasinan (Serçeönü Mah.)</t>
  </si>
  <si>
    <t>Asım Yaşar</t>
  </si>
  <si>
    <t>Serçeönü Mah. Ahmet Paşa cad. No:13/C Kocasinan/KAYSERİ</t>
  </si>
  <si>
    <t>fotoğrafcı/ feyza yıldırım - mahalle ismi değişmiş doğru isim takvime yazıldı</t>
  </si>
  <si>
    <t>61c449902c30504f0ba42465</t>
  </si>
  <si>
    <t>Mezevi Mutfak, Talas (Bahçelievler Mah.)</t>
  </si>
  <si>
    <t>BÜŞRA KÖK</t>
  </si>
  <si>
    <t>Bahçelievler Mah. Gecebulutları Sok. No:2/B Talas/KAYSERİ</t>
  </si>
  <si>
    <t xml:space="preserve">tarık </t>
  </si>
  <si>
    <t>60e880915c794e8754ffcbe1</t>
  </si>
  <si>
    <t>Midye Krallığı, Talas (Bahçelievler Mah.)</t>
  </si>
  <si>
    <t>Samed Özer</t>
  </si>
  <si>
    <t>Bahçelievler mah. Mevlana cad. No:29/B Talas/KAYSERİ</t>
  </si>
  <si>
    <t>6228d52fc7e22f2a740ff9f7</t>
  </si>
  <si>
    <t>Migsokak Köfte &amp; Tost, Melikgazi (Yıldırım Beyazıt Mah.)</t>
  </si>
  <si>
    <t>Asım Şahin</t>
  </si>
  <si>
    <t>Yıldırım Beyazıt Mah. Sivas Blv. No:228/A Melikgazi/KAYSERİ</t>
  </si>
  <si>
    <t xml:space="preserve">ramazandan sonra çünkü kapalı / restoran kapanmış </t>
  </si>
  <si>
    <t>5ff41e7dee0f724013a910a3</t>
  </si>
  <si>
    <t>Mimsin Bol Kepçe Döner, Melikgazi (Şirintepe Mah.)</t>
  </si>
  <si>
    <t>Bilent Demiral</t>
  </si>
  <si>
    <t>Şirintepe Mah. Malazgirt Blv. No:26/E Melikgazi/KAYSERİ</t>
  </si>
  <si>
    <t xml:space="preserve">tekrar aranacak /fotoğraf çekimi ile ilgilenmiyormuş. / saat 5 gibi tekrar aranacak </t>
  </si>
  <si>
    <t>61b27f58d9d8e031abe0ff68</t>
  </si>
  <si>
    <t>Miss Doy Döner, Kocasinan (Mithatpaşa Mah.)</t>
  </si>
  <si>
    <t>Aytaç Kadak</t>
  </si>
  <si>
    <t>Mithatpaşa Mah. Erkilet Blv. No:169/C Kocasinan/KAYSERİ</t>
  </si>
  <si>
    <t>611514da12626ec07f3e5547</t>
  </si>
  <si>
    <t>Miss Döner &amp; Izgara, Melikgazi (Kazımkarabekir Mah.)</t>
  </si>
  <si>
    <t>SEHER KIRBOĞA</t>
  </si>
  <si>
    <t>Kazım Karabekir Mah. Sürmene Sok. NO:2/A Melikgazi/KAYSERİ</t>
  </si>
  <si>
    <t xml:space="preserve">ben o kadar ürünü sizin için çıkaramam dedi </t>
  </si>
  <si>
    <t>6223b44390c754d10a0059e7</t>
  </si>
  <si>
    <t>Miss Döner &amp; Kebap, Kocasinan (Fevzi Çakmak Mah.)</t>
  </si>
  <si>
    <t>Muammer Temiz</t>
  </si>
  <si>
    <t>Fevzi Çakmak Mah., Fuzuli Cad., No:3/E, Kocasinan, Kayseri</t>
  </si>
  <si>
    <t xml:space="preserve">sadece dürüm var ramazan sonra hepsini çıkarıp çekersiniz dedi </t>
  </si>
  <si>
    <t>61c9e8a21a9c328ea084b2f2</t>
  </si>
  <si>
    <t>Miss Döner, Kocasinan (Beyazşehir Mah.)</t>
  </si>
  <si>
    <t>Muhammed Çetin</t>
  </si>
  <si>
    <t>Beyazşehir Mah. 825.sokak No:22/G Kocasinan/Kayseri</t>
  </si>
  <si>
    <t>61b8fa923b26a21d4afd4f0d</t>
  </si>
  <si>
    <t>Mix Baklava, Talas (Mevlana Mah.)</t>
  </si>
  <si>
    <t>Ahmet Batuhan Şimşek</t>
  </si>
  <si>
    <t>Mevlana Mah. Tamer Cad. No:7/C Talas/KAYSERİ</t>
  </si>
  <si>
    <t>62178ce0c17685a98ca03219</t>
  </si>
  <si>
    <t>Mix Baklavacı, Melikgazi (Aydınlıkevler Mah.)</t>
  </si>
  <si>
    <t>Ramazan Keskin</t>
  </si>
  <si>
    <t>Aydınlıkevler Mah. Sokullu Cad. No:7/B Melikgazi/KAYSERİ</t>
  </si>
  <si>
    <t xml:space="preserve">kardeşi vedat bey sistemde fotoğrafları m var gerek yok çekime dedi </t>
  </si>
  <si>
    <t>61f81c3c354547515bb34380</t>
  </si>
  <si>
    <t>Mix Baklavacı, Melikgazi (Cumhuriyet Mah.)</t>
  </si>
  <si>
    <t>Cumhuriyet Mah. İnönü Blv. No:53/B Melikgazi/KAYSERİ</t>
  </si>
  <si>
    <t xml:space="preserve">şuan elinde tatlı çeşitlerine dair bir şey yokmuş / tatlı satışına haftaya başlıyormuş haftaya gelebilirsiniz dedi </t>
  </si>
  <si>
    <t>61b13a373ddd9dce9cdb4d71</t>
  </si>
  <si>
    <t>Mix Doy Hatay Usulü Soslu Döner, Kocasinan (Yunusemre Mah.)</t>
  </si>
  <si>
    <t>Nevzat Kocaman</t>
  </si>
  <si>
    <t>Gaziosman Paşa</t>
  </si>
  <si>
    <t>Yunus Emre Mah. Bağdat Cad. No:63/A Kocasinan/KAYSERİ</t>
  </si>
  <si>
    <t>nevzat bey : 05061437230</t>
  </si>
  <si>
    <t>61b27cfac722cffa08d18aeb</t>
  </si>
  <si>
    <t>Mix Tatlı ve Helva, Melikgazi (Anafartalar Mah.)</t>
  </si>
  <si>
    <t>Osman Yaşar</t>
  </si>
  <si>
    <t>Anafartalar Mah. Şht. Büyükelçi Hasan Esat Işık Bulvarı No:17/D Melikgazi/KAYSERİ</t>
  </si>
  <si>
    <t>623028974fcbab382c2a477b</t>
  </si>
  <si>
    <t>Moda Fırın &amp; Patisserie, Kocasinan (Mithat Paşa Mah.)</t>
  </si>
  <si>
    <t>Gülpaşa Köse</t>
  </si>
  <si>
    <t>Mithatpaşa Mah., Erkilet Cad., No:161/B, Kocasinan, Kayseri</t>
  </si>
  <si>
    <t>6218d78bd7640b50bf006ed9</t>
  </si>
  <si>
    <t>Moon Waffle, Kocasinan (Erkilet Osman Gazi Mah.)</t>
  </si>
  <si>
    <t>Selami Arslan</t>
  </si>
  <si>
    <t>Erkilet Osman Gazi Mahallesi Seyyid Burhanettin Bulvarı Caddesi D:No5/A, 38050 Kocasinan/Kayseri</t>
  </si>
  <si>
    <t>selami bey : 05303272195</t>
  </si>
  <si>
    <t>60e45654ae2d741ab2105d2a</t>
  </si>
  <si>
    <t>Moon's, Talas (Mevlana Mah.)</t>
  </si>
  <si>
    <t>60e8497699a88e7962fa778d</t>
  </si>
  <si>
    <t>Mösyö Kokoreç &amp; Midye, Talas (Mevlana Mah.)</t>
  </si>
  <si>
    <t>Yakup Eldik</t>
  </si>
  <si>
    <t>Mevlana Mah. Elçibey Cad. No:41/A Talas/KAYSERİ</t>
  </si>
  <si>
    <t>61892a31da681287fd06fe57</t>
  </si>
  <si>
    <t>Mr. Pan Çikolata &amp; Pankek, Talas (Mevlana Mah.)</t>
  </si>
  <si>
    <t>Barış Erdem</t>
  </si>
  <si>
    <t>Mevlana Mah. Yavuz Sultan Selim Cad. No:4/A Talas/KAYSERİ</t>
  </si>
  <si>
    <t>61fad135386cd9252ac40e77</t>
  </si>
  <si>
    <t>Mualla Tatlı Krallığı, Talas (Mevlana Mah.)</t>
  </si>
  <si>
    <t>Oya Varlı</t>
  </si>
  <si>
    <t>Mevlana Mah. Elçibey Cad. No:39/B Talas/MEVLANA</t>
  </si>
  <si>
    <t xml:space="preserve">gimat4 sitesi altı </t>
  </si>
  <si>
    <t>609549e51094113a46be35e3</t>
  </si>
  <si>
    <t>Muda Çikolata, Talas (Mevlana Mah.)</t>
  </si>
  <si>
    <t>Yasin danaoğlu</t>
  </si>
  <si>
    <t>Mevlana Mah. Bilge Kağan Cad. No:30/C Talas/KAYSERİ</t>
  </si>
  <si>
    <t>çekim düşünmüyoruz dedi çünkü biz başka gönderiyoruz fotoğraf başka oluyor insanlar yanlış anlıyor dedi. sonra biz bi düşünelim ilerde beilki dönüş sağlarız dedi.//açmadı</t>
  </si>
  <si>
    <t>5fdb2510a98b4461e987e1e4</t>
  </si>
  <si>
    <t>Mudurnu Piliç Restaurant, Kocasinan (Fevzi Çakmak Mah.)</t>
  </si>
  <si>
    <t>Nuh Mehmet Gökşen</t>
  </si>
  <si>
    <t>FEvzi çakmak, sivas bulvarı No:109/B, 38020</t>
  </si>
  <si>
    <t xml:space="preserve">mail atacak - yetkili yok 1 saat sonra gelir o zman tekrardan arayın dedi </t>
  </si>
  <si>
    <t>61c1a70b27cfce810aabf962</t>
  </si>
  <si>
    <t>Muhlis Bey Hatay Soslu Döner, Melikgazi (Fatih Mah. - İldem)</t>
  </si>
  <si>
    <t>Recep Yeşilbaş</t>
  </si>
  <si>
    <t>Gesi Fatih Mah. Uygar Sok. No:28/B Melikgazi/KAYSERİ</t>
  </si>
  <si>
    <t>5fe9b74837c1db08af554bf8</t>
  </si>
  <si>
    <t>Mutfak Büfe, Melikgazi (Cumhuriyet Mah.)</t>
  </si>
  <si>
    <t>Ferhat Çıklakarakayalı</t>
  </si>
  <si>
    <t>Camikebir Mah. Erdil Sok. No:14/C Melikgazi/KAYSERİ</t>
  </si>
  <si>
    <t xml:space="preserve">ben ayarlayıp dönerim dedi / dönüş yapana kadar kesinlikle aranmasın </t>
  </si>
  <si>
    <t>61bd9c261bcbb55c9f8d8f98</t>
  </si>
  <si>
    <t>Naim Usta Develi Cıvıklısı, Melikgazi (Camikebir Mah.)</t>
  </si>
  <si>
    <t>Naim Güneş</t>
  </si>
  <si>
    <t>Camikebir Mah. Şekerciler Cad. No:18/C Melikgazi/KAYSERİ</t>
  </si>
  <si>
    <t>6188fb94aa80f47cea8c6db1</t>
  </si>
  <si>
    <t>Nar-ı Urfa Lahmacun, Kocasinan (Mevlana Mah.)</t>
  </si>
  <si>
    <t>Nur Sima Dedecan</t>
  </si>
  <si>
    <t>Mevlana Mah. Şht. Savcı Mehmet Selim Kiraz Sok. No:14/B Kocasinan/KAYSERİ</t>
  </si>
  <si>
    <t>Mehmet Bey 5360612556</t>
  </si>
  <si>
    <t>623383d4ed50627eadbce480</t>
  </si>
  <si>
    <t>Nazlım Pastane &amp; Unlu Mamüller, Melikgazi (Şirintepe Mah.)</t>
  </si>
  <si>
    <t>Aslıhan Türkoğlu</t>
  </si>
  <si>
    <t>Şirintepe Mah., Lalecik Sok., No:10/A, Melikgazi, Kayseri</t>
  </si>
  <si>
    <t>60e47952d6000998fc7ec79f</t>
  </si>
  <si>
    <t>Neva-le Çiğ Köfte, Kocasinan (Mevlana Mah.)</t>
  </si>
  <si>
    <t>Zehra Oyarkılıçgil</t>
  </si>
  <si>
    <t>Mevlana Mah. Barış Manço Cad. No:67/A Kocasinan/KAYSERİ</t>
  </si>
  <si>
    <t>60ad1194094caa2b5af12208</t>
  </si>
  <si>
    <t>Neva-le Çiğ Köfte, Kocasinan (Uğurevler Mah.)</t>
  </si>
  <si>
    <t>Aysun tağma</t>
  </si>
  <si>
    <t>Uğurevler</t>
  </si>
  <si>
    <t>Uğurevler Mah. Niyazi Bahçecioğlu Cad. No:50/C Kocasinan/KAYSERİ</t>
  </si>
  <si>
    <t>alındı/GERÇEKLEŞMİŞ</t>
  </si>
  <si>
    <t>6232469a214d94c4394ab9e5</t>
  </si>
  <si>
    <t>Neva-le Çiğ Köfte, Melikgazi (30 Ağustos Mah.)</t>
  </si>
  <si>
    <t>Ahmet Karataş</t>
  </si>
  <si>
    <t>30 Ağustos Mah. Anamur Cad. No:13/A Melikgazi/KAYSERİ</t>
  </si>
  <si>
    <t xml:space="preserve">sonra aranacak </t>
  </si>
  <si>
    <t>623f2835195cc7ee92a0752d</t>
  </si>
  <si>
    <t>Neva-le Çiğ Köfte, Melikgazi (Keykubat Mah.)</t>
  </si>
  <si>
    <t>Kübra Çabuk</t>
  </si>
  <si>
    <t>Keykubat mah. Dilektaşı sok. 20/B</t>
  </si>
  <si>
    <t>numara çalmıyor</t>
  </si>
  <si>
    <t>61a8e1b4392c8a85c3b1e80a</t>
  </si>
  <si>
    <t>Neva-le Çiğ Köfte, Talas (Mevlana Mah. - Kaya Sok.)</t>
  </si>
  <si>
    <t>6246a2e9f1f193783b0e2981</t>
  </si>
  <si>
    <t>Nevale Çiğ Köfte, Melikgazi (Alpaslan Mah.)</t>
  </si>
  <si>
    <t>Selim Çelik</t>
  </si>
  <si>
    <t>Alpaslan Mah., Sivas Cad., Kasseria AVM, No:94/B09, Melikgazi, Kayseri</t>
  </si>
  <si>
    <t>61d5ae0b03dc6d15e8573603</t>
  </si>
  <si>
    <t>Nimet Ana Unlu Mamülleri, Melikgazi (Çorakçılar Mah.)</t>
  </si>
  <si>
    <t>Remziye Somyürek</t>
  </si>
  <si>
    <t>Çorakçılar Mah. Mevlana Cad. No:13B Melikgazi/KAYSERİ</t>
  </si>
  <si>
    <t>61bbbf34a45cb743ebc01d92</t>
  </si>
  <si>
    <t>No:121 Burger, Talas (Yenidoğan Mah.)</t>
  </si>
  <si>
    <t>Yasin İnal</t>
  </si>
  <si>
    <t>Yenidoğan Mah. Çimenli Cad. No:3/C Talas/KAYSERİ</t>
  </si>
  <si>
    <t>butik işletmeyim yoğun olsun istemiyorum,personelim de eksik dedi.Düşünürse dönecek.</t>
  </si>
  <si>
    <t>5fcfda0e3b9b584d12f2eb62</t>
  </si>
  <si>
    <t>Nohut of Pilav's, Talas (Bahçelievler)</t>
  </si>
  <si>
    <t>Baki Uca</t>
  </si>
  <si>
    <t>Bahçelievler, Mevlana Cd. No:32 D:F, 38280 Talas/Kayseri</t>
  </si>
  <si>
    <t>TEYİT İÇİN ARANDI GİDİLMEMİŞ TEKRAR RANDEVU İSTİYOR</t>
  </si>
  <si>
    <t>6221cca693f7b697c6adff61</t>
  </si>
  <si>
    <t>Nur Kebap, Kocasinan (Mevlana Mah.)</t>
  </si>
  <si>
    <t>Fadime Koç</t>
  </si>
  <si>
    <t>Mevlana Mah., Mustafa Kemal Paşa Bulv., Aslaner Apt., No:125/E, Kocasinan/Kayseri</t>
  </si>
  <si>
    <t>Yetkili eymen beyden randevu alındı 5375933536</t>
  </si>
  <si>
    <t>60e44f67c26e82e916e1d21e</t>
  </si>
  <si>
    <t>Obur Cubur Fast Food, Talas (Mevlana Mah.)</t>
  </si>
  <si>
    <t>SELİM TANYELİ</t>
  </si>
  <si>
    <t>Mevlana Mah. Cemil Baba Cad. No:22/M Talas/KAYSERİ</t>
  </si>
  <si>
    <t>demet hanım yetkiliymiş aile restoranı olduğu için hep beraber bi görüşme sağlamam gerek der dönecek gün içinde - biz dönüş sağlıyacağız dedi  / açmadılar / biz gece çalışıyoruz dedi</t>
  </si>
  <si>
    <t>61102a731cebd16515606c90</t>
  </si>
  <si>
    <t>Oburger, Talas (Mevlana Mah.)</t>
  </si>
  <si>
    <t>Emre Kızıltepe</t>
  </si>
  <si>
    <t>Mevlana Mah. Velioğlu Cad. No:22/B Talas/KAYSERİ</t>
  </si>
  <si>
    <t xml:space="preserve">çekimleri gerçekleşmiş </t>
  </si>
  <si>
    <t>604b79642b0150c13d337d05</t>
  </si>
  <si>
    <t>Oses Çiğ Köfte, Kocasinan (Beyazşehir Mah.)</t>
  </si>
  <si>
    <t>Hikmet Topdağ</t>
  </si>
  <si>
    <t>Beyazşehir Mah. 825. Sok. No:22/N Kocasinan/KAYSERİ</t>
  </si>
  <si>
    <t>Orkun Ölçekci</t>
  </si>
  <si>
    <t>6030c89f8364b8010f99415b</t>
  </si>
  <si>
    <t>Oses Çiğ Köfte, Kocasinan (Erkilet Dere Mah.)</t>
  </si>
  <si>
    <t>ALPEREN ÜNLÜ</t>
  </si>
  <si>
    <t>ERTUĞRULGAZİ MAHALLESİ 4340.SOKAK No:19/C KOCASİNAN/KAYSERİ</t>
  </si>
  <si>
    <t>5ffc50cd62a03e4247a1b989</t>
  </si>
  <si>
    <t>Oses Çiğ Köfte, Kocasinan (Turgut Reis Mah.)</t>
  </si>
  <si>
    <t>Abidin Bulut</t>
  </si>
  <si>
    <t>Turgut Reis Mah. Bağdat Cad. No:186/A Kocasinan/KAYSERİ</t>
  </si>
  <si>
    <t>5ff835993c3b6e5ca661765f</t>
  </si>
  <si>
    <t>Oses Çiğ Köfte, Kocasinan (Yenişehir Mah.)</t>
  </si>
  <si>
    <t>Mutlu Taşçı</t>
  </si>
  <si>
    <t>Yenişehir</t>
  </si>
  <si>
    <t>Yenişehir mah. İsabey Sok. No:2/B Kocasinan/KAYSERİ</t>
  </si>
  <si>
    <t>5ffc5b7458e9c177a1d81f42</t>
  </si>
  <si>
    <t>Oses Çiğ Köfte, Kocasinan (Ziya Gökalp Mah.)</t>
  </si>
  <si>
    <t>Uğur Çoban</t>
  </si>
  <si>
    <t>Ziyagökalp Mah. Milli Egemenlik Cad. Uğur Apt. No:17/D Kocasinan/KAYSERİ</t>
  </si>
  <si>
    <t>603484baa22c616613734d6e</t>
  </si>
  <si>
    <t>Oses Çiğ Köfte, Melikgazi (Anafartalar Mah.)</t>
  </si>
  <si>
    <t>Zeynep Alan</t>
  </si>
  <si>
    <t>603d0762338267de2c407847</t>
  </si>
  <si>
    <t>Oses Çiğ Köfte, Melikgazi (Cumhuriyet)</t>
  </si>
  <si>
    <t>franchaise</t>
  </si>
  <si>
    <t>5fe0d86d7ec992040df2bb35</t>
  </si>
  <si>
    <t>Oses Çiğ Köfte, Melikgazi (Esenyurt Mah.)</t>
  </si>
  <si>
    <t>60057a70ea376d3881bd930b</t>
  </si>
  <si>
    <t>Oses Çiğ Köfte, Melikgazi (Keykubat Mah.)</t>
  </si>
  <si>
    <t>60097850e4ab4e28df9263fa</t>
  </si>
  <si>
    <t>Emre Bozdağ</t>
  </si>
  <si>
    <t>Keykubat Mah. Ahmet Gazi Ayhan Blv. No:164/B Melikgazi/KAYSERİ</t>
  </si>
  <si>
    <t>5fe0d5e7a8ae93367aba5dbd</t>
  </si>
  <si>
    <t>Oses Çiğ Köfte, Melikgazi (Kılıçaslan Mah.)</t>
  </si>
  <si>
    <t>608ff0e142ef5d6fbe91a6fd</t>
  </si>
  <si>
    <t>Oses Çiğ Köfte, Melikgazi (Kocatepe Mah.)</t>
  </si>
  <si>
    <t>Kocatepe Mah. 3025. Sok. No:37/A Melikgazi/KAYSERİ</t>
  </si>
  <si>
    <t xml:space="preserve">yetkili bu işletme için de randevu talep etti </t>
  </si>
  <si>
    <t>602bc229e77af63df6138e8f</t>
  </si>
  <si>
    <t>Oses Çiğ Köfte, Melikgazi (Yeniköy Mah.)</t>
  </si>
  <si>
    <t>Yeniköy Mah. Deniz Şafağı Cad. No:24/A Melikgazi/KAYSERİ</t>
  </si>
  <si>
    <t>607993751e398b5efe1c9480</t>
  </si>
  <si>
    <t>Oses Çiğ Köfte, Melikgazi (Yeşilyurt Mah.)</t>
  </si>
  <si>
    <t>İsmet Durmuş</t>
  </si>
  <si>
    <t>Yeşilyurt Mah. Şht. J. Onb. Hakan Türk Cad. No:107/C Melikgazi/KAYSERİ</t>
  </si>
  <si>
    <t>605464131852ede9d7c1e186</t>
  </si>
  <si>
    <t>Oses Çiğ Köfte, Talas (Mevlana Mah.-Yavuz Sultan Selim Cad.)</t>
  </si>
  <si>
    <t>Muharrem Serkan Selvioğlu</t>
  </si>
  <si>
    <t>5fdc9f723342c92faca69fa9</t>
  </si>
  <si>
    <t>Oses Çiğ Köfte, Talas (Mevlana Mah.)</t>
  </si>
  <si>
    <t>624cb446243b4966c87aa873</t>
  </si>
  <si>
    <t>Oses Helva &amp; Tatlı, Kocasinan (Yenişehir Mah.-Turgut Reis Cad.)</t>
  </si>
  <si>
    <t>Hacer Sezer</t>
  </si>
  <si>
    <t>Yenişehir Mah Turgut Reis Cad İsa Bey Sok 2/B Kocasinan Kayseri</t>
  </si>
  <si>
    <t>624b2dcc11bd174b51785487</t>
  </si>
  <si>
    <t>Oses Helva &amp; Tatlı, Talas (Mevlana Mah.)</t>
  </si>
  <si>
    <t xml:space="preserve">sisteme yüklenmemmiş olabilir ama fotoğraflarım mevcut saolun dedi </t>
  </si>
  <si>
    <t>61c339645b41a75d41ef6431</t>
  </si>
  <si>
    <t>Otantik Ocakbaşı, Kocasinan (Zümrüt Mah.)</t>
  </si>
  <si>
    <t>Kübra Kan</t>
  </si>
  <si>
    <t>Zümrüt Mah. Bekir Yıldız Blv. No:90/A Kocasinan/KAYSERİ</t>
  </si>
  <si>
    <t>ali bey : 05528962653</t>
  </si>
  <si>
    <t>5fd0d8754a2e1e3f0a43d08e</t>
  </si>
  <si>
    <t>Ozşef Profiterol, Talas (Mevlana Mah.)</t>
  </si>
  <si>
    <t>Ozan Yazıcı</t>
  </si>
  <si>
    <t>Mevlana mah, Kasrı Eylül Apart, Mehmet Timuçin Cd. 8/A, 38280 Talas/Kayseri</t>
  </si>
  <si>
    <t>müsait değilim öğleden sonra arayın dedi\\fotoğrafları kendi alamadığı için istemiyor kaba davrandı//açmadı</t>
  </si>
  <si>
    <t>61fad48c423d83588a3a6df6</t>
  </si>
  <si>
    <t>Öz Malatya Pide, Kocasinan (Mimarsinan Mah.)</t>
  </si>
  <si>
    <t>Ali Gönültaş</t>
  </si>
  <si>
    <t>Mimarsinan Mah. Murat Cad. Aras Sok. No:27/A Kocasinan/KAYSERİ</t>
  </si>
  <si>
    <t>Mustafa Bey / Ancak pazar günü sabah müsait olabilirim dedi</t>
  </si>
  <si>
    <t>61fc333800f1267d1b6811ae</t>
  </si>
  <si>
    <t>Öz Sivas As Döner, Talas (Kiçiköy Mah.)</t>
  </si>
  <si>
    <t>Serdar Sefa Kuruçay</t>
  </si>
  <si>
    <t>Kiçiköy Mah. Atatürk Blv. No:53/G Talas/KAYSERİ</t>
  </si>
  <si>
    <t xml:space="preserve">Sefa Bey 5075557049 </t>
  </si>
  <si>
    <t>623b6cb67b3f93605331efd7</t>
  </si>
  <si>
    <t>Özçınar Pidecim, Talas (Mevlana Mah.)</t>
  </si>
  <si>
    <t>Çiçek Karaduman</t>
  </si>
  <si>
    <t>Mevlana Mah. Anayurt Cad. No:35/A Talas/KAYSERİ</t>
  </si>
  <si>
    <t>623f1ab66c094a420ac7e523</t>
  </si>
  <si>
    <t>Özdanacı Dondurma, Melikgazi (Gesi Fatih Mah.)</t>
  </si>
  <si>
    <t>HAYRİ DANACI</t>
  </si>
  <si>
    <t>Gesi Fatih Mah. Günsazak Cad. İldem Sena evleri B Blok No:32/E Melikgazi/Kayseri</t>
  </si>
  <si>
    <t>60c8c7c9fdf4edd2b7d0fadb</t>
  </si>
  <si>
    <t>Özdanacı Dondurma, Talas (Mevlana Mah.)</t>
  </si>
  <si>
    <t>Döne Topaktaş</t>
  </si>
  <si>
    <t>Mevlana Mah. Papatya Cad. No:21/C Talas/KAYSERİ</t>
  </si>
  <si>
    <t>60effe333a193d5674f7da99</t>
  </si>
  <si>
    <t>Özdanacı Dondurma, Talas (Yenidoğan Mah.)</t>
  </si>
  <si>
    <t>YENİDOĞAN MAH. BİLGE KAĞAN CAD. NO:12/A TALAS / KAYSERİ</t>
  </si>
  <si>
    <t xml:space="preserve">sezonu değil dedi / kendi fotoğraflarını göndermiş </t>
  </si>
  <si>
    <t>6019467d84e0f9539c1980bd</t>
  </si>
  <si>
    <t>Özel Kebap, Melikgazi (Tacettin Veli Mah.)</t>
  </si>
  <si>
    <t>Abdullah Özel</t>
  </si>
  <si>
    <t>Tacettinveli Mah. Halit Narin Cad. No:7/G Melikgazi/KAYSERİ</t>
  </si>
  <si>
    <t>numara kullanılmıyor</t>
  </si>
  <si>
    <t>611044bb8dd391443099e0a0</t>
  </si>
  <si>
    <t>Özer Döner &amp; Kebap, Melikgazi (Cumhuriyet Mah.-İldem)</t>
  </si>
  <si>
    <t>MEHMET ÖZER</t>
  </si>
  <si>
    <t>İldem Cumhuriyet Mah. Umut Sok. No:3 Melikgazi/KAYSERİ</t>
  </si>
  <si>
    <t xml:space="preserve">zatem yeterince müşterim var gerek yok fotoğrafa dedi </t>
  </si>
  <si>
    <t>620271237800d988fa949cc9</t>
  </si>
  <si>
    <t>Özlü Kebap, Melikgazi (Anbar Mah.)</t>
  </si>
  <si>
    <t>Ferhat Özlü</t>
  </si>
  <si>
    <t>Anbar 1. Bölge</t>
  </si>
  <si>
    <t>Anbar Mah. 31.Cad. No:5 Melikgazi/KAYSERİ</t>
  </si>
  <si>
    <t>62324461328bba497eb7f064</t>
  </si>
  <si>
    <t>Özmen Kıymalı Pide Salonu, Kocasinan (Oymaağaç Mah.)</t>
  </si>
  <si>
    <t>Neslihan Özmen</t>
  </si>
  <si>
    <t>Oymaağaç Mah. 3121. Sok. No:7 Kocasinan/KAYSERİ</t>
  </si>
  <si>
    <t xml:space="preserve">ramazandan sonra yapalım dedi </t>
  </si>
  <si>
    <t>61f11a21519c0dbcd044169a</t>
  </si>
  <si>
    <t>Pac-man Pizza &amp; Burger, Kocasinan (Beyazşehir Mah.)</t>
  </si>
  <si>
    <t>Beyazşehir Mah. 825.sokak No:22/C Kocasinan/Kayseri</t>
  </si>
  <si>
    <t>61f11cd0165be76fcdca5f2a</t>
  </si>
  <si>
    <t>Pac-Man Waffle, Kocasinan (Beyazşehir Mah.)</t>
  </si>
  <si>
    <t>61bc9f7ecfa49e2ae96fec3d</t>
  </si>
  <si>
    <t>Paçanga Kahvaltı Evi, Talas (Mevlana Mah.)</t>
  </si>
  <si>
    <t>Şerife Şahin</t>
  </si>
  <si>
    <t>Mevlana Mah. Papatya Cad. No:27/A Talas/KAYSERİ</t>
  </si>
  <si>
    <t>Çağatay Bey 5539025891</t>
  </si>
  <si>
    <t>5fde1230cd4e0c0fe9169e3a</t>
  </si>
  <si>
    <t>Pane Döner, Talas (Yenidoğan Mah.)</t>
  </si>
  <si>
    <t>Nuh Mehmet Gökçek</t>
  </si>
  <si>
    <t>Yenidoğan, Oğulcuklu Cd. 3 A, 38280 Talas/Kayseri</t>
  </si>
  <si>
    <t xml:space="preserve">3524378080 ali bey mehmet bey ayrılmış </t>
  </si>
  <si>
    <t>61cc7c28cdaf7f0b88c9c043</t>
  </si>
  <si>
    <t>Pane'm Mangal, Talas (Yenidoğan Mah.)</t>
  </si>
  <si>
    <t xml:space="preserve">dönecek - tadilat hala sürmekte ben sizlere dönüş sağlarım  dedi </t>
  </si>
  <si>
    <t>5fd8aa3f9bbfb565870f93a5</t>
  </si>
  <si>
    <t>Papillon Cafe &amp; Burger, Melikgazi (Alpaslan Mah.)</t>
  </si>
  <si>
    <t>Yılmaz Kaplan</t>
  </si>
  <si>
    <t>Alpaslan Mah. Gökçefidan Sk. No: 9/A Melikgazi/Kayseri</t>
  </si>
  <si>
    <t>mail atcak// teyit amaçlı aradım fotoğrafların gönderimi sağlanacak</t>
  </si>
  <si>
    <t>5fe466a7daff1697306e9b1a</t>
  </si>
  <si>
    <t>Park Cafe, Talas (Mevlana Mah.)</t>
  </si>
  <si>
    <t>Mevlana, 15 Temmuz Cd, 38280 Talas/Kayseri</t>
  </si>
  <si>
    <t>ahmet demirdoğan</t>
  </si>
  <si>
    <t>bayramdan sonra randevulaşalım der//açmadı</t>
  </si>
  <si>
    <t>6234dd5e7289cc6c654e81b4</t>
  </si>
  <si>
    <t>Park Malatya Pide, Kocasinan (Gevhernesibe Mah.)</t>
  </si>
  <si>
    <t>Mehmet Ali Ekinci</t>
  </si>
  <si>
    <t>Gevher Nesibe Mah., Kurşunlu Sok., No: 5, Melikgazi, Kayseri</t>
  </si>
  <si>
    <t>6198e3d5da8795361589fc16</t>
  </si>
  <si>
    <t>Patron Burger &amp; Chicken, Talas (Mevlana Mah.)</t>
  </si>
  <si>
    <t>Serdar Tamer</t>
  </si>
  <si>
    <t>Mevlana Mah. Gözde Sok. No:30/A Talas/KAYSERİ</t>
  </si>
  <si>
    <t xml:space="preserve">muzaffer </t>
  </si>
  <si>
    <t xml:space="preserve">fotoğrafçı arkadaşımız işten ayrıldığından dolayı çekim sağlanmadı ilerde tekrardan iletişime geçilecek </t>
  </si>
  <si>
    <t>5fe630f1a415e942fd3bdcd8</t>
  </si>
  <si>
    <t>Patso's, Talas (Mevlana Mah.)</t>
  </si>
  <si>
    <t>Akif Büyükbahçeci</t>
  </si>
  <si>
    <t>Mevlana Mah. Elçibey Cad. No:45/C Talas/KAYSERİ</t>
  </si>
  <si>
    <t>Volkan Bey 5455131866 / devrolmuş artık volkan bey işletiyor</t>
  </si>
  <si>
    <t>5fd0ff9505812e050154748d</t>
  </si>
  <si>
    <t>Pattesçi, Talas (Mevlana Mah.)</t>
  </si>
  <si>
    <t>Mevlana Mah., Gözde Sok., No:30, Talas, Kayseri, Türkiye,</t>
  </si>
  <si>
    <t>625191b9d9cf11e8b9ec9f09</t>
  </si>
  <si>
    <t>Pedro Usta, Talas (Yenidoğan Mah.)</t>
  </si>
  <si>
    <t>İLKNUR ŞENGÜL</t>
  </si>
  <si>
    <t>yenidoğan mah.Şaban yılmaz cad.no:4 Talas/KAYSERİ</t>
  </si>
  <si>
    <t xml:space="preserve">şuan tadilatı var bayramdan sonraya biter </t>
  </si>
  <si>
    <t>602be89553e01d3aab4efdb8</t>
  </si>
  <si>
    <t>Pide King, Melikgazi (Fatih Mah.-İldem)</t>
  </si>
  <si>
    <t>Menü</t>
  </si>
  <si>
    <t>Gül İleli</t>
  </si>
  <si>
    <t>Gesi Fatih Mah. Gün Sazak Cad. No:65 Melikgazi/KAYSERİ</t>
  </si>
  <si>
    <t>fotoğraf/ feyza yıldırım</t>
  </si>
  <si>
    <t>5feb4b2152fcdacdb1cae3cf</t>
  </si>
  <si>
    <t>Pide Park, Melikgazi (Mimarsinan Mah.)</t>
  </si>
  <si>
    <t>Eyyüp Karaoğlan</t>
  </si>
  <si>
    <t>Tavlusun Mah. Gaffur Okkan Blv. No:14/A Melikgazi/KAYSERİ</t>
  </si>
  <si>
    <t>05324536260 eyyüp bey</t>
  </si>
  <si>
    <t>6218cc150fa31061efd3f1fc</t>
  </si>
  <si>
    <t>Pidecim Odun Ateşi, Melikgazi (Tacettin Veli Mah.)</t>
  </si>
  <si>
    <t>Turgut Erdoğan</t>
  </si>
  <si>
    <t>Tacettinveli Mah. Lalezade Cad. No:15 Melikgazi/KAYSERİ</t>
  </si>
  <si>
    <t>61bda4e14188849f5f80f74f</t>
  </si>
  <si>
    <t>Pidecim, Melikgazi (Cumhuriyet Mah.)</t>
  </si>
  <si>
    <t>Cumhuriyet Mah. Ulu Camii Cad. No:18/E Melikgazi/KAYSERİ</t>
  </si>
  <si>
    <t>619654e22d0b29046a4ef6fa</t>
  </si>
  <si>
    <t>Pilav Acil, Talas (Mevlana Mah.)</t>
  </si>
  <si>
    <t xml:space="preserve">şehir dışındaymış geldiği zaman da getr ile devam etmeyeceklermiş </t>
  </si>
  <si>
    <t>5fd74ed2f2da101d9cd52d3c</t>
  </si>
  <si>
    <t>Piliç Tavada, Kocasinan (Erciyesevler Mah.)</t>
  </si>
  <si>
    <t>Perihan Erciyas</t>
  </si>
  <si>
    <t>Erciyesevler Mah. Tuna Cad. No:6</t>
  </si>
  <si>
    <t xml:space="preserve">yetkili onur bey : 05539878287 30 dk ya tekrardan aranacak </t>
  </si>
  <si>
    <t>620cfdf8c5efbb430e87db6d</t>
  </si>
  <si>
    <t>Pizza 38, Melikgazi (Bahçelievler Mah.-İldem)</t>
  </si>
  <si>
    <t>İlker Bıyık</t>
  </si>
  <si>
    <t>Bahçelievler Mah. Gesi Cad. No:28 Melikgazi/KAYSERİ</t>
  </si>
  <si>
    <t>611503130887c8e2f58efe86</t>
  </si>
  <si>
    <t>Pizza 38, Talas (Bahçelievler Mah.)</t>
  </si>
  <si>
    <t>İLKER BIYIK</t>
  </si>
  <si>
    <t>Bahçelievler Mah. Mevlana Cad. No:24/A Talas/KAYSERİ</t>
  </si>
  <si>
    <t>623b8ec8b7d66e0be744c6df</t>
  </si>
  <si>
    <t>Pizza Corner, Melikgazi (Alpaslan Mah.)</t>
  </si>
  <si>
    <t>Abdullah Eren</t>
  </si>
  <si>
    <t>Alpaslan Mah. Org Eşref Bitlis Blv. Kayseri Park No: 10 İç Kapı No: 301 Melikgazi/Kayseri</t>
  </si>
  <si>
    <t xml:space="preserve">şuan böyle bir talebimiz yok dedi </t>
  </si>
  <si>
    <t>5fe48cea39426cfbe7630d87</t>
  </si>
  <si>
    <t>Pizza Evi, Talas (Yenidoğan Mah.)</t>
  </si>
  <si>
    <t>ramazandan sonra randevu oluşturalım dedi//fotoğraf istemiyorum işler yoğun değil şu ara o yüzden dedi//işler daha aÇILMadı o yüzden istemiyorum ilerleyen zamanlarda olur</t>
  </si>
  <si>
    <t>606b052b12cde6e27fd044b2</t>
  </si>
  <si>
    <t>Pizza Mida, Kocasinan (Argıncık Mah.)</t>
  </si>
  <si>
    <t>Tuğba Göktaş</t>
  </si>
  <si>
    <t>Argıncık Mah. Yavuz Sultan Selim Cad. No:85/D Kocasinan/KAYSERİ</t>
  </si>
  <si>
    <t>açmadı//açmadı/acmıyor</t>
  </si>
  <si>
    <t>6006ac51f69aa45cdf46a48a</t>
  </si>
  <si>
    <t>Pizza Mix, Kocasinan (Şeker Mah.)</t>
  </si>
  <si>
    <t>Fuat Şener</t>
  </si>
  <si>
    <t>Şeker Mah. Osman Kavuncu Blv. No:364/40 Kocasinan/Kayseri</t>
  </si>
  <si>
    <t xml:space="preserve">bize dönüş yapacak </t>
  </si>
  <si>
    <t>5fd3729af32e1d63d615f443</t>
  </si>
  <si>
    <t>Pizza Pi, Kocasinan (Sahabiye Mah.)</t>
  </si>
  <si>
    <t>Meliha Erdoğan</t>
  </si>
  <si>
    <t>Sahabiye Mh. Teoman Sk. No:9/1</t>
  </si>
  <si>
    <t>2-3 gibi aranacak//numara ve mail adresi verildi</t>
  </si>
  <si>
    <t>5fd36f209d31ca279fac24a6</t>
  </si>
  <si>
    <t>Pizza Pi, Talas (Mevlana Mah.)</t>
  </si>
  <si>
    <t>Erkan Erdoğan</t>
  </si>
  <si>
    <t>Mevlana mh. Batuhan Sk. Öz Molu İş Merkezi No:12/D</t>
  </si>
  <si>
    <t>açmıyor\\açmıyor// açmadı</t>
  </si>
  <si>
    <t>608e8bd4800b4908a6caaba4</t>
  </si>
  <si>
    <t>Pizza Think Talas (Mevlana Mah.)</t>
  </si>
  <si>
    <t>Özcan Yüceer</t>
  </si>
  <si>
    <t>Mevlana mh, 15 Temmuz Cd 6/B, 38280 Talas/Kayseri</t>
  </si>
  <si>
    <t xml:space="preserve">kendisi çekim yapıcak mail adresi verildi gönderşm sağlayacak - gerek kardeşim saol dedi </t>
  </si>
  <si>
    <t>603e0f103bc29074892d10e8</t>
  </si>
  <si>
    <t>Pizza Uno, Alpaslan</t>
  </si>
  <si>
    <t>Ertan Yılmaz</t>
  </si>
  <si>
    <t>Alpaslan Mah. Bahar Cad. No:39/A Melikgazi/KAYSERİ</t>
  </si>
  <si>
    <t>5360351256 salı çarşamba ararsanız iyi olur dedi// fotoğraflarımız var dedi mail atıldı.</t>
  </si>
  <si>
    <t>602fa33e6a39b5bac16e090e</t>
  </si>
  <si>
    <t>Pizza Uno, Kocasinan (Gevhernesibe Mah.)</t>
  </si>
  <si>
    <t>Serdal Altınok</t>
  </si>
  <si>
    <t>Sahabiye Mah. İstasyon Cad. No:10/A Kocasinan/KAYSERİ</t>
  </si>
  <si>
    <t>Alpaslan ŞUBESİNDE ÇEKİLECEK</t>
  </si>
  <si>
    <t>607456b51d3de93f8155e322</t>
  </si>
  <si>
    <t>Qümes, Kocasinan (Erciyesevler Mah.)</t>
  </si>
  <si>
    <t>Hakan Taşdemir</t>
  </si>
  <si>
    <t>Erciyesevler Mah. Tuna Cad. No:12/C Kocasinan/KAYSERİ</t>
  </si>
  <si>
    <t>elinde ki fotoları atacak kabulo edilmezse tekrar aranıp randevu alınacak</t>
  </si>
  <si>
    <t>5fd7298fa9ef54dabbaf291f</t>
  </si>
  <si>
    <t>Qümes, Talas (Mevlana Mah.)</t>
  </si>
  <si>
    <t>mevlana mah atatürk bulvarı no:4 talas/kayseri</t>
  </si>
  <si>
    <t>fotoğraflar bana verilmiyorsa bende istemiyorum dedi aramayın.//maile atacak</t>
  </si>
  <si>
    <t>611543d50cbe70e2d5d7d853</t>
  </si>
  <si>
    <t>Rengim, Kocasinan (Gevhernesibe Mah.)</t>
  </si>
  <si>
    <t>EKREM BAHADIR</t>
  </si>
  <si>
    <t>Gevher Nesibe Mah. Gür Sok. No:16/C Kocasinan/KAYSERİ</t>
  </si>
  <si>
    <t>5fd9be5ba991c5695b36baf9</t>
  </si>
  <si>
    <t>Resume Çiğ Köfte, Kocasinan (Erciyesevler Mah.)</t>
  </si>
  <si>
    <t>Hayrunnisa ER</t>
  </si>
  <si>
    <t>Erciyesevler Mah. Sivas Bulvarı No: 219/B Kocasinan/Kayseri</t>
  </si>
  <si>
    <t>6230fc372707f2d1d8e38e84</t>
  </si>
  <si>
    <t>Rıhtım Balık, Kocasinan (Hacısaki Mah.)</t>
  </si>
  <si>
    <t>Deniz Ürünleri</t>
  </si>
  <si>
    <t>Adem Bağcı</t>
  </si>
  <si>
    <t>Hacı Saki Mah., Osman Kavuncu Cad.No:10, Kocasinan, Kayseri</t>
  </si>
  <si>
    <t xml:space="preserve">yetkili yok öğlden sonra gelir </t>
  </si>
  <si>
    <t>625808420fbec22525571def</t>
  </si>
  <si>
    <t>Rokka Pizza, Talas (Bahçelievler Mah.)</t>
  </si>
  <si>
    <t>MERVE PEKİN</t>
  </si>
  <si>
    <t>Bahçelievler mah. Atatürk blv. Oğuzlar sit. no:2 Talas/KAYSERİ</t>
  </si>
  <si>
    <t xml:space="preserve">ramazandan sonra olursa dah iyi dedi </t>
  </si>
  <si>
    <t>61e67e2d933d1279d6d8823f</t>
  </si>
  <si>
    <t>Rom Waffle, Melikgazi (Yıldırım Beyazıt Mah.)</t>
  </si>
  <si>
    <t>Derviş Akdeniz</t>
  </si>
  <si>
    <t>Yıldırım Beyazıt Mah. Sırasöğütler Cad. No:209 Melikgazi/KAYSERİ</t>
  </si>
  <si>
    <t xml:space="preserve">şuan ürünleri eksik istemiyorlat / menü güncellemsi yapıyorlar </t>
  </si>
  <si>
    <t>6033d0b06c98ae6a73f05a84</t>
  </si>
  <si>
    <t>Roma Pizzaria Pita &amp; Dürüm, Talas (Mevlana)</t>
  </si>
  <si>
    <t>Ömer Saraç</t>
  </si>
  <si>
    <t>Mevlana Mah. Halef Hoca Cad. No:69/F Talas/KAYSERİ</t>
  </si>
  <si>
    <t>ramazandan sonra// Çok ürün çıkaramam elimde kalır 3-4 ürün çekebilirsiniz dedi elindeki fotoğrafları atacak</t>
  </si>
  <si>
    <t>60a8fb2f04a5e25a9e4fa773</t>
  </si>
  <si>
    <t>Romado Dondurma &amp; Cafe, Talas (Yenidoğan Mah.)</t>
  </si>
  <si>
    <t xml:space="preserve">paket servisineağırlık vermek istemiyorum siparişim benim için yeterli </t>
  </si>
  <si>
    <t>62518c9abe454b2ba7adab59</t>
  </si>
  <si>
    <t>Rumeli Dönercisi &amp; Ocakbaşı, Melikgazi (Yeniköy Mah.)</t>
  </si>
  <si>
    <t>5fcfdc54b13fa6167404bcdb</t>
  </si>
  <si>
    <t>S. Kaygısız Kebapcımm, Talas (Bahçelievler)</t>
  </si>
  <si>
    <t>Gül Betül Kaygısız</t>
  </si>
  <si>
    <t>Bahçelievler, Atatürk Blv. 56/b, 38280 Talas/Kayseri</t>
  </si>
  <si>
    <t>meşgul\\açmıyor//açmıyor//açmadı</t>
  </si>
  <si>
    <t>623112e71b6c777a11990d00</t>
  </si>
  <si>
    <t>Sac Kebapcısı Matador, Melikgazi (Hürriyet Mah.)</t>
  </si>
  <si>
    <t>Deniz Baştaş</t>
  </si>
  <si>
    <t>Hürriyet Mah., Cengiz Topel Cad., No:83/D, Melikgazi, Kayseri</t>
  </si>
  <si>
    <t xml:space="preserve">kayıtlı numara yok </t>
  </si>
  <si>
    <t>60a682ba7bb7685bbfdf4116</t>
  </si>
  <si>
    <t>Sade Dondurma, Kocasinan (Argıncık Mah.)</t>
  </si>
  <si>
    <t>ALPEREN ÇEKİÇ</t>
  </si>
  <si>
    <t>Yenipervane</t>
  </si>
  <si>
    <t>Argıncık Mah. 6215. Sok. No:13 Kocasinan/KAYSERİ</t>
  </si>
  <si>
    <t>TEYİT İÇİN ARANDI GERÇEKLEŞMİŞ SİSTEME YÜKLENMEMİŞ</t>
  </si>
  <si>
    <t>60acdcaf4e6fb9293c8d1096</t>
  </si>
  <si>
    <t>Sade Dondurma, Talas (Bahçelievler Mah.)</t>
  </si>
  <si>
    <t>Ahmet Güneş</t>
  </si>
  <si>
    <t>Bahçelievler Mah. Atatürk Blv. No:34/E Talas/KAYSERİ</t>
  </si>
  <si>
    <t xml:space="preserve">hafta pazartesi aransın </t>
  </si>
  <si>
    <t>İleride Randevu İstiyorum</t>
  </si>
  <si>
    <t>614a2949079a9112fadf29be</t>
  </si>
  <si>
    <t>Saklıbahçe Pide, Melikgazi (Erciyes Üniversitesi Kampüsü)</t>
  </si>
  <si>
    <t>Ahmet Durak</t>
  </si>
  <si>
    <t>Köşk Mah. Prof. Dr. Turhan Feyzioğlu Cad. No:27/F Melikgazi/KAYSERİ</t>
  </si>
  <si>
    <t xml:space="preserve">kampüs içerisi Savaş bey / işletme kapalı kalabilir kendisi dönüş sağlayacak / RAMAZANDAN SONRA </t>
  </si>
  <si>
    <t>6166e6db93c0976a337ec2f2</t>
  </si>
  <si>
    <t>Saray Lahmacun &amp; Pide, Kocasinan (Argıncık Mah.)</t>
  </si>
  <si>
    <t>Derya İlhan</t>
  </si>
  <si>
    <t>Argıncık Mah. Yavuz Sultan Selim Cad. No:73 Kocasinan/KAYSERİ</t>
  </si>
  <si>
    <t>numara yanlış</t>
  </si>
  <si>
    <t>5ff8657e1f40a36ca190cd68</t>
  </si>
  <si>
    <t>Saray Tatlıcısı, Melikgazi (Hürriyet Mah.)</t>
  </si>
  <si>
    <t>Yakup Avlukyarı</t>
  </si>
  <si>
    <t>Çorakçılar Mah. Cengiz Topel Cad. No:35/A Melikgazi/KAYSERİ</t>
  </si>
  <si>
    <t xml:space="preserve">ilgilenmiyoruz dedi - patronlarım istemiyorum dedi </t>
  </si>
  <si>
    <t>623386d584f29c5e79db8f68</t>
  </si>
  <si>
    <t>Sarızlı Bolu Mangal, Melikgazi (Mimarsinan Mah.)</t>
  </si>
  <si>
    <t>Hatun İtergen</t>
  </si>
  <si>
    <t>Tavlusun Mah., Gaffar Okan Blv., No:50/A, Melikgazi, Kayseri</t>
  </si>
  <si>
    <t>614a31645c47fc18493240e9</t>
  </si>
  <si>
    <t>Savaş Usta Döner &amp; Tantuni &amp; Künefe, Kocasinan (Sahabiye Mah.)</t>
  </si>
  <si>
    <t xml:space="preserve">mailden gönderecek </t>
  </si>
  <si>
    <t>6207b367d04c332496c1597d</t>
  </si>
  <si>
    <t>SB Pasta Evi, Kocasinan (Erkilet Osman Gazi Mah.)</t>
  </si>
  <si>
    <t xml:space="preserve">kardeşi büşra hanım  05439571570 RANDEVU ALINDI </t>
  </si>
  <si>
    <t>60b8b7011a727930acf1ddfa</t>
  </si>
  <si>
    <t>SDC İskender &amp; Develi Cıvıklısı, Melikgazi (Alpaslan Mah.)</t>
  </si>
  <si>
    <t>Alpaslan Mah. Kızılırmak Cad. No:84/B Melikgazi/KAYSERİ</t>
  </si>
  <si>
    <t xml:space="preserve">yetkili müsait değişmiş / yetkili gelince dönüş sağlayacak /05397373871/ ramazandan dolayı paneli kapalı </t>
  </si>
  <si>
    <t>603cb7a9d6d0ad1c69916cd5</t>
  </si>
  <si>
    <t>SDC İskender, İldem (Fatih)</t>
  </si>
  <si>
    <t>Barış Akyar</t>
  </si>
  <si>
    <t>Gesi Fatih Mah. Gün Sazak Cad. No:65/104 Melikgazi/KAYSERİ</t>
  </si>
  <si>
    <t>621f545f6c918df22c15ddaf</t>
  </si>
  <si>
    <t>Sefa Pastaneleri, Talas (Mevlana Mah.)</t>
  </si>
  <si>
    <t>Mustafa Şimşek</t>
  </si>
  <si>
    <t>Mevlana Mah., Turgut Özal Cad., Doruk Apt., No:43/C, Talas/Kayseri</t>
  </si>
  <si>
    <t>60e85184bb517855460fd3bf</t>
  </si>
  <si>
    <t>Senem Kebap, Kocasinan (Argıncık Mah.)</t>
  </si>
  <si>
    <t>Alirıza Toprak</t>
  </si>
  <si>
    <t>Cengiz Topel</t>
  </si>
  <si>
    <t>Argıncık Mah. Kocasinan Blv. No:363/B Kocasinan/KAYSERİ</t>
  </si>
  <si>
    <t>ben sizi ararım dedi / ramazan dolayısıyla getiri açmıyorlar</t>
  </si>
  <si>
    <t>60cb1cbbe90b9d179e2320b0</t>
  </si>
  <si>
    <t>Serince Çiğ Köfte &amp; Sütlü Tatlılar, Melikgazi (Köşk Mah.)</t>
  </si>
  <si>
    <t>Recep Berk</t>
  </si>
  <si>
    <t>Köşk Mah. Kışla Cad. Sırdar Geçidi Sok. No:2/D Melikgazi/KAYSERİ</t>
  </si>
  <si>
    <t xml:space="preserve">bahattin </t>
  </si>
  <si>
    <t>611c12c1b3ae9e34d820a313</t>
  </si>
  <si>
    <t>Serince Çiğ Köfte, Kocasinan (Erciyesevler Mah.)</t>
  </si>
  <si>
    <t>YUSUF TANFER AKSOY</t>
  </si>
  <si>
    <t>Erciyesevler Mah. 30 Ağustos Blv. No:1/A Kocasinan/KAYSERİ</t>
  </si>
  <si>
    <t>60b61c683d811e869e854221</t>
  </si>
  <si>
    <t>Serince Çiğ Köfte, Kocasinan (Gevhernesibe Mah.)</t>
  </si>
  <si>
    <t>Gamze Hasçalık</t>
  </si>
  <si>
    <t>Örnekevler Mah. Atatürk Blv. No:106/A Kocasinan/KAYSERİ</t>
  </si>
  <si>
    <t>60c891919aeae2441c5e7836</t>
  </si>
  <si>
    <t>Serince Çiğ Köfte, Kocasinan (Mevlana Mah.)</t>
  </si>
  <si>
    <t>Fatih Altınkaya</t>
  </si>
  <si>
    <t>Mevlana Mah. Barış Manço Cad. No:19/B Kocasinan/KAYSERİ</t>
  </si>
  <si>
    <t>625340fa752ee79c223b262c</t>
  </si>
  <si>
    <t>Serince Çiğ Köfte, Kocasinan (Yakut Mah.)</t>
  </si>
  <si>
    <t>Ali Usluoğlu</t>
  </si>
  <si>
    <t>Yakut Mah., Akmescit Cad., No:17/D, Kocasinan, Kayseri</t>
  </si>
  <si>
    <t>6095254b1cd9ac18bf5c3568</t>
  </si>
  <si>
    <t>Serince Çiğ Köfte, Kocasinan (Yeşil Mah.)</t>
  </si>
  <si>
    <t>61b1412583725caf1f424ecb</t>
  </si>
  <si>
    <t>Serince Çiğ Köfte, Melikgazi (Cumhuriyet Mah.-İldem)</t>
  </si>
  <si>
    <t>Yasin Kenger</t>
  </si>
  <si>
    <t>İldem Cumhuriyet Mah. Saffet Arıkan Bedük Cad. No:44/D Melikgazi/KAYSERİ</t>
  </si>
  <si>
    <t>5ff982a758e9c1df43d7acfe</t>
  </si>
  <si>
    <t>Tolunay Mert</t>
  </si>
  <si>
    <t>franchise bir şubeyiz dedi.</t>
  </si>
  <si>
    <t>614a2ae4b7b365dc8342fcbe</t>
  </si>
  <si>
    <t>Serince Çiğ Köfte, Melikgazi (Erciyes Üniversitesi Kampüsü)</t>
  </si>
  <si>
    <t>kampüs içerisi Savaş bey</t>
  </si>
  <si>
    <t>608fd7e5d69d45210753e506</t>
  </si>
  <si>
    <t>Serince Çiğ Köfte, Melikgazi (Hisarcık Mah.)</t>
  </si>
  <si>
    <t>Hisarcık İbrahim Tennuri</t>
  </si>
  <si>
    <t>Hisarcık Mah. Erciyes Blv. No:467/1 Melikgazi/KAYSERİ</t>
  </si>
  <si>
    <t>61212ed29595e48192dabdf0</t>
  </si>
  <si>
    <t>Serince Çiğ Köfte, Melikgazi (Kazımkarabekir Mah.)</t>
  </si>
  <si>
    <t>MEHMET KILINÇKAYA</t>
  </si>
  <si>
    <t>Kazımkarabekir Mah. Balveren Sok. No:32/A Melikgazi/KAYSERİ</t>
  </si>
  <si>
    <t xml:space="preserve">size gerek yok ben çeker yüklemesini sağlarım dedi </t>
  </si>
  <si>
    <t>622fa44604ae8525bf0566ea</t>
  </si>
  <si>
    <t>Serince Çiğ Köfte, Melikgazi (Kılıçaslan Mah. - Sivas Cad.)</t>
  </si>
  <si>
    <t>Kılıçaslan Mah., Sivas Cad., No:52, Melikgazi, Kayseri</t>
  </si>
  <si>
    <t>60acec234ec74ff9cab534ee</t>
  </si>
  <si>
    <t>Serince Çiğ Köfte, Melikgazi (Kocatepe Mah.)</t>
  </si>
  <si>
    <t>Osman Erdem</t>
  </si>
  <si>
    <t>Kocatepe mah.3025 sok.mehmet Akif Ersoy Apt.altı no :34/A Melikgazi/KAYSERİ</t>
  </si>
  <si>
    <t>609fc1ebd08155ece6996889</t>
  </si>
  <si>
    <t>Serince Çiğ Köfte, Melikgazi (Sakarya Mah.)</t>
  </si>
  <si>
    <t>Fatih Berk</t>
  </si>
  <si>
    <t>Sakarya Mah. Şht. İsmail Erez Blv. No:13 Melikgazi/KAYSERİ</t>
  </si>
  <si>
    <t>623b7807ddfaeea46de0fa53</t>
  </si>
  <si>
    <t>Serince Çiğ Köfte, Melikgazi (Yıldırım Beyazıt Mah.)</t>
  </si>
  <si>
    <t>Basire Aras</t>
  </si>
  <si>
    <t>61e034cf936be8314e2c0aeb</t>
  </si>
  <si>
    <t>Serince Çiğ Köfte, Talas (Kiçiköy Mah.)</t>
  </si>
  <si>
    <t>Ramazan Söylemez</t>
  </si>
  <si>
    <t>Kiçiköy Mah. Atatürk Blv. No:59/G Talas/KAYSERİ</t>
  </si>
  <si>
    <t>5fde318f9d1be3846bf67ed4</t>
  </si>
  <si>
    <t>Serince Çiğ Köfte, Talas (Mevlana Mah.-Bademli Sok.)</t>
  </si>
  <si>
    <t>Hüseyin Kıraç</t>
  </si>
  <si>
    <t>Mevlana, Hakan Apt, Bademli Cd. No:3 D:B, 38280 Talas/Kayseri</t>
  </si>
  <si>
    <t>5fd1fc1c8836ed32129f972c</t>
  </si>
  <si>
    <t>Serince Çiğ Köfte, Talas (Mevlana Mah.-Halef Hoca Cad.)</t>
  </si>
  <si>
    <t>Akın Bayazıt</t>
  </si>
  <si>
    <t>Mevlana Mah. Halef Hoca Cad. 20 Talas, Kayseri</t>
  </si>
  <si>
    <t>5fddc6352ef1230e7f200df3</t>
  </si>
  <si>
    <t>Serince Çiğ Köfte, Talas (Mevlana Mah.-Zafer Bayburtluoğlu Cad.)</t>
  </si>
  <si>
    <t>Muhammet Mert</t>
  </si>
  <si>
    <t>Mevlana Mah., Zafer Bayburtlu Cad., Armoni Sit., No:3.,Talas/Kayseri</t>
  </si>
  <si>
    <t>frencheise/ şehzade market karşısı muhammet beyden randevu alındı./1 saat sonra</t>
  </si>
  <si>
    <t>5fe5dd8487a63b821a31681b</t>
  </si>
  <si>
    <t>Serpil Abla, Talas (Mevlana Mah.)</t>
  </si>
  <si>
    <t>Mustafa Özaşır</t>
  </si>
  <si>
    <t>Mevlana Mah. Halef Hoca Cad. No:39/A Talas/KAYSERİ</t>
  </si>
  <si>
    <t xml:space="preserve">5545778282 emre bey ilgileniyor dedi meşgule attı - çıkacağım diğer hafta tekrardan iletişimre geçelim dah rahat olur dedi  - yetkili babaannem / ramazandan sonra </t>
  </si>
  <si>
    <t>5fd09c260bffcf5a90f4ee5b</t>
  </si>
  <si>
    <t>Setenay Ev Yemekleri, Talas (Kiçiköy Mah.)</t>
  </si>
  <si>
    <t>Setenay Polat</t>
  </si>
  <si>
    <t>Kiçiköy, Halef Hoca Cd., 38280 Talas/Kayseri</t>
  </si>
  <si>
    <t>ramazandan sonra//eleman sıkıntısı çekiyor o yüzden istemiyor ben sizle ilerde iletişime geçerim dedi.//taşınma ihtimali varmış daha sonra</t>
  </si>
  <si>
    <t>5ff2d70258f3ac23d7e6f8d0</t>
  </si>
  <si>
    <t>Seval Pide, Kocasinan (Beyazşehir Mah.)</t>
  </si>
  <si>
    <t>Ahmet Tüysüz</t>
  </si>
  <si>
    <t>Beyazşehir Mah. 4088.Sok. No:4 Kocasinan/KAYSERİ</t>
  </si>
  <si>
    <t>607d86f4631e801358b9d703</t>
  </si>
  <si>
    <t>Sevgi Bacı Unlu Mamülleri, Kocasinan (Sümer Mah.)</t>
  </si>
  <si>
    <t>Ömer Hayarali</t>
  </si>
  <si>
    <t>Şirinevler</t>
  </si>
  <si>
    <t>Sümer Mah. 11.Cad. No:4/A Kocasinan/KAYSERİ</t>
  </si>
  <si>
    <t>50 dk sonra arancak/yarın ara//5326930475//elinde mevcut fotoları var ama yine de istedi//GERÇEKLEŞMİŞ</t>
  </si>
  <si>
    <t>623b91876b06cd4faecf4e19</t>
  </si>
  <si>
    <t>Sevgi Mutfak, Kocasinan (Gevhernesibe Mah.)</t>
  </si>
  <si>
    <t>Gevher Nesibe Mah., Atatürk Blv. No:106/A Kocasinan/KAYSERİ</t>
  </si>
  <si>
    <t>6230f8c16bd69bf4b44ae20d</t>
  </si>
  <si>
    <t>Seyir Döner &amp; Kebap, Melikgazi (Gülük Mah.)</t>
  </si>
  <si>
    <t>Erhan Günbay</t>
  </si>
  <si>
    <t>Gülük Mah., İnönü Blv., No:49/C, Melikgazi, Kayseri</t>
  </si>
  <si>
    <t xml:space="preserve">aktif değilim ramazandan dolayı ramazandan sonra yapalım dedi </t>
  </si>
  <si>
    <t>5fe0bc9920df6eb3ecc1a6df</t>
  </si>
  <si>
    <t>Shakespeare Bistro, Melikgazi (Alpaslan Mah.-K.park)</t>
  </si>
  <si>
    <t>05444097295 abdullah bey//mailden atacak//TEYİT AMAÇLI ARANDI ÇOK YOĞUNUM TOPARLANDIĞIM VAKİT ATICAM DEDİ</t>
  </si>
  <si>
    <t>61d532925535bf2024974f71</t>
  </si>
  <si>
    <t>Shakespeare Coffee &amp; Bistro, Melikgazi (Köşk Mah.)</t>
  </si>
  <si>
    <t>Şeyhmus Ayık</t>
  </si>
  <si>
    <t>Alpaslan Mah. Org. Eşref Bitlis Blv. No:10/301 Melikgazi/KAYSERİ</t>
  </si>
  <si>
    <t xml:space="preserve">ömer bey çekime gerek yok dedi </t>
  </si>
  <si>
    <t>5fe30c45bd719f319abd9a0c</t>
  </si>
  <si>
    <t>Shish Shawerma, Kocasinan (Hacı Saki Mah.)</t>
  </si>
  <si>
    <t>Lefte Taze</t>
  </si>
  <si>
    <t>Küçük Mustafa</t>
  </si>
  <si>
    <t>Hacı Saki, Osman Kavuncu Blv. D:No 12, 38010 Kocasinan/Kayseri</t>
  </si>
  <si>
    <t>604645dc0392aa76d8222a24</t>
  </si>
  <si>
    <t>Shish Shawerma, Talas (Mevlana Mah.)</t>
  </si>
  <si>
    <t>Hatice Akbıyık</t>
  </si>
  <si>
    <t>Mevlana Mah. Halef Hoca Cad. No:55/B Talas/KAYSERİ</t>
  </si>
  <si>
    <t xml:space="preserve">İptal ettirmek istyormuş Çekim istemiyormuş//kurban bayramından sonra istiyor Necmettin bey / şuan eleman çalıştırmıyorlarmış 2 kişi çalışıyoruz gelirlerse ilgilenemeyiz dedi daha sonra yapalım dedi / daha sonra yapalım dedi </t>
  </si>
  <si>
    <t>610d518ceb3658501de3c37c</t>
  </si>
  <si>
    <t>Sıcacık Meşhur Hatay Döneri, Talas (Mevlana Mah.)</t>
  </si>
  <si>
    <t>Davut Gökdemir</t>
  </si>
  <si>
    <t>Mevlana Mah. Papatya Cad. No:21/E Talas/KAYSERİ</t>
  </si>
  <si>
    <t xml:space="preserve">açmadı - ulaşılamadı </t>
  </si>
  <si>
    <t>61a5245d23d8b63a5ef23092</t>
  </si>
  <si>
    <t>Sıfır Bir Kebap &amp; Meze, Talas (Bahçelievler Mah.)</t>
  </si>
  <si>
    <t>Oğuzhan Özdemir / 5465568908</t>
  </si>
  <si>
    <t>5fda36f0a991c50ed136d1c3</t>
  </si>
  <si>
    <t>Sır Cafe, Kocasinan (Mimarsinan Mah.)</t>
  </si>
  <si>
    <t>Sivas caddesi, Akın apt., No:165/A, Alparslan tramvay durağı</t>
  </si>
  <si>
    <t>ramazansdan sonra devam çekimi istiyor//öğleden sonra ara müsait değil/açıp kapattı.//GERÇEKLEŞMİŞ</t>
  </si>
  <si>
    <t>5fd5dc157b8824d7ce7e6222</t>
  </si>
  <si>
    <t>Simitçi Dünyası, Talas (Mevlana Mah.)</t>
  </si>
  <si>
    <t>Emrullah Çelik</t>
  </si>
  <si>
    <t>Mevlana Mah. Melikşah Cad. No:18/D Talas/KAYSERİ</t>
  </si>
  <si>
    <t>5fd74b1e2d47e08d6c9ee608</t>
  </si>
  <si>
    <t>Sini Kebap, Kocasinan (Erciyesevler Mah.)</t>
  </si>
  <si>
    <t>erciyesevler mah. tuna cad. no:6 A Kocasinan</t>
  </si>
  <si>
    <t>yok istemiyoruz onlarla mı uğraşacağız dedi//teyit için arandı yet yok</t>
  </si>
  <si>
    <t>6218c1636c5dc26d762189c4</t>
  </si>
  <si>
    <t>Erciyesevler Mah. Tuna Cad. No:6 Kocasinan/KAYSERİ</t>
  </si>
  <si>
    <t xml:space="preserve">saat 3 gibi arayın yetkili gelir dedi / yetkili şehir dışında </t>
  </si>
  <si>
    <t>623a25edd5e74b3f576edcba</t>
  </si>
  <si>
    <t>Sini Tavında, Talas (Bahçelievler Mah.)</t>
  </si>
  <si>
    <t>Faruk Erciyas</t>
  </si>
  <si>
    <t>Bahçelievler Mah., Atatürk Blv., AFM Newstar Sitesi, No:20/D, Talas, Kayseri</t>
  </si>
  <si>
    <t xml:space="preserve">hatalı numara </t>
  </si>
  <si>
    <t>625336f1c8c512c4188390d8</t>
  </si>
  <si>
    <t>Sivas Has Döner, Melikgazi (Köşk Mah.)</t>
  </si>
  <si>
    <t>Burhanettin Erdoğan</t>
  </si>
  <si>
    <t>Köşk Mah., Kışla Cad., No:52, Melikgazi, Kayseri</t>
  </si>
  <si>
    <t xml:space="preserve">yetkili zübeyde hanımdan randevu alındı </t>
  </si>
  <si>
    <t>62318a80f09d8e761487a553</t>
  </si>
  <si>
    <t>Sivas Köfteci Abdullah Usta, Melikgazi (Hunat Mah.)</t>
  </si>
  <si>
    <t xml:space="preserve">ramazanda kapalıyız bayramdan sonra dedi </t>
  </si>
  <si>
    <t>6075979025c34ab30bcefbbe</t>
  </si>
  <si>
    <t>Sivas Köftecisi Murat Usta, Melikgazi (Cumhuriyet Mah.)</t>
  </si>
  <si>
    <t>Emre Zorba</t>
  </si>
  <si>
    <t>Cumhuriyet Mah. Turan Cad. No:7/B Melikgazi/KAYSERİ</t>
  </si>
  <si>
    <t xml:space="preserve"> hanifi katı</t>
  </si>
  <si>
    <t>9 hazirana ertelendi randevusu//GERÇEKLEŞMİŞ FOTOĞRAFLAR YÜKLENMEMİŞ</t>
  </si>
  <si>
    <t>61c9bffd68eaea9ee70dcde9</t>
  </si>
  <si>
    <t>So Fire House Street Food &amp; Grill, Talas (Mevlana Mah.)</t>
  </si>
  <si>
    <t xml:space="preserve">yetkili ayhan bey yokmuş gelince dönecek - 12 gibi arayın dedi  - yetkili 14.30 da gelir o zman arayın dedi   - işletme müdürü ergül hanım diğer şubesinde ki yetkili selim bey 03525043090 selim beyle görüşebilirsiniz dedi </t>
  </si>
  <si>
    <t>5fd2296868278b853ec57e74</t>
  </si>
  <si>
    <t>So Fire House, Talas (Yenidoğan Mah.)</t>
  </si>
  <si>
    <t>Selim Dirik</t>
  </si>
  <si>
    <t>talas yenidoğan mh</t>
  </si>
  <si>
    <t>623395658962a7555e133fe5</t>
  </si>
  <si>
    <t>Sofra Lahmacun &amp; Pide, Kocasinan (Erkilet Osman Gazi Mah.)</t>
  </si>
  <si>
    <t>Adem Taşdemir</t>
  </si>
  <si>
    <t>Osmangazi Mah., Seyyid Burhanettin Cad., No:5/C, Kocasinan, Kayseri</t>
  </si>
  <si>
    <t>604656cb133a297d5f421e1f</t>
  </si>
  <si>
    <t>Sokak Burger &amp; Fastfood, Talas (Mevlana Mah.)</t>
  </si>
  <si>
    <t>Kadir Açobey</t>
  </si>
  <si>
    <t>Mevlana Mah., Karasu Cad., No:12/C Talas/Kayseri</t>
  </si>
  <si>
    <t>diğer haftaya randevuyu erteletmek istiyor.// taşıma işlemleri var numara verildi kendisi geri dönüş yapacak</t>
  </si>
  <si>
    <t>61b7296982c8f44fb03c37c2</t>
  </si>
  <si>
    <t>Sokak Dönercisi, Melikgazi (Cumhuriyet Mah.)</t>
  </si>
  <si>
    <t>Recep Ergindoğan</t>
  </si>
  <si>
    <t>Cumhuriyet Mah. Kızılay Cad. No:5 Melikgazi/KAYSERİ</t>
  </si>
  <si>
    <t>612258bc1966eb9bd82df70d</t>
  </si>
  <si>
    <t>Sonçare Dürüm, Talas (Mevlana Mah.)</t>
  </si>
  <si>
    <t>Menü Güncellemesi Yapılacak</t>
  </si>
  <si>
    <t>farklı bir şubesi daha varmış ama menü güncelliyormuş numaramı da zaten kaydetmiş güncelleyince dönecek</t>
  </si>
  <si>
    <t>614a21ded9a572a9fc8ce6b3</t>
  </si>
  <si>
    <t>Speedy Street Food, Talas (Mevlana Mah.)</t>
  </si>
  <si>
    <t>Bekir Selvi</t>
  </si>
  <si>
    <t>Mevlana Mah. Taslak Sok. No:3/B Talas/KAYSERİ</t>
  </si>
  <si>
    <t>işletme kısa süreli aktif değil bi süre açılmayacak</t>
  </si>
  <si>
    <t>620cf74c738a85800c32ea50</t>
  </si>
  <si>
    <t>Star Pastaneleri, Talas (Mevlana Mah.-15 Temmuz Cad.)</t>
  </si>
  <si>
    <t>Yasin Gür</t>
  </si>
  <si>
    <t>Mevlana, 15 Temmuz Cd No:3/A, 38280 Talas/Kayseri</t>
  </si>
  <si>
    <t xml:space="preserve">5061133755 / devam çekimi alındı </t>
  </si>
  <si>
    <t>62079ff83f985cfb8967eba4</t>
  </si>
  <si>
    <t>Star Pastaneleri, Talas (Mevlana Mah.)</t>
  </si>
  <si>
    <t>Zafer Pamuk</t>
  </si>
  <si>
    <t>Mevlana Mah. Cemil Baba Cad. No:1/A Talas/KAYSERİ</t>
  </si>
  <si>
    <t>3524315002/5395435508</t>
  </si>
  <si>
    <t>5fe0776a0654ee76a3e8b318</t>
  </si>
  <si>
    <t>Sultan Sofrası, Melikgazi (Hunat Mah.)</t>
  </si>
  <si>
    <t>Mehmet Aksoy</t>
  </si>
  <si>
    <t>Hunat Mah. Hoca Ahmed Yesevi Blv. No: 1 A Melikgazi, Kayseri</t>
  </si>
  <si>
    <t>yetk. gelnce arayacak/ açmadı//3 4 gibi gelir/açmadılar\\2-3 ara/numara verilde geri dönüş yapacaklar//2-3 saat sonra geliler dedi//4-5 gib gelir dedi</t>
  </si>
  <si>
    <t>6238d8c18cfe1e191aa834e1</t>
  </si>
  <si>
    <t>Sur Kebap Diyarı, Talas (Mevlana Mah.)</t>
  </si>
  <si>
    <t>Selami Gürbüz</t>
  </si>
  <si>
    <t>Mevlana Mah., Elçibey Cad., No: 34 A, Talas, Kayseri</t>
  </si>
  <si>
    <t xml:space="preserve">pazartesi uygun değilim başka gün dedi / ramaandan sonra olabilir dedi </t>
  </si>
  <si>
    <t>61eff75694ddc1d89325a08b</t>
  </si>
  <si>
    <t>Şah Kebap, Melikgazi (Anafartalar Mah.)</t>
  </si>
  <si>
    <t>Bayram Özer</t>
  </si>
  <si>
    <t>Anafartalar mahallesi hasan esat ışık bulvarı no15 /b Melikgazi kayseri</t>
  </si>
  <si>
    <t xml:space="preserve">unun için tüm ürünleri çıkarmam lazım dedi daha sonra bir görüşelim dedi </t>
  </si>
  <si>
    <t>5fdb8ef215a8ed1b7eb96ff3</t>
  </si>
  <si>
    <t>Şahin Baba Çorba Izgara, Talas (Mevlana Mah.)</t>
  </si>
  <si>
    <t>Müjda Bozdemir</t>
  </si>
  <si>
    <t>Mevlana Mah. Yavuz Sultan Selim Cad. Mimoza Apt. No:1/A Talas/KAYSERİ</t>
  </si>
  <si>
    <t xml:space="preserve">fotoğrafları var mı kontrol edecek yoksa  dönecek//mail verildi foto var / bayramdan sonra </t>
  </si>
  <si>
    <t>61922730dd060aea92e63b99</t>
  </si>
  <si>
    <t>Şampiyon Kokoreç, Melikgazi (Hunat Mah.)</t>
  </si>
  <si>
    <t>Mehmet Onur Çelik</t>
  </si>
  <si>
    <t>Hunat Mah. Sivas Blv. No:10 Melikgazi/KAYSERİ</t>
  </si>
  <si>
    <t xml:space="preserve">Hakan Bey </t>
  </si>
  <si>
    <t>61caedeb282032557167d6f2</t>
  </si>
  <si>
    <t>Şans Tantuni &amp; Künefe, Kocasinan (Beyazşehir Mah.)</t>
  </si>
  <si>
    <t>Kübra Çankaya</t>
  </si>
  <si>
    <t>Beyazşehir Mah. 825.sokak No:22/D Kocasinan/Kayseri</t>
  </si>
  <si>
    <t>Kübra Hanım 1 saat sonra aranacak/panallerı kapalı</t>
  </si>
  <si>
    <t>619235d010dc50b223114d49</t>
  </si>
  <si>
    <t>Şehr-i Antep'ten Kebap &amp; Lahmacun, Melikgazi (Fatih Mah.-İldem)</t>
  </si>
  <si>
    <t>Galip Öztürk</t>
  </si>
  <si>
    <t>Gesi Fatih Mah. Gün Sazak Cad. No:39/B Melikgazi/KAYSERİ</t>
  </si>
  <si>
    <t>Serap Apaydın</t>
  </si>
  <si>
    <t xml:space="preserve">kendi fotoğrafım var dedi mail adresi verildi </t>
  </si>
  <si>
    <t>5fe74891f0267ceee6127091</t>
  </si>
  <si>
    <t>Şekerpare Pasta ve Börek Evi, Kocasinan (Erciyesevler Mah.)</t>
  </si>
  <si>
    <t>Ferhat Kara</t>
  </si>
  <si>
    <t>Erciyesevler Mah. Güney Sok. No:22/B Kocasinan/KAYSERİ</t>
  </si>
  <si>
    <t>Zahire Aydın</t>
  </si>
  <si>
    <t>devam çekimi//devam çekimi 14 nisanda oluşturulmuş fakat çekim yapılmamış yeniden randevu oluşturuldu//TEYİT İÇİN ARANDI GİDİLMEMİŞ İLERDE İSTİYOR</t>
  </si>
  <si>
    <t>60bf67f75e62fc9ff5a539af</t>
  </si>
  <si>
    <t>Şekerzade Antep Baklavacısı, Kocasinan (Turgut Reis Mah.)</t>
  </si>
  <si>
    <t>ŞERİFE TÜRKAN</t>
  </si>
  <si>
    <t>Turgut Reis Mah. Turgut Reis Cad. No:11/C Kocasinan/KAYSERİ</t>
  </si>
  <si>
    <t xml:space="preserve">ben sizlere dönüş sağlıyacağım dedi </t>
  </si>
  <si>
    <t>6156ea8c0d4437247af960fb</t>
  </si>
  <si>
    <t>Şip Şak Döner &amp; Kebap, Melikgazi (Fatih Mah. - İldem)</t>
  </si>
  <si>
    <t>Selda Yavuz</t>
  </si>
  <si>
    <t>Fatih Mahallesi, Gaffar Okkan Bulvarı 61/B, Melikgazi/Kayseri</t>
  </si>
  <si>
    <t>61212bff05b58d826f31fcb6</t>
  </si>
  <si>
    <t>Tadımca Çiğ Köfte, Melikgazi (Kılıçaslan Mah.)</t>
  </si>
  <si>
    <t>PELİN KUZEY</t>
  </si>
  <si>
    <t>Alpaslan Mah. Farabi Cad. No:31/D Melikgazi/KAYSERİ</t>
  </si>
  <si>
    <t>623358dc521ea4200c0db5de</t>
  </si>
  <si>
    <t>Tadıtam Çiğ Köfte, Talas (Mevlana Mah.)</t>
  </si>
  <si>
    <t>Erciyes Üniversitesi - 15 Temmuz Yerleşkesi</t>
  </si>
  <si>
    <t>Mevlana Mah., 15 Temmuz Cad., No:12/C, Talas, KAYSERİ</t>
  </si>
  <si>
    <t>5fd77baa12cbf32125e54708</t>
  </si>
  <si>
    <t>Talas Köşk, Talas (Kiçiköy Mah.)</t>
  </si>
  <si>
    <t>Ümit Ulaş</t>
  </si>
  <si>
    <t>Kiçiköy, Hoca Ahmet Yesevi Cd. No:12, 38280 Talas/Kayseri</t>
  </si>
  <si>
    <t>TEYİT İÇİN ARANDI GERÇEKLEŞTİ EKSİK ÜRÜNLER VAR ÜMİT BEYLE TEKRARDA GÖRÜŞÜN</t>
  </si>
  <si>
    <t>60e4725167b6674e36e35e7b</t>
  </si>
  <si>
    <t>Talas Merkez Pide &amp; Izgara, Talas (Mevlana Mah.)</t>
  </si>
  <si>
    <t>Emre Öztürk</t>
  </si>
  <si>
    <t>Mevlana Mah. Zafer Bayburtluoğlu Cad. No:5/A Talas/KAYSERİ</t>
  </si>
  <si>
    <t xml:space="preserve">1 saat sonra arancak  </t>
  </si>
  <si>
    <t>601ac7fa4359295190948c8d</t>
  </si>
  <si>
    <t>Tarihi Adana Kebapçısı, Melikgazi (Alpaslan Mah.)</t>
  </si>
  <si>
    <t>Mehmet Çiçek</t>
  </si>
  <si>
    <t>Köşk Mah. Köşk Cad. No:84/A Melikgazi/KAYSERİ</t>
  </si>
  <si>
    <t>TEYİT İÇİN ARANDI AÇMADI//AÇMADI / 1 saat sonra araesanız net cevap veririm dedi /çekım ıstemıyoruz dedı</t>
  </si>
  <si>
    <t>6218de026f89f484f38ee9a0</t>
  </si>
  <si>
    <t>Tarihi Adıyaman Çiğ Köftecisi, Kocasinan (Sahabiye Mah.)</t>
  </si>
  <si>
    <t>Meral Çiftçi</t>
  </si>
  <si>
    <t>Sahabiye Mah. Teoman Sok. No:8/A Kocasinan/KAYSERİ</t>
  </si>
  <si>
    <t xml:space="preserve">eşi oktay beyden randevu alındı </t>
  </si>
  <si>
    <t>623e05e523bd14db925e329a</t>
  </si>
  <si>
    <t>Tarihi Antep Çiğ Köfte, Melikgazi (Yeşilyurt Mah. - İldem)</t>
  </si>
  <si>
    <t>Gülçin Koç</t>
  </si>
  <si>
    <t>Yeşilyurt Mah. 3234. Sok. No:3/A Melikgazi/KAYSERİ</t>
  </si>
  <si>
    <t xml:space="preserve">Numara çalmıyor </t>
  </si>
  <si>
    <t>61c33bb2a68f5d5d01ddfdc3</t>
  </si>
  <si>
    <t>Tarihi Kayseri Kebapçısı, Melikgazi (Hunat Mah.)</t>
  </si>
  <si>
    <t>Hamza Dikmen</t>
  </si>
  <si>
    <t>Hunat Mah. Kalpaklıoğlu Cad. No:1/D Melikgazi/KAYSERİ</t>
  </si>
  <si>
    <t>604b8790f1352d484b49b519</t>
  </si>
  <si>
    <t>Tarihi Kayseri Kelle Tava &amp; Pöç, Kocasinan (Erciyesevler Mah.)</t>
  </si>
  <si>
    <t>Dilara Okuducu</t>
  </si>
  <si>
    <t>Erciyesevler Mah. Tuna Cad. No:4/B Kocasinan/KAYSERİ</t>
  </si>
  <si>
    <t>kendisi döncek/05447184737 dilara hanım cep ama açmadı//babası yılmaz beyle görüşüldü fotoğrafların olduğunu söyledi sistemde çıkmadığı için kontrol sağlayamadım</t>
  </si>
  <si>
    <t>61f2ccf99e94b3eab52adace</t>
  </si>
  <si>
    <t>Tat Bi Fast Food, Kocasinan (Mimarsinan Mah.)</t>
  </si>
  <si>
    <t>Hasan Çoban</t>
  </si>
  <si>
    <t>Mimarsinan Mah. Tarsus Sok. No:66/A Kocasinan/KAYSERİ</t>
  </si>
  <si>
    <t xml:space="preserve">donus saglıycaklr getırı fazla kullanmıorlar - getiri kullanacağım zaman ben sizlere dönüş sağlarım </t>
  </si>
  <si>
    <t>61c44d7e3ce9fe6c4003376c</t>
  </si>
  <si>
    <t>Tat-Doy Express Döner &amp; Kebap, Talas (Yenidoğan Mah.)</t>
  </si>
  <si>
    <t>Fatih Dağdelen</t>
  </si>
  <si>
    <t>Yenidoğan Mah., Defne Sok., No:22/A Talas/Kayseri</t>
  </si>
  <si>
    <t xml:space="preserve">ramazandan sonre </t>
  </si>
  <si>
    <t>5fd340c0a926a55f2561973d</t>
  </si>
  <si>
    <t>Tatlıses Lahmacun, Talas (Mevlana Mah.)</t>
  </si>
  <si>
    <t>Önder Yamaç</t>
  </si>
  <si>
    <t>Mevlana Mah. Melikşah Cad. 6 D TALAS / KAYSERİ</t>
  </si>
  <si>
    <t xml:space="preserve">mail atacak//yetkili yok - mail adresi verildi ben kendim yüklerim çekim istemiyorum dedi </t>
  </si>
  <si>
    <t>6009b0871b307e714426e279</t>
  </si>
  <si>
    <t>Tavada Tavuk, Kocasinan (Şeker Mah.)</t>
  </si>
  <si>
    <t>Şeker Mah. Osman Kavuncu Blv. No:364/46 Kocasinan/KAYSERİ</t>
  </si>
  <si>
    <t>5ff2f124630a768747002543</t>
  </si>
  <si>
    <t>Tavada Tavuk, Melikgazi (Fatih Mah.-İldem)</t>
  </si>
  <si>
    <t>SUAN ICIN CEKIM ISTEMIORUZ DEDI</t>
  </si>
  <si>
    <t>6231157b1e182b4f02c0afcf</t>
  </si>
  <si>
    <t>Tavok, Kocasinan (Sahabiye Mah.)</t>
  </si>
  <si>
    <t>Bilal Atuşoğlu</t>
  </si>
  <si>
    <t>Sahabiye Mah., Sivas Cad., No:11, Kocasinan, Kayseri</t>
  </si>
  <si>
    <t xml:space="preserve">numara yanlış </t>
  </si>
  <si>
    <t>6030fa2fb868aa5953f7ada5</t>
  </si>
  <si>
    <t>Tavuk King, Talas (Yenidoğan Mah.)</t>
  </si>
  <si>
    <t>Randevu sadece ramazandan sonra olsun istiyorum israf edemem diyor./3 hafta sonra aranacak yeni açıldk dediler</t>
  </si>
  <si>
    <t>6156e03729183017fd6925b7</t>
  </si>
  <si>
    <t>Tavuk Rüyası, Kocasinan (Beyazşehir Mah.)</t>
  </si>
  <si>
    <t>611b778a3152796203d419c3</t>
  </si>
  <si>
    <t>Tek Hatay Soslu Döner, Melikgazi (Anafartalar Mah.)</t>
  </si>
  <si>
    <t>ÖZCAN TEK</t>
  </si>
  <si>
    <t>Anafartalar Mah. Şht. Büyükelçi İsmail Erez Blv. No:41/A Melikgazi/KAYSERİ</t>
  </si>
  <si>
    <t xml:space="preserve">müsait değilmiş 7 patronla göüşüp dönüş yapacaklar / bayramdan sonra istedi </t>
  </si>
  <si>
    <t>623e0ae61b47404be30782df</t>
  </si>
  <si>
    <t>Teras Izgara &amp; Kahvaltı, Melikgazi (Yıldırım Beyazıt Mah.)</t>
  </si>
  <si>
    <t xml:space="preserve">burası market mustafa beyin olduğu şube nosunu ve cep no sunu bilmiyorlar </t>
  </si>
  <si>
    <t>6075a1dddd929297b9eb94db</t>
  </si>
  <si>
    <t>The 436, Kocasinan (Erkilet Osman Gazi Mah.)</t>
  </si>
  <si>
    <t>5fe9939cac60e88d836cff2d</t>
  </si>
  <si>
    <t>Tire Kebap &amp; Izgara, Melikgazi (Hunat Mah.)</t>
  </si>
  <si>
    <t>Burak Erkan</t>
  </si>
  <si>
    <t>Seyitgazi</t>
  </si>
  <si>
    <t>Hunat Mah. Orhangazi Cad. No:13/A Melikgazi/KAYSERİ</t>
  </si>
  <si>
    <t>TEYİT İÇİN ARANDI GİDİLMEMİŞ İSTEMİYOR</t>
  </si>
  <si>
    <t>61102ba4b99f0fdaa778fb6e</t>
  </si>
  <si>
    <t>Toast Lovers, Talas (Mevlana Mah.)</t>
  </si>
  <si>
    <t>şu anda tostları tek tek hazırlayamayız diyor</t>
  </si>
  <si>
    <t>5fe082d6879562b909cc54fa</t>
  </si>
  <si>
    <t>Tok Yat, Melikgazi (Hunat Mah.)</t>
  </si>
  <si>
    <t>Süleyman Aydemir</t>
  </si>
  <si>
    <t>Cumhuriyet Mah. Mevlevi Cad. No: 22 Melilgazi/Kayseri</t>
  </si>
  <si>
    <t>602e932c1794313236072938</t>
  </si>
  <si>
    <t>Tombik Izgara &amp; Künefe &amp; Tantuni, (Keykubat Mah.)</t>
  </si>
  <si>
    <t>Oğuzhan Karabulut</t>
  </si>
  <si>
    <t>Keykubat Mah. Güllübahçe Cad. No:106/A Melikgazi/KAYSERİ</t>
  </si>
  <si>
    <t>öğleden sonra dönüş sağlayın dedi yoğunuz dedi//FOTOLAR PAYLAŞILMADIĞI İÇİN KONUŞUP KARAR VERCEKLER///tekrar aranacak ilerleyen zamanda</t>
  </si>
  <si>
    <t>600e6f1b65caa781793f0603</t>
  </si>
  <si>
    <t>Tombik Izgara &amp; Künefe &amp; Tantuni, Sanayi Mah.</t>
  </si>
  <si>
    <t>Ferhat Güzey</t>
  </si>
  <si>
    <t>Sanayi Mah. O.Kavuncu Cad. No:94/A Kocasinan/KAYSERİ</t>
  </si>
  <si>
    <t>615f324777653a4c90533e47</t>
  </si>
  <si>
    <t>Tosbik Doy, Talas (Bahçelievler Mah.)</t>
  </si>
  <si>
    <t>Görkem - ürünleri sabit olmadığı için kendi prof. kamerasından çekip gönderecek</t>
  </si>
  <si>
    <t>6218e1843831a19b07585cf9</t>
  </si>
  <si>
    <t>Tostbaa Waffle, Melikgazi (Alpaslan Mah.)</t>
  </si>
  <si>
    <t>Tuğçe Dağdelen</t>
  </si>
  <si>
    <t>Alpaslan Mah. 1599. Sok. No:12/B Melikgazi/KAYSERİ</t>
  </si>
  <si>
    <t>62179741d5cecb7e8c9e9f3c</t>
  </si>
  <si>
    <t>Tostbaa, Melikgazi (Alpaslan Mah.)</t>
  </si>
  <si>
    <t>617137d77a4e4b7f710fbbf8</t>
  </si>
  <si>
    <t>Tostçu Gökhan, Talas (Mevlana Mah.)</t>
  </si>
  <si>
    <t>Yasemin Baydemir</t>
  </si>
  <si>
    <t>Mevlana Mah. Gözde Sok. No:22/A Talas/KAYSERİ</t>
  </si>
  <si>
    <t>604b684ef5f5ce2245afa0fc</t>
  </si>
  <si>
    <t>Tuna Çorbacısı, Kocasinan (Erciyesevler Mah.)</t>
  </si>
  <si>
    <t>SELDA KAYNAR</t>
  </si>
  <si>
    <t>Erciyesevler Mah. Güney Sok. No:3/A Kocasinan/KAYSERİ</t>
  </si>
  <si>
    <t xml:space="preserve">mail atacak//mail adresini kontrol etcek beş dakika sonra arancak- yetkili bugün izinli yarın arayın dedi </t>
  </si>
  <si>
    <t>5fd9decd4f408a613ab6f926</t>
  </si>
  <si>
    <t>Uğur Usta Pide &amp; Izgara &amp; Lahmacun, Melikgazi (Alpaslan Mah.)</t>
  </si>
  <si>
    <t>Ömer Basat</t>
  </si>
  <si>
    <t>Alpaslan Mah. Mustafa Şimşek Cad. No: 99A Melikgazi/Kayseri</t>
  </si>
  <si>
    <t>alındı.//YET YOK 1GİBİ GELİR/panelde fotograflar var</t>
  </si>
  <si>
    <t>6156ef403a59d94c92495763</t>
  </si>
  <si>
    <t>Umut Mantı Evi, Talas (Yenidoğan Mah.)</t>
  </si>
  <si>
    <t>Umut Kurt</t>
  </si>
  <si>
    <t>Yenidoğan Mah. Oğulcuklu 2. Sok. No:4/A Talas/KAYSERİ</t>
  </si>
  <si>
    <t>6156e28273ca5c70ab4dc530</t>
  </si>
  <si>
    <t>Unkur Akışkanlı Börek, Talas (Mevlana Mah.)</t>
  </si>
  <si>
    <t>Ayfer altıntaş</t>
  </si>
  <si>
    <t>Mevlana mahallesi Zafer bayburtluoğlu caddesi armoni sitesi altı No:5/A talas Kayseri</t>
  </si>
  <si>
    <t>6194ed6d36ccb501335823c9</t>
  </si>
  <si>
    <t>Usta Lahmacun, Melikgazi (Keykubat Mah.)</t>
  </si>
  <si>
    <t>Kenan Kumru</t>
  </si>
  <si>
    <t>Keykubat Mah. Ahmet Gazi Ayhan Blv. No:178/B Melikgazi/KAYSERİ</t>
  </si>
  <si>
    <t>620cfb43d374c63cf738d315</t>
  </si>
  <si>
    <t>Ustaoğlu Baklavaları, Melikgazi (Cumhuriyet Mah.)</t>
  </si>
  <si>
    <t>Eren Erel</t>
  </si>
  <si>
    <t>Cumhuriyet Mah. İnönü Blv. No:63/B Melikgazi/KAYSERİ</t>
  </si>
  <si>
    <t>622f4ea24142c95702bc20cc</t>
  </si>
  <si>
    <t>Üsküdar Börek &amp; Tost, Talas (Bahçelievler Mah.)</t>
  </si>
  <si>
    <t>Cemal Dutkun</t>
  </si>
  <si>
    <t>Bahçelievler Mah. Bahçelievler Cad. No:2/B Talas/KAYSERİ</t>
  </si>
  <si>
    <t xml:space="preserve">1 hafta sonra arayın burda olmayacağım dedi -ne zaman müsait olurum belli değil ürün hazırlıyorum şuan müsait değilim dedi / ramazandan sonra istedi </t>
  </si>
  <si>
    <t>61cb9f83d70ebd817a1956ef</t>
  </si>
  <si>
    <t>Vanilin Tost &amp; Sandviç, Talas (Mevlana Mah.)</t>
  </si>
  <si>
    <t>622c941a4d8a31fb4f38b03b</t>
  </si>
  <si>
    <t>Veranda Restaurant at Holiday Inn, Kocasinan (Hacı Saki Mah.)</t>
  </si>
  <si>
    <t>Ali Sert</t>
  </si>
  <si>
    <t>Hacı Saki Mah., Kenarcık Sok., No:2, Holiday Inn Hotel, Kocasinan, Kayseri</t>
  </si>
  <si>
    <t xml:space="preserve">ben sizlere dönüş sağlarım dedi </t>
  </si>
  <si>
    <t>6030e6637491a97a2a06cbad</t>
  </si>
  <si>
    <t>Vitaminist, Melikgazi (Fatih Mah. - İldem)</t>
  </si>
  <si>
    <t>İçecek</t>
  </si>
  <si>
    <t>Kayacan koçak</t>
  </si>
  <si>
    <t>GESİ FATİH MAHALLESİ GÜN SAZAK CADDESİ NO:65 Melikgazi/KAYSERİ</t>
  </si>
  <si>
    <t>6172adc1ea59b0503e7ccc21</t>
  </si>
  <si>
    <t>Waffle Dünyası, Talas (Yenidoğan Mah.)</t>
  </si>
  <si>
    <t xml:space="preserve">kendisi isterse dönecek  - paket servise ağırlık vermiyoruz bu şekilde iyi dedi </t>
  </si>
  <si>
    <t>61f82831074e31041207cd02</t>
  </si>
  <si>
    <t>Waffle Love, Talas (Mevlana Mah.)</t>
  </si>
  <si>
    <t>Naci Tolgay</t>
  </si>
  <si>
    <t>Mevlana Mah. Umut Cad. No:16/C Talas/KAYSERİ</t>
  </si>
  <si>
    <t>61bc93d7fb27cdd7a1649125</t>
  </si>
  <si>
    <t>Yaba Pide &amp; Lahmacun, Melikgazi (Demokrasi Mah. - Toki)</t>
  </si>
  <si>
    <t>Tuğrul Babur</t>
  </si>
  <si>
    <t>Gesi Fatih Mah. Kadir Has Blv. No:141/A Melikgazi/KAYSERİ</t>
  </si>
  <si>
    <t>5fdc6e4f5e70c361548a543c</t>
  </si>
  <si>
    <t>Yamanbey Kebap &amp; Döner, Talas (Yenidoğan Mah.)</t>
  </si>
  <si>
    <t>Mehmet Yılmaz Yücel</t>
  </si>
  <si>
    <t>Yenidoğan mah. kayabağlar cad. fatih sitesi A blok 35/ Talas Kayseri</t>
  </si>
  <si>
    <t xml:space="preserve">açmadılar\\yetkili 11.30 gibi gelirmiş./ramazandan sonra arayın/2 hafta sonra arayın dediler - kendisi gelince ben arattırırım dedi </t>
  </si>
  <si>
    <t>5ff6b0fcdef388dfe1dee198</t>
  </si>
  <si>
    <t>Yapar Kebap, Melikgazi (Kılıçaslan Mah.)</t>
  </si>
  <si>
    <t>Abdurrahim Kırtaş</t>
  </si>
  <si>
    <t>Kılıçaslan Mah. Yahya Kemal Cad. No:22/C Melikgazi/KAYSERİ</t>
  </si>
  <si>
    <t xml:space="preserve">yetk.yok//açmadı//açmadı/bayramdan sonra arayın dedi\açmıyor/ açmadı//5dak//5-10 dak// müsait değilim ne zaman müsait olcağım da belli olmaz dedi. / şuan çok yoğunum elemanım da yok o kadar ürünü çıkaramam dedi </t>
  </si>
  <si>
    <t>6065ce0d4cb73c38076a0396</t>
  </si>
  <si>
    <t>Yaprak Tantuni, Melikgazi (Hunat Mah.)</t>
  </si>
  <si>
    <t>Ali Abaylı</t>
  </si>
  <si>
    <t>Hunat Mah. Sivas Blv. Kayseri Forum No:24/222 Melikgazi/KAYSERİ</t>
  </si>
  <si>
    <t>TEKRAR ARADIM GETİRDEN SİPARİŞ GELMİYOR ÇEKİM İSTEMİYOR/komisyon fazla alınıyomuş gerek yok dedi//GETİRDEN SİPARİŞ GELMİYOR ÇEKİM İSTEMİYOR/5549622469</t>
  </si>
  <si>
    <t>60b637abe9f62905516c24bf</t>
  </si>
  <si>
    <t>Yeni Ada Piknik Döner &amp; Kebap, Kocasinan (Mimarsinan Mah.)</t>
  </si>
  <si>
    <t>Fatma Avcı</t>
  </si>
  <si>
    <t>Mimarsinan Mah. Sivas Blv. No:121/A Kocasinan/KAYSERİ</t>
  </si>
  <si>
    <t>mail atacak//GÖNDERMİŞ</t>
  </si>
  <si>
    <t>6223c419d14928e4c0614384</t>
  </si>
  <si>
    <t>Yeni Merkez Pide, Kocasinan (Gevhernesibe Mah.)</t>
  </si>
  <si>
    <t>Ahmet Fırat</t>
  </si>
  <si>
    <t>Gevher Nesibe Mah., Çiçek Sok:, No:9, Kocasinan, Kayseri</t>
  </si>
  <si>
    <t>6223c0bdeb4d36e3920efe4b</t>
  </si>
  <si>
    <t>Yeni Merkez Pide, Kocasinan (Mevlana Mah.)</t>
  </si>
  <si>
    <t>Mevlana Mah., 3.Cad., No:70/A, Kocasinan, Kayseri</t>
  </si>
  <si>
    <t xml:space="preserve">yarın arayın kendisi burda olur dedi / 5333767915 yahya bey </t>
  </si>
  <si>
    <t>61deb8e2f2c13e4ea3ae2573</t>
  </si>
  <si>
    <t>Yeni Şengül Bülent Usta Pide, Melikgazi (Tacettin Veli Mah.)</t>
  </si>
  <si>
    <t>Muzaffer Çopur</t>
  </si>
  <si>
    <t>Caferbey</t>
  </si>
  <si>
    <t>Caferbey Mah. Bezirhane Cad. No:3/B Melikgazi/KAYSERİ</t>
  </si>
  <si>
    <t xml:space="preserve">mail atacakmış </t>
  </si>
  <si>
    <t>6223acaaed36d27e7b7d4b59</t>
  </si>
  <si>
    <t>Yeşil Talas Pide &amp; Lahmacun, Talas (Yenidoğan Mah.)</t>
  </si>
  <si>
    <t>Kenan Yılmaz</t>
  </si>
  <si>
    <t>Yenidoğan Mah., Timuçin Cad., Defne Sok., No:2/B, Talas, Kayseri</t>
  </si>
  <si>
    <t>622fb16b2d88d09ce96bcb64</t>
  </si>
  <si>
    <t>Yeşilyol Pide &amp; Lahmacun, Kocasinan (Hacısaki Mah.)</t>
  </si>
  <si>
    <t>Suat Koçak</t>
  </si>
  <si>
    <t>Hacı Saki Mah., Osman Kavuncu Cad., No:8/B, Kocasinan, Kayseri</t>
  </si>
  <si>
    <t>624877e37b4a664081871eab</t>
  </si>
  <si>
    <t>Yeşilyol Pide &amp; Lahmacun, Melikgazi (Hürriyet Mah.)</t>
  </si>
  <si>
    <t>Hürriyet Mah., Hasan Tahsin Blv., Topaklı Geçidi, No:2, Melikgazi, Kayseri</t>
  </si>
  <si>
    <t xml:space="preserve">hat meşgul </t>
  </si>
  <si>
    <t>6234d6b63f988a3fa850de75</t>
  </si>
  <si>
    <t>Yeşim Baklava, Melikgazi (Esentepe Mah.)</t>
  </si>
  <si>
    <t>Sevda Tan</t>
  </si>
  <si>
    <t>eşinin numarası : 5330356904</t>
  </si>
  <si>
    <t>618910934f4d730713655433</t>
  </si>
  <si>
    <t>Yöresel Tatlar, Melikgazi (Gültepe Mah.)</t>
  </si>
  <si>
    <t>Fatih Şapcı</t>
  </si>
  <si>
    <t>Gültepe Mah. Şht. Ütğm. Mustafa Şimşek Blv. No:26/B Melikgazi/KAYSERİ</t>
  </si>
  <si>
    <t>624874742535bb13ea73b9f2</t>
  </si>
  <si>
    <t>Zeki Paşa Antep Baklavacısı, Kocasinan (Sahabiye Mah.)</t>
  </si>
  <si>
    <t>Zekeriya Daş</t>
  </si>
  <si>
    <t>Sahabiye Mah., İstasyon Cad., No:48/C, Kocasinan, Kayseri</t>
  </si>
  <si>
    <t>5fd8a166a249112f1abb938e</t>
  </si>
  <si>
    <t>Zenburger, Melikgazi (Alpaslan Mah.)</t>
  </si>
  <si>
    <t>Murat Zenger</t>
  </si>
  <si>
    <t>Alpaslan Mah. Kızılırmak Cad. No: 88 A Melikgazi/Kayseri</t>
  </si>
  <si>
    <t>yarın gün içinde arancak murat bey yokmuş.//meşgul/05313954747 yetkili kişi kendi çektiği fotografları mail atmış</t>
  </si>
  <si>
    <t>6110265ac45dd786d149c71e</t>
  </si>
  <si>
    <t>Zenburger, Talas (Mevlana Mah.)</t>
  </si>
  <si>
    <t>Gözde Zenger</t>
  </si>
  <si>
    <t>Mevlana Mah. Mehmet Akif Ersoy Cad. No:30/C Talas/KAYSERİ</t>
  </si>
  <si>
    <t xml:space="preserve">merkezden çekim istiyorlar </t>
  </si>
  <si>
    <t>624e006b04e26f1e54100628</t>
  </si>
  <si>
    <t>Zeyrekoğlu Baklava, Talas (Mevlana Mah.)</t>
  </si>
  <si>
    <t>MERVE BOZKIR</t>
  </si>
  <si>
    <t>Mevlana mah.Elçibey cad. no:42 Talas/KAYSERİ</t>
  </si>
  <si>
    <t>62318e8c8a8d3d4073a80017</t>
  </si>
  <si>
    <t>Zirve Döner &amp; Kebap, Kocasinan (Beyazşehir Mah.)</t>
  </si>
  <si>
    <t>Zeliha Turgut</t>
  </si>
  <si>
    <t>Kocasinan Mah., Gesi Cad., No:2/2A, Kocasinan, Kayseri</t>
  </si>
  <si>
    <t>5fda1cc01b92e7553b860e98</t>
  </si>
  <si>
    <t>Zümrüt Köşk, Kocasinan (Mevlana Mah.)</t>
  </si>
  <si>
    <t>Ferdi Aydemir</t>
  </si>
  <si>
    <t>mevlana mah., mustafa kemal paşa bulvarı., 38090, Kocasinan</t>
  </si>
  <si>
    <t xml:space="preserve">5527520299/ salim bey /Fotoğrafçı Hanifi KAtı //12 den sonra gelir yetkili//TEYİT İÇİN ARANDI YET YOK 12GİBİ GELİR / daha önce iki kere randevu alınmış gidilmemiş şuan da istemiyor </t>
  </si>
  <si>
    <t>x</t>
  </si>
  <si>
    <t>TARİH.$.</t>
  </si>
  <si>
    <t>ID</t>
  </si>
  <si>
    <t>RESTORAN</t>
  </si>
  <si>
    <t>SAAT</t>
  </si>
  <si>
    <t>İLÇE / MAHALLE</t>
  </si>
  <si>
    <t>YETKİLİ KİŞİ / TELEFON</t>
  </si>
  <si>
    <t>Notlar</t>
  </si>
  <si>
    <t>Fotoğraf Adeti</t>
  </si>
  <si>
    <t>Toplam Ürün</t>
  </si>
  <si>
    <t>Şubeli</t>
  </si>
  <si>
    <t>İptal</t>
  </si>
  <si>
    <t>Melikgazi/Köşk</t>
  </si>
  <si>
    <t>Ercan Göktepe/5321622262</t>
  </si>
  <si>
    <t>Melikgazi/Alpaslan</t>
  </si>
  <si>
    <t>Hakan Yıldırım/5300651695</t>
  </si>
  <si>
    <t>5fd8ba9b01128239822dc5e4</t>
  </si>
  <si>
    <t>Pimacun, Melikgazi (Alpaslan Mah.)/ diğer tabela ismi pidezza</t>
  </si>
  <si>
    <t>15:00</t>
  </si>
  <si>
    <t>Emre Çetin/3522300011/05459379213</t>
  </si>
  <si>
    <t>Alpaslan, Kızılırmak Cd. No:80, 38030 Melikgazi/Kayseri</t>
  </si>
  <si>
    <t>5ff5e56df73b332e1acfc26e</t>
  </si>
  <si>
    <t>Hacıbey Baklavaları, Melikgazi (Kılıçaslan Mah.)</t>
  </si>
  <si>
    <t>17:00</t>
  </si>
  <si>
    <t>Ali Kenger/5550019238</t>
  </si>
  <si>
    <t>Kılıçaslan Mah. Sivas Blv. No:90/B Melikgazi/KAYSERİ</t>
  </si>
  <si>
    <t>Melikgazi/Fatih</t>
  </si>
  <si>
    <t>Gül İleli/5061401513</t>
  </si>
  <si>
    <t>Gesi Fatih Mah. Gün Sazak Cad. No:65 Melikgazi/KAYSERİ /kaysermall avm içerisi</t>
  </si>
  <si>
    <t>601abb58587d0e89a1b6b777</t>
  </si>
  <si>
    <t>Matmazel Patisserie, Melikgazi (Kılıçaslan Mah.)</t>
  </si>
  <si>
    <t>Melikgazi/Kılıçaslan</t>
  </si>
  <si>
    <t>Rukiye Demirci/5343540220</t>
  </si>
  <si>
    <t>Kılıçaslan Mah. Kızılırmak Cad. No:66/A Melikgazi/KAYSERİ</t>
  </si>
  <si>
    <t>Hasan Salırlıoğlu/05346678022</t>
  </si>
  <si>
    <t>18:00</t>
  </si>
  <si>
    <t>Kocasinan/Fevzi Çakmak</t>
  </si>
  <si>
    <t>Keziban Toprak/3523334344</t>
  </si>
  <si>
    <t>10-12 arası randevu alınmayacak</t>
  </si>
  <si>
    <t>Kocasinan/Serçeönü</t>
  </si>
  <si>
    <t>Asım Yaşar/5367764858</t>
  </si>
  <si>
    <t>sahabiye Mah. Ahmet Paşa cad. No:13/C Kocasinan/KAYSERİ</t>
  </si>
  <si>
    <t>Kocasinan/Sahabiye</t>
  </si>
  <si>
    <t>Mehmet Özen/3522314019</t>
  </si>
  <si>
    <t>5ff588d560a4ccc93d909c9d</t>
  </si>
  <si>
    <t>Mutlu Sarıyer Börek &amp; Kahvaltı Evi, Kocasinan (Sahabiye Mah.)</t>
  </si>
  <si>
    <t>Fırat Kaplan/3522229545</t>
  </si>
  <si>
    <t>Sahabiye Mah. Birkan Sok. No:18/B Kocasinan/KAYSERİ</t>
  </si>
  <si>
    <t>Çekim için bekledik gelmediği için elemanlarımı gönderdim dedi. Çarşamba gününe randevu alındı geç kalınmasını istemiyor</t>
  </si>
  <si>
    <t>18.30</t>
  </si>
  <si>
    <t>LÜTFİYE PINAR/3522200909</t>
  </si>
  <si>
    <t>Sadece 5 6 adet ürün çekilecek</t>
  </si>
  <si>
    <t>Sıla Göksunaz Esen</t>
  </si>
  <si>
    <t>6008723e26a65adee8334a2b</t>
  </si>
  <si>
    <t>İkinci Bahar Ev Yemekleri, (Camikebir Mah.)</t>
  </si>
  <si>
    <t>Melikgazi/Cumhuriyet</t>
  </si>
  <si>
    <t>Hatice Hanım/05319718097</t>
  </si>
  <si>
    <t>Cumhuriyet Mah. Cumhuriyet Cad. No:30 Melikgazi/KAYSERİ</t>
  </si>
  <si>
    <t>60211e74627f6e221db475d5</t>
  </si>
  <si>
    <t>Acıyaman Çiğ Köfte, Melikgazi (Gülük Mah.)</t>
  </si>
  <si>
    <t>Melikgazi/Gülük</t>
  </si>
  <si>
    <t>Ahmet Bey/05527112198</t>
  </si>
  <si>
    <t>Gülük Mah. Bağlar Cad. No:31/B Melikgazi/KAYSERİ</t>
  </si>
  <si>
    <t>5ff4465ea415e991cd3dbbbf</t>
  </si>
  <si>
    <t>Diğer şubedekiler de buraya yüklenecek</t>
  </si>
  <si>
    <t>5fe9a36512a85077a0bb864a</t>
  </si>
  <si>
    <t>Murat Bey/03522229893</t>
  </si>
  <si>
    <t>Cumhuriyet Mah. Karanlık Çarşı Sok. No:1 Melikgazi/KAYSERİ</t>
  </si>
  <si>
    <t>5fec36a3ac60e837ae6d9ae5</t>
  </si>
  <si>
    <t>On Parmak Pizza &amp; Cafe, Melikgazi (Hunat Mah.)</t>
  </si>
  <si>
    <t>Melikgazi/Hunat</t>
  </si>
  <si>
    <t>Faruk Bey/05428028538</t>
  </si>
  <si>
    <t>Hunat Mah. Rehber Sok. No:5/A Melikgazi/KAYSERİ</t>
  </si>
  <si>
    <t>İlk Randevu 13:00 olacak</t>
  </si>
  <si>
    <t>5fd9fd0a46ac1e85a05683f8</t>
  </si>
  <si>
    <t>Neva-le Çiğ Köfte, Kocasinan (Mimarsinan Mah.)</t>
  </si>
  <si>
    <t>13.30</t>
  </si>
  <si>
    <t>Kocasinan/Mimarsinan</t>
  </si>
  <si>
    <t>Abbas Şahin/3522238080</t>
  </si>
  <si>
    <t>Mimarsinan Mah. Fuzuli Cad. Gözenler Apt. No:44/A-B Kocasinan/KAYSERİ</t>
  </si>
  <si>
    <t>Kocasinan/Plevne</t>
  </si>
  <si>
    <t>Ahmet Lütfullah Dirican/5303839538</t>
  </si>
  <si>
    <t>5fe35619d3f42bc6deaf3c3e</t>
  </si>
  <si>
    <t>Acıyaman Çiğ Köfte, Kocasinan (Gevhernesibe Mah.)</t>
  </si>
  <si>
    <t>Kocasinan/Örnekevler</t>
  </si>
  <si>
    <t>Murat Can Kaya/5523838732</t>
  </si>
  <si>
    <t>Gevher Nesibe Mah., Salih Avgun Paşa Cad., No:21, Kocasinan, Kayseri, Türkiye,</t>
  </si>
  <si>
    <t>Kocasinan/Gevher Nesibe</t>
  </si>
  <si>
    <t>Hasan Albayrak/3522232601</t>
  </si>
  <si>
    <t>tekrar alndı 14.04</t>
  </si>
  <si>
    <t>5ff3112cdc26c73c2dd19cc1</t>
  </si>
  <si>
    <t>Tes Pizza, Kocasinan (Şeker Mah.-K.Şehir Hastanesi)</t>
  </si>
  <si>
    <t>Kocasinan/Şeker</t>
  </si>
  <si>
    <t>Talha Bey/05355114590</t>
  </si>
  <si>
    <t>Şeker Mah. 3169. Sok. B Blok No:5/A Kocasinan/KAYSERİ</t>
  </si>
  <si>
    <t>Yoğunluktan dolayı erteleme istiyor.</t>
  </si>
  <si>
    <t>Kocasinan/Erciyesevler</t>
  </si>
  <si>
    <t>Ferhat Bey/03522335005</t>
  </si>
  <si>
    <t>Kocasinan / Erciyesevler</t>
  </si>
  <si>
    <t>Veysel Bey / 3522351565</t>
  </si>
  <si>
    <t>Çekime gidilemedi, Yolda kalma sebebiyle cumaya ertelendi.</t>
  </si>
  <si>
    <t>60083e1bc795bd4942426c4b</t>
  </si>
  <si>
    <t>Tadımca Çiğ Köfte, Melikgazi (Gültepe Mah.)</t>
  </si>
  <si>
    <t>Melikgazi/ Gültepe</t>
  </si>
  <si>
    <t>Mert Bey/ 5424573812</t>
  </si>
  <si>
    <t>Gültepe Mah. Gelincik Sok. No:5/B Melikgazi/KAYSERİ</t>
  </si>
  <si>
    <t>BU ADRESTE 2 ŞUBE BULUNUYOR RESTORAN SAHİBİ GELMİŞKEN 2 ŞUBE İÇİN DE ÇEKİM OLMASINI İSTEDİ.2ŞUBE ÇEKİMİ OLACAK.</t>
  </si>
  <si>
    <t>Talas/Yenidoğan şubesi içinde kullanılacak çekilen fotoğraflar.</t>
  </si>
  <si>
    <t>Kocasinan/Sahabiye şubesindede kullanılacak.</t>
  </si>
  <si>
    <t xml:space="preserve">zeliha özer </t>
  </si>
  <si>
    <t>Melikgazi	/Mimarsinan</t>
  </si>
  <si>
    <t>Rifat İslam Kılıç	/5526524300</t>
  </si>
  <si>
    <t>melikgazi/yeşilyurt</t>
  </si>
  <si>
    <t>yıldıray bey/3526661238</t>
  </si>
  <si>
    <t>Randevuyu Salı günü istedi ertelemesi yapıldı.</t>
  </si>
  <si>
    <t>60194b96d0efd3dd29b0781d</t>
  </si>
  <si>
    <t>Köşem Döner, Melikgazi (Sakarya Mah.)</t>
  </si>
  <si>
    <t>melikgazi/sakarya</t>
  </si>
  <si>
    <t>fatma hanım/5453391271</t>
  </si>
  <si>
    <t>Sakarya Mah. Doğanyurt Cad. No:8 Melikgazi/KAYSERİ</t>
  </si>
  <si>
    <t>Randevu için arandı çekim yapılacak.</t>
  </si>
  <si>
    <t>melikgazi/Keykubat</t>
  </si>
  <si>
    <t>oğuzhan bey/3523311177 - 5524025167</t>
  </si>
  <si>
    <t>Ramazana gşreceğinden dolayı ürünleri sıfırlamış daha sonra kendisi arayıp randevu tarihi isteyecek</t>
  </si>
  <si>
    <t>Mertcan</t>
  </si>
  <si>
    <t>13.00</t>
  </si>
  <si>
    <t>yusuf sapayer 3522334400</t>
  </si>
  <si>
    <t>Yusuf Sapayer 3522334400</t>
  </si>
  <si>
    <t>15.00</t>
  </si>
  <si>
    <t>Serap Hanım/ 3522360121</t>
  </si>
  <si>
    <t>60461ba5eee509aea0e64233</t>
  </si>
  <si>
    <t>Dört Döner, Melikgazi (Kılıçaslan Mah.)</t>
  </si>
  <si>
    <t>Melikgazi	Kılıçaslan</t>
  </si>
  <si>
    <t>Berna Yıkın	5421436637</t>
  </si>
  <si>
    <t>Kılıçaslan Mah. Kızılırmak Cad. No:66/D Melikgazi/KAYSERİ</t>
  </si>
  <si>
    <t>16:00 a kadar dersi var tek randevu yazılacak</t>
  </si>
  <si>
    <t>Melikgazi/ Alpaslan</t>
  </si>
  <si>
    <t>Hüseyin/ 3522233434</t>
  </si>
  <si>
    <t>"Loqma'çik, İldem (Fatih)</t>
  </si>
  <si>
    <t>Melikgazi	Fatih</t>
  </si>
  <si>
    <t>Cüneyt Battal Bayırbaşı	5383447468</t>
  </si>
  <si>
    <t>14:00</t>
  </si>
  <si>
    <t>60506f0ff32bbb790ccbc57b</t>
  </si>
  <si>
    <t>Melikgazi	Yeşilyurt</t>
  </si>
  <si>
    <t>YASİN ATAŞ	3522400374</t>
  </si>
  <si>
    <t xml:space="preserve">yeşilyurt mahallesi şehit onbaşı hakan türk caddesi 101\G </t>
  </si>
  <si>
    <t>melikgazi/şirintepe</t>
  </si>
  <si>
    <t>eyyüp bey/3523393339</t>
  </si>
  <si>
    <t>10.00</t>
  </si>
  <si>
    <t>Melikgazi	/Köşk</t>
  </si>
  <si>
    <t>Bülent Şahin        /3522370010</t>
  </si>
  <si>
    <t>erteleme için aranacak</t>
  </si>
  <si>
    <t>5ff5af1b4fb8e177e172f486</t>
  </si>
  <si>
    <t>Yoğunburç Pide Salonu, Melikgazi (Hunat Mah.)</t>
  </si>
  <si>
    <t>18.00</t>
  </si>
  <si>
    <t>Melikgazi	/Hunat</t>
  </si>
  <si>
    <t>Safiye Aslan	/3522228283</t>
  </si>
  <si>
    <t>Hunat Mah. Seyyid Burhaneddin Blv. No:27/A Melikgazi/KAYSERİ</t>
  </si>
  <si>
    <t>14.00</t>
  </si>
  <si>
    <t>Serkan Karadaş	/3522206166</t>
  </si>
  <si>
    <t>Eksik ürünleri olduğundan dolayı tam rüün çıkaramıyor 10 gün sonra tekrar aranacak</t>
  </si>
  <si>
    <t>5ff5bb26958067232786611b</t>
  </si>
  <si>
    <t>Yoğunburç Serince Çiğ Köfte, Melikgazi (Tacettin Veli Mah.)</t>
  </si>
  <si>
    <t>16.00</t>
  </si>
  <si>
    <t>Melikgazi/Seyitgazi</t>
  </si>
  <si>
    <t>Murat Küçük/5063956745</t>
  </si>
  <si>
    <t>6058409498acb235dd86fad5</t>
  </si>
  <si>
    <t>Bereket Sofrası, Melikgazi (Yıldırım Beyazıt Mah.)</t>
  </si>
  <si>
    <t>Melikgazi/Yıldırım Beyazıt</t>
  </si>
  <si>
    <t>Hasan Albayrak/5338140163</t>
  </si>
  <si>
    <t xml:space="preserve">Ustaları yokmuş o yüzden iptal olmuş. </t>
  </si>
  <si>
    <t>12.00</t>
  </si>
  <si>
    <t xml:space="preserve">devam çekimi </t>
  </si>
  <si>
    <t>Muhammed Saraç/3527380180</t>
  </si>
  <si>
    <t>Ramazan başlangıcı olduğu için hazırlık aksayacak</t>
  </si>
  <si>
    <t>6047798895464a7a498575c2</t>
  </si>
  <si>
    <t>Smoke - In, Melikgazi (Alpaslan Mah.)</t>
  </si>
  <si>
    <t>Melikgazi	Alpaslan</t>
  </si>
  <si>
    <t>5469680308/ rabia hanım</t>
  </si>
  <si>
    <t>Alpaslan Mah. Org. Eşref Bitlis Blv. No:1/3 Melikgazi/KAYSERİ</t>
  </si>
  <si>
    <t>6005c18ec11c76bbcbb9837f</t>
  </si>
  <si>
    <t>Tadımca Çiğ Köfte, Melikgazi (Alpaslan Mah.)</t>
  </si>
  <si>
    <t>16:00</t>
  </si>
  <si>
    <t>Betül Kevser Yücel	5523905735</t>
  </si>
  <si>
    <t>Alpaslan Mah. Farabi Cad. No:31/C Melikgazi/KAYSERİ</t>
  </si>
  <si>
    <t>602e4c4f7b6e5c6be778f007</t>
  </si>
  <si>
    <t>Adıyörem Çiğ Köfte, Melikgazi (Tacettin Veli Mah.)</t>
  </si>
  <si>
    <t>Melikgazi	/Tacettinveli</t>
  </si>
  <si>
    <t>Metin Keskin	5525753810</t>
  </si>
  <si>
    <t>Tacettinveli Mah. Seyyid Burhaneddin Blv. No:48/B Melikgazi/KAYSERİ</t>
  </si>
  <si>
    <t>606c590eb2c68a71564451fc</t>
  </si>
  <si>
    <t>Neva-le Çiğ Köfte, Melikgazi (Fatih Mah. - İldem)</t>
  </si>
  <si>
    <t>Melikgazi/Gesi Fatih</t>
  </si>
  <si>
    <t>Bayram Oyarkılıçgil	/5528813131</t>
  </si>
  <si>
    <t>Gesi Fatih Mah. Gün Sazak Cad. No:37/C Melikgazi/KAYSERİ</t>
  </si>
  <si>
    <t>Barış Akyar/05373528805</t>
  </si>
  <si>
    <t>Dönerci Baba, Melikgazi (Gültepe Mah.).</t>
  </si>
  <si>
    <t>16:30</t>
  </si>
  <si>
    <t>Melikgazi/Gültepe</t>
  </si>
  <si>
    <t>Yusuf Sapayer/3522334400</t>
  </si>
  <si>
    <t>Melikgazi/Melikgazi</t>
  </si>
  <si>
    <t>Bülent Bey / 3522370010</t>
  </si>
  <si>
    <t>5fe776dd2ccf25145320eb66</t>
  </si>
  <si>
    <t>Zeyrekoğlu Baklava, Talas (Bahçelievler Mah.)</t>
  </si>
  <si>
    <t>Talas/Bahçelievler</t>
  </si>
  <si>
    <t>Onur Yıldız/3524383638</t>
  </si>
  <si>
    <t>Bahçelievler Mah. Atatürk Blv. No:2/B Talas/KAYSERİ</t>
  </si>
  <si>
    <t>Ramazandan dolayı ürün çıkartırsam hepsi boşa gidecek ramazandan sonra randevu istiyor</t>
  </si>
  <si>
    <t>Melikgazi/	Köşk</t>
  </si>
  <si>
    <t>5fe06624bd719f9d15bd42df</t>
  </si>
  <si>
    <t>Talas / Yenidoğan</t>
  </si>
  <si>
    <t>İlknur Şengül 3525020259</t>
  </si>
  <si>
    <t>Yenidoğan Mah. Şaban Yılmaz Cad. No: 4 B</t>
  </si>
  <si>
    <t>Bircan Kalkan 3524377744</t>
  </si>
  <si>
    <t>5fd78c2da9ef545bc6af2e95</t>
  </si>
  <si>
    <t>Aşgana Pizza, Talas (Yenidoğan Mah.)</t>
  </si>
  <si>
    <t>Seniye Tanver / 3524371030</t>
  </si>
  <si>
    <t>Yenidoğan, Çimenli Cd. No:5, 38280 Talas/Kayseri</t>
  </si>
  <si>
    <t>5fd0eb353600b75732cf3169</t>
  </si>
  <si>
    <t>Berlin Döner Talas (Bahçelievler)</t>
  </si>
  <si>
    <t>Talas	Bahçelievler</t>
  </si>
  <si>
    <t>Ramazan Göğdere/5438525647</t>
  </si>
  <si>
    <t xml:space="preserve">Bahçelievler Mah.Atatürk Bulvarı 20/B  </t>
  </si>
  <si>
    <t>Ürünleri kalmadığı için iptal ettirmiş. Ramazan bitince geri arayacak</t>
  </si>
  <si>
    <t>Talas        Mevlana</t>
  </si>
  <si>
    <t>Kadir Açobey        3524311440</t>
  </si>
  <si>
    <t>Haftaya randevu istiyormuş</t>
  </si>
  <si>
    <t>Talas	Mevlana</t>
  </si>
  <si>
    <t>Hatice Akbıyık        3524313919</t>
  </si>
  <si>
    <t>İptal ettirmek istyormuş Çekim istemiyormuş</t>
  </si>
  <si>
    <t>Talas yenidoğan</t>
  </si>
  <si>
    <t>Hüseyin Bahadır Per        3522204141</t>
  </si>
  <si>
    <t>YENİDOĞAN MAHALLESİ ATATÜRK BULV. 21/b</t>
  </si>
  <si>
    <t xml:space="preserve">Saatve gününü yanlış anlamış yetkili ertlemesi perşembeye yapıldı </t>
  </si>
  <si>
    <t>12:00</t>
  </si>
  <si>
    <t>Hacı Karakuş 3524377979</t>
  </si>
  <si>
    <t>Randevu sadece ramazandan sonra olsun istiyorum israf edemem diyor.</t>
  </si>
  <si>
    <t>604f33a4b45d10be67717336</t>
  </si>
  <si>
    <t>Bay Burger, Talas (Mevlana Mah.)</t>
  </si>
  <si>
    <t>Talas Mevlana</t>
  </si>
  <si>
    <t>Levent Kaplan 05078908434</t>
  </si>
  <si>
    <t>Talas Yenidoğan</t>
  </si>
  <si>
    <t>Ahmet Konyalıoğlu 5316453973</t>
  </si>
  <si>
    <t>5fe0a5710654ee3d04e8b8c7</t>
  </si>
  <si>
    <t>Sur Kebap, Talas (Mevlana Mah.)</t>
  </si>
  <si>
    <t>Selami Gürbüz        3525020607</t>
  </si>
  <si>
    <t>Mevlana Mah. Elçibey Cad. No: 34 A Talas/Kayseri</t>
  </si>
  <si>
    <t>fotoğrafçı hasta olduğu için 30una ertelendi</t>
  </si>
  <si>
    <t>6002c2d4fd3d0e5d08033a52</t>
  </si>
  <si>
    <t>Acıyaman Çiğ Köfte, Melikgazi (Battalgazi Mah.)</t>
  </si>
  <si>
    <t>Melikgazi / Battalgazi</t>
  </si>
  <si>
    <t>Adem Bey / 5514037953</t>
  </si>
  <si>
    <t>Battalgazi Mah. Sandıkçı Sok. No:77/D Melikgazi/KAYSERİ</t>
  </si>
  <si>
    <t>Baki Uca/5332940066</t>
  </si>
  <si>
    <t>5fd0cdcd1ef97861ee3d7a8e</t>
  </si>
  <si>
    <t>17;30</t>
  </si>
  <si>
    <t>Namiye Karakuş        5553877078</t>
  </si>
  <si>
    <t>Mevlana Mah.15 Temmuz Cad No:18/ C</t>
  </si>
  <si>
    <t>5fdb7c7829da2a6fc553d051</t>
  </si>
  <si>
    <t>Kasaba Cafe &amp; Restaurant, Talas (Mevlana Mah.)</t>
  </si>
  <si>
    <t>Cengiz İnal	3525020888</t>
  </si>
  <si>
    <t>Mevlana Mah. 15 Temmuz Cad. No:2/B Talas/KAYSERİ</t>
  </si>
  <si>
    <t>Bekledim kimse gelmedi der cuma gününe ertelendi</t>
  </si>
  <si>
    <t>Selim dirik 3525043090</t>
  </si>
  <si>
    <t xml:space="preserve">5fd782f6a9ef5432cdaf2e6f </t>
  </si>
  <si>
    <t>Toast Lovers, Talas (Yenidoğan Mah.)</t>
  </si>
  <si>
    <t>Emre Kızıltepe 5383763760</t>
  </si>
  <si>
    <t>Mevlana Mah.Veli oğlu Cad. No:22/B</t>
  </si>
  <si>
    <t>Talas/KAYSERİ</t>
  </si>
  <si>
    <t>Talas Bahçelievler</t>
  </si>
  <si>
    <t>Veysel Birol/ 3525048887</t>
  </si>
  <si>
    <t>Randevuyu unuttuğu için hazırlık yapmamışlar ertelemesi yaapılacak.</t>
  </si>
  <si>
    <t>17:30</t>
  </si>
  <si>
    <t>Talas / Mevlana</t>
  </si>
  <si>
    <t>Onur Bey / 3525046085</t>
  </si>
  <si>
    <t>Cenazesi varmış tekrar randevu 5309223386 onur beyle iletişime geçilecek</t>
  </si>
  <si>
    <t>14:30</t>
  </si>
  <si>
    <t>Ahmet Güler	3524314400</t>
  </si>
  <si>
    <t>Fadime Hanım / 3525048000</t>
  </si>
  <si>
    <t>YASAKLARDAN DOLAYI RANDEVU ALINMAYACAK!!!!!!!</t>
  </si>
  <si>
    <t>Talas	Tablakaya</t>
  </si>
  <si>
    <t>Setenay Polat   5517152602</t>
  </si>
  <si>
    <t>(Ramazandan sonraya istiyor)</t>
  </si>
  <si>
    <t>5fd611997b882451927e6304</t>
  </si>
  <si>
    <t>Meşhur Sivas Köftecisi İrfan Usta, Talas (Mevlana Mah.)</t>
  </si>
  <si>
    <t>Sevim Bahar  5528605110</t>
  </si>
  <si>
    <t>Mevlana Mah. Turgut Özal Cad. No: 8 K Talas/ Kayseri</t>
  </si>
  <si>
    <t>(Ramazandan sonra istiyor.)</t>
  </si>
  <si>
    <t>Cengiz İnal -3525020888-05417103804</t>
  </si>
  <si>
    <t>600fdab42505a3b231a760df</t>
  </si>
  <si>
    <t>Helvacı Hacı Aziz, Talas (Bahçelievler Mah.)</t>
  </si>
  <si>
    <t>Cansu Polat  5339474987</t>
  </si>
  <si>
    <t>Fevziye Güneş  3524310061</t>
  </si>
  <si>
    <t>iptal</t>
  </si>
  <si>
    <t>5fd37eb5c3ba6c191b0c73b5</t>
  </si>
  <si>
    <t>Gold Burger Talas (Mevlana Mah.)</t>
  </si>
  <si>
    <t>Ümüş Altındiş 3525049700</t>
  </si>
  <si>
    <t>Mevlana mh. Batuhan Sk. No:16/A</t>
  </si>
  <si>
    <t>Ramazandan sonra istiyor ürünlerin hepsi çıkmaz der</t>
  </si>
  <si>
    <t>Talas/ Mevlana</t>
  </si>
  <si>
    <t>Davut Bey/3524380350</t>
  </si>
  <si>
    <t>Hüseyin Bahadır Per / 3522204141</t>
  </si>
  <si>
    <t>607985cef2c9424f95c26d49</t>
  </si>
  <si>
    <t>Albatros Tantuni, Talas (Tablakaya Mah.)</t>
  </si>
  <si>
    <t>Talas/Tablakaya</t>
  </si>
  <si>
    <t>Erhan Bey/3525024546</t>
  </si>
  <si>
    <t xml:space="preserve">ustası rahatsızlandıgı ıcın ıptalını gerceklestırmıs </t>
  </si>
  <si>
    <t>5ffc82ed1f40a36840914341</t>
  </si>
  <si>
    <t>Ahsen Pizza Express, Talas (Mevlana Mah.)</t>
  </si>
  <si>
    <t>Hüseyin Sümer  3525040444</t>
  </si>
  <si>
    <t>Mevlana Mah. Karasu Cad. No:26/A Talas/KAYSERİ</t>
  </si>
  <si>
    <t>5fe37f9aa8b06d6f5aa550f4</t>
  </si>
  <si>
    <t>Osman Bey/ 5523862667-05376611269</t>
  </si>
  <si>
    <t>Bayramdan sonra çekim olsun istiyor.</t>
  </si>
  <si>
    <t>Talas/Mevlana</t>
  </si>
  <si>
    <t>Tuğba Hanım/ 05528403238</t>
  </si>
  <si>
    <t>Pandemiden dolayı tam işlev gösteremiyrouz bayramdan sonra ararsanız randevulaşalım der</t>
  </si>
  <si>
    <t>Emrah Çizmeli	/3522221971</t>
  </si>
  <si>
    <t>İsmail Tekgöz  5526621010</t>
  </si>
  <si>
    <t>606db274b2c68a429f448d5a</t>
  </si>
  <si>
    <t>Golden Pack Street Food, Talas (Yenidoğan Mah.)</t>
  </si>
  <si>
    <t>Talas	Yenidoğan</t>
  </si>
  <si>
    <t>Mete Kurt        5367694052</t>
  </si>
  <si>
    <t>Yenidoğan Mah. Yaprak Cad. No:14/A Talas/KAYSERİ</t>
  </si>
  <si>
    <t>Fatih Kılıçkaya 5495485111</t>
  </si>
  <si>
    <t>16.30</t>
  </si>
  <si>
    <t xml:space="preserve"> Talas Mevlana</t>
  </si>
  <si>
    <t>Hasan Yazgan 3529993872</t>
  </si>
  <si>
    <t>melikgazi/Hunat</t>
  </si>
  <si>
    <t>Ali Bey/3522312033</t>
  </si>
  <si>
    <t>Serkan Bey/3522206166</t>
  </si>
  <si>
    <t>melikgazi /Alpaslan</t>
  </si>
  <si>
    <t>Serkan Bey/05389361197</t>
  </si>
  <si>
    <t>11.00</t>
  </si>
  <si>
    <t>bayramdan sonra aranacak</t>
  </si>
  <si>
    <t>baramdan sonra aranacak</t>
  </si>
  <si>
    <t>12.30</t>
  </si>
  <si>
    <t>Melikgazi/konaklar</t>
  </si>
  <si>
    <t>nafiye soyer/3525047273</t>
  </si>
  <si>
    <t>Keyifsizim hastayım o yüzden der ileri tarih için de aranmak istemiyor</t>
  </si>
  <si>
    <t>melikgazi/alpasslan</t>
  </si>
  <si>
    <t>Mehmet Çiçek/3525047273</t>
  </si>
  <si>
    <t>Mehmet Aktaş/3522222298</t>
  </si>
  <si>
    <t>sebebini söylemedi</t>
  </si>
  <si>
    <t>Emre Zorba/3522227666</t>
  </si>
  <si>
    <t>1 hazirandan sonra randevu oluşturmak istiyor</t>
  </si>
  <si>
    <t>6054a92f6bf30136a7356571</t>
  </si>
  <si>
    <t>Serince Çiğ Köfte, Melikgazi (Hürriyet Mah.-Fırat Cad.)</t>
  </si>
  <si>
    <t>Melikgazi/Hürriyet</t>
  </si>
  <si>
    <t>mustafa Bozdağ/03523364363</t>
  </si>
  <si>
    <t>Hürriyet Mah. Fırat Cad. No:61/A Melikgazi/KAYSERİ</t>
  </si>
  <si>
    <t>600717bcafd5c7e0e11e396c</t>
  </si>
  <si>
    <t>İstanbul Çiğ Köfte, Melikgazi (30 Ağustos Mah.)</t>
  </si>
  <si>
    <t>Melikgazi/30 ağustos</t>
  </si>
  <si>
    <t>Gülkız Şimşek/05510795787</t>
  </si>
  <si>
    <t>melikgazi/çolakcılar</t>
  </si>
  <si>
    <t>Meryem Çapar/03523362538</t>
  </si>
  <si>
    <t>5ff85c53f21cfbed81985c4f</t>
  </si>
  <si>
    <t>Serince Çiğ Köfte, Melikgazi (Hürriyet Mah.)</t>
  </si>
  <si>
    <t>Melikgazi/Çorakcılar</t>
  </si>
  <si>
    <t>Eyüp Kocabaş/3523366738</t>
  </si>
  <si>
    <t>Çorakçılar Mah. Cengiz Topel Cad. No:33/A Melikgazi/KAYSERİ</t>
  </si>
  <si>
    <t>RANDEVU ALINMAYACAK!!!!</t>
  </si>
  <si>
    <t>-</t>
  </si>
  <si>
    <t>Hanifi Katı</t>
  </si>
  <si>
    <t>6075aa0cf875c503216b273b</t>
  </si>
  <si>
    <t>Adem Aksoy/3525043494</t>
  </si>
  <si>
    <t>6079a215670d461a02aa4c7a</t>
  </si>
  <si>
    <t>Melikgazi/Bahçelievler</t>
  </si>
  <si>
    <t>Hasan Fidan/5300404650</t>
  </si>
  <si>
    <t>kocasinan/yakut</t>
  </si>
  <si>
    <t>şevket bey/8508400290</t>
  </si>
  <si>
    <t>perşembeye ertelemek istediğini belirtir</t>
  </si>
  <si>
    <t>Kocasinan/Yunus Emre</t>
  </si>
  <si>
    <t>Ahmet Can Arslan/3525033404</t>
  </si>
  <si>
    <t>607571c3f6f6104273b02cca</t>
  </si>
  <si>
    <t>Adıyörem Çiğ Köfte, Kocasinan (Fevzi Çakmak Mah.)</t>
  </si>
  <si>
    <t>Kadir Pınarbaşı/5417395758</t>
  </si>
  <si>
    <t>Fevzi Çakmak Mah. Billur Cad. No:4/B Kocasinan/KAYSERİ</t>
  </si>
  <si>
    <t>kutuda sipariş götürüyoruz poreselen sunumda anlaşılmayacak ürünün miktarı ve ismim fotoğrafta gözükmeyecekse ne anlamı var dediler eğer kutuda ve ismim gözükecek şeklinde çekim yapılacaksa istiyorum denildi olamayacağını olursa tekrar iletişime geçileceğini bildirdik</t>
  </si>
  <si>
    <t>Kocasinan/Mevlana</t>
  </si>
  <si>
    <t>Salim Bey/5527520299-Ferdi Aydemir/3523374053</t>
  </si>
  <si>
    <t>mevlana mah., mustafa kemal paşa bulvarı., merkez apt 113/B 38090, Kocasinan</t>
  </si>
  <si>
    <t>teyit için arandı açmadı</t>
  </si>
  <si>
    <t>görüşülmedi</t>
  </si>
  <si>
    <t>606c15333b554c75dfed754f</t>
  </si>
  <si>
    <t>Eslem Kahvaltı Evi, Melikgazi (Cumhuriyet Mah.)</t>
  </si>
  <si>
    <t>Mustafa bey/5548636785-Reyhan Gökkaya/5528855040</t>
  </si>
  <si>
    <t>Cumhuriyet Mah. Tennuri Sok. No:10/A Melikgazi/KAYSERİ</t>
  </si>
  <si>
    <t>Melikgazi/Altınoluk</t>
  </si>
  <si>
    <t>Ali Deveci/5524500138//5320599603</t>
  </si>
  <si>
    <t>Melikgazi/Çorakçılar</t>
  </si>
  <si>
    <t>Burhan Vural/3522227372</t>
  </si>
  <si>
    <t>Serkan Karadaş/3522206166</t>
  </si>
  <si>
    <t>Kocasinan/İstasyon</t>
  </si>
  <si>
    <t>Gürkan Karakaya/3522230405</t>
  </si>
  <si>
    <t>60a24cb4111ef76e366d9c54</t>
  </si>
  <si>
    <t>Urfalı Baklavacı Hacıbey, Kocasinan (Mevlana Mah.)</t>
  </si>
  <si>
    <t>kocasinan/mevlana mahallesi</t>
  </si>
  <si>
    <t>berat bey/5320573638</t>
  </si>
  <si>
    <t xml:space="preserve">kocasinan/mimar sinan </t>
  </si>
  <si>
    <t>Erol bey/ 5424573812</t>
  </si>
  <si>
    <t>fuzuli caddesi mimar sinan mahallesi kardeşler apartmanı 16/f</t>
  </si>
  <si>
    <t>5ff88c203cc99fa1bdcc27d9</t>
  </si>
  <si>
    <t>Adıyaman Çiğköftecisi Bayram Usta, Kocasinan(Gevhernesibe Mah.)</t>
  </si>
  <si>
    <t>Murat Yazıcı/5334915838</t>
  </si>
  <si>
    <t>Gevher Nesibe Mah. Salih Avgun Paşa Cad. No:32/A Kocasinan/KAYSERİ</t>
  </si>
  <si>
    <t>kendi fotoları mevcutmuş</t>
  </si>
  <si>
    <t>603e2e1fd6d0ad012391fd57</t>
  </si>
  <si>
    <t>Leziz Köfte &amp; Dürüm, Melikgazi (Hürriyet Mah.)</t>
  </si>
  <si>
    <t>melikgazi/çorakçılar</t>
  </si>
  <si>
    <t>muhammed bey/3523360071</t>
  </si>
  <si>
    <t>Çorakçılar Mah. Cengiz Topel Cad. No:7/D Melikgazi/KAYSERİ</t>
  </si>
  <si>
    <t>melikgazi/Şehit Nazımbey</t>
  </si>
  <si>
    <t>ismail bey/50717489625</t>
  </si>
  <si>
    <t>60952aec424cc91a1bd2387a</t>
  </si>
  <si>
    <t>Özgür'ün Yeri, Melikgazi (Hunat Mah.)</t>
  </si>
  <si>
    <t>melekgazi/hunat</t>
  </si>
  <si>
    <t>özgür bey/5067543410</t>
  </si>
  <si>
    <t>Hunat Mah. Şht. Yzb. Sami Akbulut Cad. No:12/A Melikgazi/KAYSERİ</t>
  </si>
  <si>
    <t>17.30</t>
  </si>
  <si>
    <t>melikgazi/cumhuriyet</t>
  </si>
  <si>
    <t>emre bey/3522227666</t>
  </si>
  <si>
    <t>fotoğrafçı gitmemiş erteleme yaptık</t>
  </si>
  <si>
    <t>609292bedfefe7c03e0a4cb5</t>
  </si>
  <si>
    <t>Öz Zümrüt Pastanesi, Kocasinan (Yakut Mah.)</t>
  </si>
  <si>
    <t>Ömer Bey/5520032773</t>
  </si>
  <si>
    <t>Yakut Mah. Akmescit Cad. No:17/E Kocasinan/KAYSERİ</t>
  </si>
  <si>
    <t>kocasinan/Yenipervane</t>
  </si>
  <si>
    <t>Alperen Bey/5412401825</t>
  </si>
  <si>
    <t xml:space="preserve">FOTOĞRAFÇIDAN KAYNAKLI GİDİLMEDİ ERTELENDİ </t>
  </si>
  <si>
    <t>608185663654221f40385acd</t>
  </si>
  <si>
    <t>Waffle Bucks, Kocasinan (Şeker Mah.)</t>
  </si>
  <si>
    <t>Kocasinan/Oymaağaç</t>
  </si>
  <si>
    <t>Serdar Bey/5534133460</t>
  </si>
  <si>
    <t>Oymaağaç Mah. 5062. Cad. No:44/205 Kocasinan/KAYSERİ</t>
  </si>
  <si>
    <t>FOTOĞRAFÇIDAN KAYNAKLI GİDİLMEDİ  İPTAL ETTİ</t>
  </si>
  <si>
    <t>Talas İlçesi Alınacak</t>
  </si>
  <si>
    <t>Talas	Kiçiköy</t>
  </si>
  <si>
    <t xml:space="preserve">Ümit bey 505 434 95 06 3524377070  </t>
  </si>
  <si>
    <t>5fd2467de5808b346168c4e6</t>
  </si>
  <si>
    <t>Abbi Gözleme &amp; Tost, Talas (Mevlana Mah.)</t>
  </si>
  <si>
    <t>Yaşar Üsten/3525037727</t>
  </si>
  <si>
    <t>Mevlana, 6078. Sk. 12D, Talas Kayseri</t>
  </si>
  <si>
    <t>606d615d507a87907b650da8</t>
  </si>
  <si>
    <t>Crazy Burger &amp; Waffle, Talas (Yenidoğan Mah.)</t>
  </si>
  <si>
    <t>Talas/Yenidoğan</t>
  </si>
  <si>
    <t>Sercan Canıpek/3525027260</t>
  </si>
  <si>
    <t>Selim Bey / 3525043090</t>
  </si>
  <si>
    <t>606c2f5812cde62460d0b8b2</t>
  </si>
  <si>
    <t>Antep Baklavacısı Kazım Usta, Kocasinan (Ziya Gökalp Mah.)</t>
  </si>
  <si>
    <t>Kocasinan/Ziyagökalp</t>
  </si>
  <si>
    <t>Kazım Kara/5051247438</t>
  </si>
  <si>
    <t>Ziyagökalp Mah. Güvercin Sok. No:22/B Kocasinan/KAYSERİ</t>
  </si>
  <si>
    <t>7 sine ertelendi</t>
  </si>
  <si>
    <t>Kocasinan/Barbaros</t>
  </si>
  <si>
    <t>Ünal Comart/3523399901-5425032650</t>
  </si>
  <si>
    <t>perşembe veya cumaya randevu istedi</t>
  </si>
  <si>
    <t>6021399671c5451f2402af1b</t>
  </si>
  <si>
    <t>Ciğerci Bahattin, Kocasinan (Sahabiye Mah.)</t>
  </si>
  <si>
    <t>Mehmet Özercan/3522204466</t>
  </si>
  <si>
    <t>Serçeönü Mah. Sivas Blv. No:13/C Kocasinan/KAYSERİ</t>
  </si>
  <si>
    <t>daha sonra randevu oluşurulacak</t>
  </si>
  <si>
    <t>Kocasinan/Alsancak</t>
  </si>
  <si>
    <t>Şahin Altuntop/3522406160-5066990917</t>
  </si>
  <si>
    <t>8 sine ertelendi</t>
  </si>
  <si>
    <t>Kocasinan/Şirinevler</t>
  </si>
  <si>
    <t>Ömer Hayarali/3523383997-05326930475</t>
  </si>
  <si>
    <t>5ff82d991f40a3198c90c552</t>
  </si>
  <si>
    <t>Ayşe Pehlivan/5319354438</t>
  </si>
  <si>
    <t>Turgut Reis Mah. Turgut Reis Cad. C2 Blok No:13/C Kocasinan/KAYSERİ</t>
  </si>
  <si>
    <t>9 hazirana ertelendi</t>
  </si>
  <si>
    <t>SAAT 13TEN SONRA RANDEVU ALINACAK!!!!</t>
  </si>
  <si>
    <t>şevket bey/8508400290-5322692212</t>
  </si>
  <si>
    <t>5feacfbace622f6ee9cbd572</t>
  </si>
  <si>
    <t>Kudret Pide &amp; Lahmacun &amp; Çorba, Melikgazi (Gülük Mah.)</t>
  </si>
  <si>
    <t>Taner Toprak/3523209555</t>
  </si>
  <si>
    <t>Gülük Mah. Yiğit Sok. Düvenönü Vakıf İş Hanı No:6/A Melikgazi/KAYSERİ</t>
  </si>
  <si>
    <t>fotoğrafçı gecikme yaşamış pazartesiye ertelendi</t>
  </si>
  <si>
    <t>SAAT 13'TEN SONRA RANDEVU ALINACAK</t>
  </si>
  <si>
    <t>CANER İZGİ	8502207022</t>
  </si>
  <si>
    <t>6048e06560f6a26b83b41958</t>
  </si>
  <si>
    <t>Tarihi Talas Çorbacısı, Talas (Bahçelievler)</t>
  </si>
  <si>
    <t>Mert Can Demircioğlu/3522010038</t>
  </si>
  <si>
    <t>Bahçelievler Mah. Atatürk Blv. No:60/F Talas/KAYSERİ</t>
  </si>
  <si>
    <t>yetkili yokmuş yoğunluktan ötürü de iptal ettirmişler bize dönüş yapıcaklar</t>
  </si>
  <si>
    <t>60a68cecc6b4bc56e599cee0</t>
  </si>
  <si>
    <t>Lütfiye Altuner/3524370514</t>
  </si>
  <si>
    <t>Bahçelievler, Atatürk Bulvarı, No:8, 38280, Talas, Kayseri</t>
  </si>
  <si>
    <t>Hayrettin Bey/5417138734</t>
  </si>
  <si>
    <t>ertelendi</t>
  </si>
  <si>
    <t>devir işlemleri olacak dedi.</t>
  </si>
  <si>
    <t>Serkan Adıyaman 538 936 11 97   3522335931</t>
  </si>
  <si>
    <t>Melikgazi/Mimarsinan</t>
  </si>
  <si>
    <t>Muhammed Saraç 553 450 55 64    3527380180</t>
  </si>
  <si>
    <t>Ömer Bey/3522340000</t>
  </si>
  <si>
    <t>Sevim Bahar 5528605110</t>
  </si>
  <si>
    <t>Mustafa Sağlam/3524313050</t>
  </si>
  <si>
    <t>600733e6056c798c74c0180b</t>
  </si>
  <si>
    <t>Balcıoğlu Döner &amp; Pide &amp; İskender, Talas (Kiçiköy)</t>
  </si>
  <si>
    <t>Talas/Kiçiköy</t>
  </si>
  <si>
    <t>Ahmet Balcı/5398823844</t>
  </si>
  <si>
    <t>Gülerde hanım/5063295893</t>
  </si>
  <si>
    <t>İsmail Tekgöz/5526621010</t>
  </si>
  <si>
    <t>Aydın Bey/3524310505</t>
  </si>
  <si>
    <t>Tolga Bey/5418563438</t>
  </si>
  <si>
    <t>Kocasinan/Uğurevler</t>
  </si>
  <si>
    <t>sait bey/ 5446306180-3522454043</t>
  </si>
  <si>
    <t>teyit amaçlı arandı çekim gerçekleşti.</t>
  </si>
  <si>
    <t>5fd9e52e71469a5e54b9c793</t>
  </si>
  <si>
    <t>Gluten Cafe, Kocasinan (Erciyesevler Mah.)</t>
  </si>
  <si>
    <t>Gülten Yavuz/3522363800</t>
  </si>
  <si>
    <t>Erciyesevler Mah. Enginar Cad. No:7/A Kocasinan/KAYSERİ</t>
  </si>
  <si>
    <t>Akın Yaroğlu/5323276738</t>
  </si>
  <si>
    <t>Doğuş Vural/5415225279</t>
  </si>
  <si>
    <t xml:space="preserve">kocasinan/erciyesevler </t>
  </si>
  <si>
    <t>Ferhat Kara//3522335005</t>
  </si>
  <si>
    <t>randevu hatırlatması için arandı meşgul</t>
  </si>
  <si>
    <t>kocasinan/Mimarsinan</t>
  </si>
  <si>
    <t>randevu hatırlatması için arandı gidilecek</t>
  </si>
  <si>
    <t>60069422b2ab7d008c617665</t>
  </si>
  <si>
    <t>Turuncu Cafe &amp; Restoran, Kocasinan (Serçeönü Mah.)</t>
  </si>
  <si>
    <t>kocasinan/serçeönü</t>
  </si>
  <si>
    <t>ŞABAN ERCAN//05325092504//3522313400</t>
  </si>
  <si>
    <t>sahabiye  MAH. SİVAS BULVARI NO:17/E KOCASİNAN/KAYSERİ</t>
  </si>
  <si>
    <t>kocasinan/mevlana</t>
  </si>
  <si>
    <t>ferdi bey 0541 379 60 22//3523374053</t>
  </si>
  <si>
    <t>Ahmet Can Palancıoğlu/3529993633 5312019894</t>
  </si>
  <si>
    <t>607ef445c1d335a70adf0d8a</t>
  </si>
  <si>
    <t>Sidre Pasta &amp; Baklava, Melikgazi (Yeşilyurt Mah. - İldem)</t>
  </si>
  <si>
    <t>Nimetullah Yeşilbaş/3525024957/05050202949</t>
  </si>
  <si>
    <t>Yeşilyurt Mah. Şht. J. Onb. Hakan Türk Cad. No:73/D Melikgazi/KAYSERİ</t>
  </si>
  <si>
    <t>60b60f22f6e30a0a0cd260dd</t>
  </si>
  <si>
    <t>Mardo Dondurma, Melikgazi (Fatih Mah. - İldem)</t>
  </si>
  <si>
    <t>melikgazi/Gesi Fatih</t>
  </si>
  <si>
    <t>Mehmet Tuğberk Bahar/5551787038</t>
  </si>
  <si>
    <t>Gesi Fatih Mah. Gün Sazak Cad. No:39/D Melikgazi/KAYSERİ</t>
  </si>
  <si>
    <t>Kayacan koçak/5360340696</t>
  </si>
  <si>
    <t>Melikgazi
Talas</t>
  </si>
  <si>
    <t>Asım Öcal</t>
  </si>
  <si>
    <t>61090855f8aa4e2f94d1f16a</t>
  </si>
  <si>
    <t>Melikgazi / Kılıçaslan</t>
  </si>
  <si>
    <t>Abdullah Bey / 3522350515</t>
  </si>
  <si>
    <t xml:space="preserve">Melikgazi / Köşk </t>
  </si>
  <si>
    <t>Savaş Bey / 3524377125</t>
  </si>
  <si>
    <t>Köşk Mah. Prof. Dr. Turhan Feyzioğlu Cad. No:27/F Melikgazi/KAYSERİ (kampüs içinde)</t>
  </si>
  <si>
    <t>Melikgazi / İldem Cumhuriyet</t>
  </si>
  <si>
    <t>Ali Can Bey / 5527496099</t>
  </si>
  <si>
    <t xml:space="preserve">Alim Akkoyun/3522473033              </t>
  </si>
  <si>
    <t>fotografcı arkadasımız ısten cıktıgı ıcın ıptal oldu</t>
  </si>
  <si>
    <t xml:space="preserve">Serdar Burak Karaca/5431064121              </t>
  </si>
  <si>
    <t>Kocasinan
Melikgazi</t>
  </si>
  <si>
    <t>Mehmet Ali</t>
  </si>
  <si>
    <t>Fotoğrafçı isteğiyle 14:00'dan sonra alınacak</t>
  </si>
  <si>
    <t>Melikgazi / Bahçelievler</t>
  </si>
  <si>
    <t xml:space="preserve">Serdar Bey / 5431064121              </t>
  </si>
  <si>
    <t>Bahçelievler Mah. Kocasinan 2. Cad. No 13/D</t>
  </si>
  <si>
    <t>Talas
Melikgazi
Kocasinan</t>
  </si>
  <si>
    <t>16:00'dan sonra alınmayacak...</t>
  </si>
  <si>
    <t xml:space="preserve">Melikgazi/ Yeşilyurt </t>
  </si>
  <si>
    <t>Hüsryin Bey / 5533054480/ 3522400374</t>
  </si>
  <si>
    <t xml:space="preserve">Melikgazi/ Fatih </t>
  </si>
  <si>
    <t>Ahmet Bey / 5386183883</t>
  </si>
  <si>
    <t xml:space="preserve">Melikgazi/ Gesi Fatih </t>
  </si>
  <si>
    <t>Hakan Bey / 5465063838</t>
  </si>
  <si>
    <t>Muhlis Bey / 5013413800</t>
  </si>
  <si>
    <t>Galip Öztürk/3525043494</t>
  </si>
  <si>
    <t>Yoğun kar yağışı nedeniyle randevu alınmayacak....</t>
  </si>
  <si>
    <t>Ahmet Bey/5414716380</t>
  </si>
  <si>
    <t>menü güncellemesi 2 hafta sonra aranacak</t>
  </si>
  <si>
    <t>11.30</t>
  </si>
  <si>
    <t xml:space="preserve">Hamdullah bey / 5333807802 </t>
  </si>
  <si>
    <t>Mevlana Mah. Taslak Sok. No:28/B Talas/KAYSERİ</t>
  </si>
  <si>
    <t>Şule Hanım/3524380747</t>
  </si>
  <si>
    <t>Hatice Hanım / 3525036969 / 5304564519</t>
  </si>
  <si>
    <t>ferhat köksal</t>
  </si>
  <si>
    <t>Serdar Tamer        5050713830</t>
  </si>
  <si>
    <t xml:space="preserve">salı gününe ert. sağlanıldı </t>
  </si>
  <si>
    <t>Gökhan Bey / 5050856626</t>
  </si>
  <si>
    <t>Yakup Bey / 5379353131</t>
  </si>
  <si>
    <t>Barış Bey/5510798018</t>
  </si>
  <si>
    <t>Hava şartları nedeniyle iptal...</t>
  </si>
  <si>
    <t>Gökhan - Yasemin Baydemir5301173304 / 3524373700</t>
  </si>
  <si>
    <t>Muhammet Mert:5525959090</t>
  </si>
  <si>
    <t>Yücel Şen:5013665001</t>
  </si>
  <si>
    <t>Talas	/Mevlana</t>
  </si>
  <si>
    <t>Murat Güleseroğlu	3525049494</t>
  </si>
  <si>
    <t>615d99ce74a19e24f259cffc</t>
  </si>
  <si>
    <t>Ahmet Yerlikaya	5417382611</t>
  </si>
  <si>
    <t>Çağatay Bey/5539025891</t>
  </si>
  <si>
    <t>Mevlana Mah. Papatya Cad. No:27/A Talas/KAYSERİ BT benzinlik karşısı</t>
  </si>
  <si>
    <t>Hatice Dirik	5370444907</t>
  </si>
  <si>
    <t xml:space="preserve">
Melikgazi
Kocasinan</t>
  </si>
  <si>
    <t>Melikgazi/Keykubat</t>
  </si>
  <si>
    <t>Burak Bey / 5070934768 / 5075701420</t>
  </si>
  <si>
    <t>Özkan Bey/05434088633</t>
  </si>
  <si>
    <t>Tabela Adı: Oses çiğköfte Antep Baklavacısı</t>
  </si>
  <si>
    <t>14.30</t>
  </si>
  <si>
    <t>Melikgazi \Keykubat</t>
  </si>
  <si>
    <t xml:space="preserve">Kenan Kumru\3522500999             </t>
  </si>
  <si>
    <t xml:space="preserve">Melikgazi/ Tacettin </t>
  </si>
  <si>
    <t>Yunus Bey / 5304290425 / 3522204848</t>
  </si>
  <si>
    <t>Melikgazi	Keykubat</t>
  </si>
  <si>
    <t xml:space="preserve">5071671097  abdullah  </t>
  </si>
  <si>
    <t xml:space="preserve">doğalgaz arızası olduğu için 1 hafta kapalı  </t>
  </si>
  <si>
    <t xml:space="preserve">Melikgazi/Anafartalar </t>
  </si>
  <si>
    <t>Osman Bey/5382853402</t>
  </si>
  <si>
    <t>Yasemin Karaca        5520655893</t>
  </si>
  <si>
    <t>Ümit bey/5074527870</t>
  </si>
  <si>
    <t xml:space="preserve">hava şartları nedeniyle kapalıymış işletme </t>
  </si>
  <si>
    <t xml:space="preserve">Melikgazi/ Tacettin Veli </t>
  </si>
  <si>
    <t>Engin Bey / 5063956745</t>
  </si>
  <si>
    <t>Ali Osman Bey /5523384952</t>
  </si>
  <si>
    <t>Melikgazi	Kiçikapı</t>
  </si>
  <si>
    <t>Çiçek Karaduman        3522229316</t>
  </si>
  <si>
    <t>15.30</t>
  </si>
  <si>
    <t>Melikgazi	Cumhuriyet</t>
  </si>
  <si>
    <t>Abdullah Bey 	3522321142</t>
  </si>
  <si>
    <t>Melikgazi	Gülük</t>
  </si>
  <si>
    <t>Ayhan Höyüklüoğlu	3523202103</t>
  </si>
  <si>
    <t xml:space="preserve">Melikgazi/Alparslan </t>
  </si>
  <si>
    <t>Züheyla Hanım/ 5316830438</t>
  </si>
  <si>
    <t>Alpaslan Mah. Org. Eşref Bitlis Blv. No:2/2 Melikgazi/KAYSERİ</t>
  </si>
  <si>
    <t>AHMET KUZEY	5384357766</t>
  </si>
  <si>
    <t xml:space="preserve">Melikgazi /Gesi Fatih </t>
  </si>
  <si>
    <t>Sedat Bey / 5523557126</t>
  </si>
  <si>
    <t xml:space="preserve">çarşambaya ertelendi </t>
  </si>
  <si>
    <t>Melikgazi / Yeşilyurt</t>
  </si>
  <si>
    <t>Aytaç Bey / 3525022667</t>
  </si>
  <si>
    <t>Perihan Hanım/5526300238</t>
  </si>
  <si>
    <t xml:space="preserve">Melikgazi / Bahçelievler </t>
  </si>
  <si>
    <t>Serdar Bey /5431064121</t>
  </si>
  <si>
    <t xml:space="preserve">Melikgazi / Gültepe </t>
  </si>
  <si>
    <t>Fatih Bey / 5071635252</t>
  </si>
  <si>
    <t xml:space="preserve">Yarına ert. sağlanıldı </t>
  </si>
  <si>
    <t>61e6840bd50e6395861d08a2</t>
  </si>
  <si>
    <t>Haktan Cafe &amp; Patisserie, Melikgazi (Altınoluk Mah.)</t>
  </si>
  <si>
    <t xml:space="preserve">Melikgazi / Altınoluk </t>
  </si>
  <si>
    <t>Fatih Bey / 5346399423</t>
  </si>
  <si>
    <t>Altınoluk Mah. 1070. Sok. No:9/A Melikgazi/KAYSERİ</t>
  </si>
  <si>
    <t xml:space="preserve">Melikgazi / Cumhuriyet </t>
  </si>
  <si>
    <t>Ramazan Bey / 5374246038 / 3522213137</t>
  </si>
  <si>
    <t xml:space="preserve">Melikgazi / Hunat </t>
  </si>
  <si>
    <t>Mehmet Bey / 3523338080</t>
  </si>
  <si>
    <t xml:space="preserve">kendisi dönüş sağlayacak </t>
  </si>
  <si>
    <t xml:space="preserve">işletme geçici bir süreliğine kapalı kalabilir kendisi haber verecek </t>
  </si>
  <si>
    <t>Melikgazi /Camikebir</t>
  </si>
  <si>
    <t xml:space="preserve">Furkan Sancakçeken  / 352) 232 38 01 /5419716907           </t>
  </si>
  <si>
    <t>Melikgazi	Hunat</t>
  </si>
  <si>
    <t>Hamza Dikmen	3522208081</t>
  </si>
  <si>
    <t>alınabilir</t>
  </si>
  <si>
    <t>Talas Alnacak. 7-8 Randevu Alınacak.</t>
  </si>
  <si>
    <t>Talas	/Yenidoğan</t>
  </si>
  <si>
    <t xml:space="preserve">5439535996/ fatih bey  </t>
  </si>
  <si>
    <t>Talas/	Yenidoğan</t>
  </si>
  <si>
    <t>Hatice Gül Yıldız/	5510396050</t>
  </si>
  <si>
    <t>Ayfer Hanım/5411701979</t>
  </si>
  <si>
    <t>Ökkeş Bey/5061251825/3522362727</t>
  </si>
  <si>
    <t>Umut Kurt	5529478818</t>
  </si>
  <si>
    <t>Hülya Germirlioğlu	5302077898</t>
  </si>
  <si>
    <t>Esma Diri	/3528885355</t>
  </si>
  <si>
    <t xml:space="preserve">talas alınacak </t>
  </si>
  <si>
    <t>Talas  /tablakaya</t>
  </si>
  <si>
    <t>Oğulcan Reyhan	5073683307</t>
  </si>
  <si>
    <t>Talas        /kıçılköy</t>
  </si>
  <si>
    <t>Erkan Ülkan	5326778217</t>
  </si>
  <si>
    <t xml:space="preserve">giderken aranmasını istedi  </t>
  </si>
  <si>
    <t>Fatma Eser	5453498641</t>
  </si>
  <si>
    <t>Merve Şahin	5523862667</t>
  </si>
  <si>
    <t>Talas	Harman</t>
  </si>
  <si>
    <t>Leyla Hanım 5374006379</t>
  </si>
  <si>
    <t xml:space="preserve">Talas/Mevlana </t>
  </si>
  <si>
    <t>Aykut/ 3525020949 / 5333281136</t>
  </si>
  <si>
    <t>Erteleme talep etmişler ertelemesi çarşamba gününe yapıldı</t>
  </si>
  <si>
    <t>Baki Uca	5332940066</t>
  </si>
  <si>
    <t>MUHARREM BEY 	5462249443</t>
  </si>
  <si>
    <t xml:space="preserve">elemanı rahatsız olduğu için çarşamba gününe ert. sağlanıldı </t>
  </si>
  <si>
    <t xml:space="preserve">Talas/Yenidoğan </t>
  </si>
  <si>
    <t>Ahmet Nazif/ 3524376061</t>
  </si>
  <si>
    <t>Melikgazi /İldem Cumhuriyet</t>
  </si>
  <si>
    <t xml:space="preserve">Yasemin Çelebi/3522474746/5385536418               </t>
  </si>
  <si>
    <t>Melikgazi/Demokrasi</t>
  </si>
  <si>
    <t xml:space="preserve">Tuğrul Babur/3525028350/5378905143            </t>
  </si>
  <si>
    <t xml:space="preserve">pazartesiye ertelendi </t>
  </si>
  <si>
    <t xml:space="preserve">Melikgaziden alınacak </t>
  </si>
  <si>
    <t>Resul/5384353925 / Enes/ 5059721737</t>
  </si>
  <si>
    <t xml:space="preserve">Melikgazi/Kazımkarabekir </t>
  </si>
  <si>
    <t>Yakup/ 5455541960</t>
  </si>
  <si>
    <t>Melikgazi/Aydınlıkevler</t>
  </si>
  <si>
    <t>Kevser/ 5072108720 / 3522227372</t>
  </si>
  <si>
    <t>Aydınlıkevler Mah. Cengiz Topel Cad. No:33/B Melikgazi/KAYSERİ</t>
  </si>
  <si>
    <t>60b8c1e111a5f4c9d490e705</t>
  </si>
  <si>
    <t>Burger Otantik, Melikgazi (Hunat Mah.)</t>
  </si>
  <si>
    <t>Muhammed Ali/ 5396816751</t>
  </si>
  <si>
    <t>Hunat Mah. Sivas Blv. Kayseri Forum No:24/221 Melikgazi/KAYSERİ</t>
  </si>
  <si>
    <t xml:space="preserve">cenazesi olduğundan dolayı ert. talep etti </t>
  </si>
  <si>
    <t>Erkan/ 3522206166 / 5376670505</t>
  </si>
  <si>
    <t>Melikgazi	Köşk</t>
  </si>
  <si>
    <t>bahattin     5013331038</t>
  </si>
  <si>
    <t>Melikgazi/Esenyurt</t>
  </si>
  <si>
    <t>Mehmet Atar/5454619844</t>
  </si>
  <si>
    <t>Esenyurt Mah. büyük menderes caddesi no  41</t>
  </si>
  <si>
    <t xml:space="preserve">Melikgazi / Tınaztepe </t>
  </si>
  <si>
    <t>Bulut Bey / 5446400840</t>
  </si>
  <si>
    <t xml:space="preserve">Melikgazi / Alparslan </t>
  </si>
  <si>
    <t>Ömer Bey / 5550540505 / 3525021252</t>
  </si>
  <si>
    <t xml:space="preserve">hedef listede bulunamadı </t>
  </si>
  <si>
    <t xml:space="preserve">Melikgazi / Keykubat </t>
  </si>
  <si>
    <t>Kamber Bey / 3523322120</t>
  </si>
  <si>
    <t>Selçuk/ 5418039826</t>
  </si>
  <si>
    <t xml:space="preserve">    15.30</t>
  </si>
  <si>
    <t>MUHARREM BEY         5462249443</t>
  </si>
  <si>
    <t xml:space="preserve">müsaitliğine göre haftaya tekrardan iletişime geçilecek </t>
  </si>
  <si>
    <t xml:space="preserve">   16.30</t>
  </si>
  <si>
    <t>Ahmet/ 5078193939 / 3524380818</t>
  </si>
  <si>
    <t xml:space="preserve">- </t>
  </si>
  <si>
    <t>Yasemin Baydemir	3524373700</t>
  </si>
  <si>
    <t>devam çekimi alındı - tekrardan randevusu alınacak</t>
  </si>
  <si>
    <t xml:space="preserve">ildem harici alınmayacak </t>
  </si>
  <si>
    <t>Murat Bey /  5075256911 / 3524466767</t>
  </si>
  <si>
    <t>Niyazi Bey / 5368232993</t>
  </si>
  <si>
    <t xml:space="preserve">randevu oluşturup sürekli işim var diyerek iptal ediyor </t>
  </si>
  <si>
    <t>Yılmaz Bey / 3522220614</t>
  </si>
  <si>
    <t>ildem ve gesi alınmayacak</t>
  </si>
  <si>
    <t xml:space="preserve">lokasyon uzak olduğu için pzt gününe ert. sağlanıldı </t>
  </si>
  <si>
    <t xml:space="preserve">Melikgazi / Camikebir </t>
  </si>
  <si>
    <t>Naim Bey / 5320560938 / 3522200034</t>
  </si>
  <si>
    <t xml:space="preserve">haftaya çekimi sağlanacak belli değil </t>
  </si>
  <si>
    <t>Coşkun Bey / 3522222736</t>
  </si>
  <si>
    <t>Melikgazi	Tacettinveli</t>
  </si>
  <si>
    <t>Engin Can Çağlar	5063956745</t>
  </si>
  <si>
    <t>Melikgazi/Mimarsinanbahçelievler</t>
  </si>
  <si>
    <t>Rıfat İslam/ 5526524300</t>
  </si>
  <si>
    <t>Ferhat köksal</t>
  </si>
  <si>
    <t>Melikgazi	İldem Cumhuriyet</t>
  </si>
  <si>
    <t>ALİ CAN AKPINAR	3525036099 - 5550403827</t>
  </si>
  <si>
    <t>Melikgazi        Yeniköy</t>
  </si>
  <si>
    <t>Emre Bayram        5312730594</t>
  </si>
  <si>
    <t xml:space="preserve"> Hatice hanım/352503422005050301081</t>
  </si>
  <si>
    <t>Emrah Çizmeli	3522221971</t>
  </si>
  <si>
    <t>Naci Tolgay	5331366737</t>
  </si>
  <si>
    <t>Ayşegül Apaydın5550762538</t>
  </si>
  <si>
    <t>Enes</t>
  </si>
  <si>
    <t>Melikgazı / Cumhuriyet</t>
  </si>
  <si>
    <t>5071748962 ismail bey</t>
  </si>
  <si>
    <t>Cumhuriyet Mah. İnönü Blv. No:53/C Melikgazi/KAYSERİ</t>
  </si>
  <si>
    <t>Devam çekimi</t>
  </si>
  <si>
    <t>Melikgazi / Hunat</t>
  </si>
  <si>
    <t>İsmail Bey / 5303965008</t>
  </si>
  <si>
    <t>Hunat mah Sivas cad No:6/B Melikgazi</t>
  </si>
  <si>
    <t>Hakan Bey / 5527882801</t>
  </si>
  <si>
    <t>Kerim Bey / 5352290142</t>
  </si>
  <si>
    <t>Nisan ayına kadar erteleme isteniyor</t>
  </si>
  <si>
    <t>Yakup Emre Şahin	5417138734</t>
  </si>
  <si>
    <t>Volkan Bey 5455131866</t>
  </si>
  <si>
    <t>Hakan Taşdemir	3525037473</t>
  </si>
  <si>
    <t>Gül Betül Kaygısız	5413071083</t>
  </si>
  <si>
    <t xml:space="preserve">ert. sağlanacak </t>
  </si>
  <si>
    <t xml:space="preserve">Yasemin Çelebi/5321713877             </t>
  </si>
  <si>
    <t xml:space="preserve">Abdulmenaf Mendi/        3522311583        </t>
  </si>
  <si>
    <t xml:space="preserve">Ramazan Gençoğlu/5413869000          </t>
  </si>
  <si>
    <t>17.00</t>
  </si>
  <si>
    <t xml:space="preserve">EKREM BAHADIR/3522020200                </t>
  </si>
  <si>
    <t>ID hedef listede yok</t>
  </si>
  <si>
    <t>Guru sovan  (Gevhernesibe Mah.)</t>
  </si>
  <si>
    <t>MUSTAFA BEY 05436060849</t>
  </si>
  <si>
    <t>RANDEVU TALEBİ</t>
  </si>
  <si>
    <t xml:space="preserve">Kocasinan Sahabiye </t>
  </si>
  <si>
    <t>Hasan Albayrak	3522232601</t>
  </si>
  <si>
    <t>Kocasinan	Erciyesevler</t>
  </si>
  <si>
    <t>Hakan Taşdemir	5330931196</t>
  </si>
  <si>
    <t>Bayram Bey/3522322034</t>
  </si>
  <si>
    <t>Sahabiye Mah. Mete Cad. No:3 Öğretmenevi ilerisi</t>
  </si>
  <si>
    <t>Ümit Usta Lahmacun, Kocasinan (Gevhernesibe Mah.)</t>
  </si>
  <si>
    <t>Ümit Bey/5427990038</t>
  </si>
  <si>
    <t>Mustafa Şahin/5355117812</t>
  </si>
  <si>
    <t>Kocasinan/Yeşil</t>
  </si>
  <si>
    <t>Aytaç Kadak	3525030141</t>
  </si>
  <si>
    <t>Fatih Altınkaya       /5524531138</t>
  </si>
  <si>
    <t>Harun Taşdemir/3523388684</t>
  </si>
  <si>
    <t xml:space="preserve">Erteleme talep etti - haftaya tekrardan alınacak - randevusu alındı </t>
  </si>
  <si>
    <t>İsmail Bey/5511954538</t>
  </si>
  <si>
    <t xml:space="preserve"> cekımı istemiyor IPTAL etti / ben çekip göndereyim dedi </t>
  </si>
  <si>
    <t>Ramazan Kacar / 05536198414</t>
  </si>
  <si>
    <t>Zehra Oyarkılıçgil/3523390999/05462452135</t>
  </si>
  <si>
    <t xml:space="preserve">yetkili hastaneye gidecekmiş </t>
  </si>
  <si>
    <t>Gökhan Bey/5383482466</t>
  </si>
  <si>
    <t>MESUT ERDEM	5050121352</t>
  </si>
  <si>
    <t>Kocasinan	Plevne</t>
  </si>
  <si>
    <t>Rabia Ergül	3523384906</t>
  </si>
  <si>
    <t xml:space="preserve">Melikgazi/ Kılıçarslan </t>
  </si>
  <si>
    <t>Abdurrrahim Bey / 3524080119</t>
  </si>
  <si>
    <t>Savaşhan Bey / 3524377125</t>
  </si>
  <si>
    <t xml:space="preserve">ramazandan sonra istiyor </t>
  </si>
  <si>
    <t>Melikgazi /Küçük Mustafa</t>
  </si>
  <si>
    <t xml:space="preserve">Lefte Taze/3523360777            </t>
  </si>
  <si>
    <t xml:space="preserve">Melikgazi / Kılıçarslan </t>
  </si>
  <si>
    <t>Ertuğrulhan Bey / 3522350515</t>
  </si>
  <si>
    <t xml:space="preserve">IDhedef listede yok </t>
  </si>
  <si>
    <t>Matmazel patisseria</t>
  </si>
  <si>
    <t>Rükiye demirci 05343540220</t>
  </si>
  <si>
    <t>ZİYA BEY      3524310700 - 5061133755</t>
  </si>
  <si>
    <t xml:space="preserve">Talas   yenidoğan </t>
  </si>
  <si>
    <t>Burhanettin Yavuz	5064313485</t>
  </si>
  <si>
    <t>TUĞBA HANIM 5013665001</t>
  </si>
  <si>
    <t>Samed Özer	5549470276</t>
  </si>
  <si>
    <t>Zahide hasdemır 05304305895</t>
  </si>
  <si>
    <t>Mevlana mahallesi Turgut Özal caddesı mercan konağı 8 a</t>
  </si>
  <si>
    <t xml:space="preserve">randevu talebi </t>
  </si>
  <si>
    <t>Kocasinan	Beyazşehir</t>
  </si>
  <si>
    <t>Muhammed Çetin	5013280438</t>
  </si>
  <si>
    <t xml:space="preserve">ULAŞILAMADI </t>
  </si>
  <si>
    <t>"YAVUZ SELİM ZENGER	5323617738"</t>
  </si>
  <si>
    <t xml:space="preserve">18.00 randevu mutlaka gidilmesi gereliyor ona göre ürün hazırlayacak </t>
  </si>
  <si>
    <t>Kocasinan	Osmangazi</t>
  </si>
  <si>
    <t>BÜŞRA HANIM 05439571570</t>
  </si>
  <si>
    <t>Kocasinan	Turgut Reis</t>
  </si>
  <si>
    <t>Seher Yalınız	5067702270</t>
  </si>
  <si>
    <t>Kocasinan	Camikebir</t>
  </si>
  <si>
    <t>MUSTAFA BEY        3523330222 - 05322311551</t>
  </si>
  <si>
    <t xml:space="preserve">Kocasinan Turgut Reis Mah. </t>
  </si>
  <si>
    <t>ŞERİFE TÜRKAN        5061669494</t>
  </si>
  <si>
    <t xml:space="preserve">elimde çeşit kalmadı prş gününden ürün hazırlaması sağlayacağım prş günü tekrardan iletişime geçilecek saat ayarlanması sağlanacak - 10.03.2022  prş gününe tekrardan randevusu oluşturuldu </t>
  </si>
  <si>
    <t xml:space="preserve"> </t>
  </si>
  <si>
    <t xml:space="preserve">Talas ilçesinden Alınacak </t>
  </si>
  <si>
    <t>Oya Varlı/5013687251</t>
  </si>
  <si>
    <t>gimat4 sitesi altı</t>
  </si>
  <si>
    <t>Zafer Bey/3524315002/5395435508</t>
  </si>
  <si>
    <t>YAVUZ SELİM ZENGER	5323617738</t>
  </si>
  <si>
    <t>18.30 - 19.00</t>
  </si>
  <si>
    <t>DOĞUKAN CIRDI	5050856626</t>
  </si>
  <si>
    <t xml:space="preserve">ürün kalmadı  - yarın arama sağlanacak </t>
  </si>
  <si>
    <t xml:space="preserve">Kocasinan/ Yeni </t>
  </si>
  <si>
    <t xml:space="preserve">İsmail Bey / 5325023893 </t>
  </si>
  <si>
    <t xml:space="preserve">Kocasinan / Ahmet Yesevi </t>
  </si>
  <si>
    <t>Musatafa Bey / 5528155238</t>
  </si>
  <si>
    <t>Kocasinan / Osmangazi</t>
  </si>
  <si>
    <t>Mustafa Bey / 5436649359</t>
  </si>
  <si>
    <t xml:space="preserve">Kocasinan /Barbaros </t>
  </si>
  <si>
    <t>Harun Bey / 3523393904</t>
  </si>
  <si>
    <t>2 hafta sonra randevu istiyor saat 14.00 -15.00 istiyor</t>
  </si>
  <si>
    <t>Savaş Dağlı	5537061313</t>
  </si>
  <si>
    <t>Tablakaya Mh. Yahya Sk. No:11/A Talas/Kayseri</t>
  </si>
  <si>
    <t>Ekrem Demirtaş        3525040504 - 05326580919</t>
  </si>
  <si>
    <t xml:space="preserve">yeni bir yetkili devir almış daha sonra çekim sağlayalım dedi </t>
  </si>
  <si>
    <t xml:space="preserve">Talas  / Bahçelievler </t>
  </si>
  <si>
    <t>Muharrem Bey / 5462249443</t>
  </si>
  <si>
    <t xml:space="preserve">fırın tadillata ramazan ayının 2 haftası çekim istiyor </t>
  </si>
  <si>
    <t>61fc333800f1267d1b6811ae Öz Sivas As Döner, Talas (Kiçiköy Mah.)</t>
  </si>
  <si>
    <t>Talas Kiçiköy</t>
  </si>
  <si>
    <t>Serdar sefa kurucay 05075557049</t>
  </si>
  <si>
    <t xml:space="preserve">Talas Belediyesi Tramvay Durağı Karşısı Kaymakamlık yanı TALAS / Kayseri </t>
  </si>
  <si>
    <t xml:space="preserve">getire kayıtlı ama sistemde yok </t>
  </si>
  <si>
    <t>Melikgazi /Yeşilyurt</t>
  </si>
  <si>
    <t xml:space="preserve">Harun Ataş/3522400374             </t>
  </si>
  <si>
    <t>Tuncay Bey / 5369685344</t>
  </si>
  <si>
    <t>Kocasinan/Beyazşehir</t>
  </si>
  <si>
    <t xml:space="preserve">MERVENUR AKIL/5418372177     </t>
  </si>
  <si>
    <t>Saaat 12.00 randevusu tam vaktinde gidilecek işletmeyi erken açacak</t>
  </si>
  <si>
    <t>Kocasinan	Yakut</t>
  </si>
  <si>
    <t>Yasemin Rüzgar	5424328119</t>
  </si>
  <si>
    <t>Kocasinan / Yunus Emre</t>
  </si>
  <si>
    <t>Nevzat Kocaman	3523381040 - 05061437230</t>
  </si>
  <si>
    <t>ALİ BEY 3525033888 -  05528962653</t>
  </si>
  <si>
    <t>Kocasinan	Yenidoğan</t>
  </si>
  <si>
    <t>Fatih Kurt	5528672438</t>
  </si>
  <si>
    <t xml:space="preserve">60b8fbc42d25bfe8ef11b846 - burdaki işletmesindeki fotoğrafları kullanmak istiyor </t>
  </si>
  <si>
    <t>Kocasinan	Erkilet Mehmet Akif Ersoy</t>
  </si>
  <si>
    <t>Suat Akbaba	5457331993</t>
  </si>
  <si>
    <t>19.00</t>
  </si>
  <si>
    <t>Burhan Başboğa	5528421222</t>
  </si>
  <si>
    <t>20.00</t>
  </si>
  <si>
    <t>Kocasinan	Yeşil</t>
  </si>
  <si>
    <t>Muhammed Mustafa Duman	3523395958</t>
  </si>
  <si>
    <t>Kocasinan	Fevzi Çakmak</t>
  </si>
  <si>
    <t>Mesut Bey 3522239041</t>
  </si>
  <si>
    <t>çekim istemiyor</t>
  </si>
  <si>
    <t>Kocasinan	Dere</t>
  </si>
  <si>
    <t>Sezai Aydın  5426981842</t>
  </si>
  <si>
    <t>Kocasinan	Hacı Saki</t>
  </si>
  <si>
    <t>Ali Aktay	3523201239</t>
  </si>
  <si>
    <t>Kocasinan        Osmangazi</t>
  </si>
  <si>
    <t>Selami Arslan	5454363838</t>
  </si>
  <si>
    <t xml:space="preserve">ID Hedef listede yok </t>
  </si>
  <si>
    <t>Cadde Pastanesi ( Gevher Nesibe Mah.)</t>
  </si>
  <si>
    <t xml:space="preserve"> Kocasinan  Gevher Nesibe</t>
  </si>
  <si>
    <t>Ramazan Bey 5413569000</t>
  </si>
  <si>
    <t>Gevher Nesibe Mah.mehmet akif Cad. no : 8/C</t>
  </si>
  <si>
    <t>getiryemek kayıtı fakat sistemde yok randevu talebi</t>
  </si>
  <si>
    <t xml:space="preserve">Melikgazi İlçesinden Alınacak </t>
  </si>
  <si>
    <t>Melikgazi/Kiçikapı</t>
  </si>
  <si>
    <t xml:space="preserve">Mehmet Tahir Türkmen/3522312135     </t>
  </si>
  <si>
    <t xml:space="preserve">Selman Türkyılmaz        /5466017778      </t>
  </si>
  <si>
    <t xml:space="preserve">Muhammed Saraç   /3527380180   </t>
  </si>
  <si>
    <t>Sivas Bulvarı, No:201/A,</t>
  </si>
  <si>
    <t>makinasında arıza varmış haftaya ertlemesi sağlanıldı</t>
  </si>
  <si>
    <t>Ayhan Höyüklüoğlu/3523202103   /5537354856</t>
  </si>
  <si>
    <t xml:space="preserve">saat 16.00 randevusu daha öncede randevu oluşturulmuş fakat gidilmemiş mutlaka gidilmesi gerekiyor </t>
  </si>
  <si>
    <t>Kocasinan/Kayabaşı</t>
  </si>
  <si>
    <t>Murat Akkuş/3522400000</t>
  </si>
  <si>
    <t xml:space="preserve">Ferhat Köksal </t>
  </si>
  <si>
    <t>Kocasinan	Sahabiye</t>
  </si>
  <si>
    <t>Cem Ceylan	3522312255</t>
  </si>
  <si>
    <t>Kocasinan	Barbaros</t>
  </si>
  <si>
    <t>Harun Karakaya	3523393904</t>
  </si>
  <si>
    <t xml:space="preserve">FOTOGRAFCI ARKADASIMIZ  KAR YAĞIŞINDAN DOLAYI ÇEKIMLERE CIKAMADI ERT.SAGLANILDI </t>
  </si>
  <si>
    <t xml:space="preserve">Ali Deveci/  5320599603//5524500138 </t>
  </si>
  <si>
    <t>Melikgazi /Yıldırım Beyazıt</t>
  </si>
  <si>
    <t xml:space="preserve"> ahmet bey /5336022597/3522244418         </t>
  </si>
  <si>
    <t>Melikgazi/Şehit Nazımbey</t>
  </si>
  <si>
    <t xml:space="preserve">Eren Erel        /5357609391           </t>
  </si>
  <si>
    <t>Melikgazi /Melikgazi</t>
  </si>
  <si>
    <t xml:space="preserve">Tuğçe Dağdelen/5534083175     </t>
  </si>
  <si>
    <t>Remziye Somyürek	/5372469507</t>
  </si>
  <si>
    <t>Mevlana Cd.,  Mevlana Apatmanı 8/AHürriyet, Melikgazi/Kayseri</t>
  </si>
  <si>
    <t>Fatih/ 5071635252</t>
  </si>
  <si>
    <t xml:space="preserve">   17.00</t>
  </si>
  <si>
    <t>Melikgazi	Şirintepe</t>
  </si>
  <si>
    <t>Emrah Kurt	3525035768</t>
  </si>
  <si>
    <t xml:space="preserve">Melikgazi Gülük </t>
  </si>
  <si>
    <t>Kürşad Gönül	3523209428</t>
  </si>
  <si>
    <t>Ertuğrul Çilsalar	5452811234</t>
  </si>
  <si>
    <t>ı ramazan ayından sonraya erteleme isteniyor</t>
  </si>
  <si>
    <t>Selahaddin Kitir 3523333050 - 5352380553</t>
  </si>
  <si>
    <t>Cekımi Baska bir haftaya erteledı</t>
  </si>
  <si>
    <t xml:space="preserve">Hedef listede yok </t>
  </si>
  <si>
    <t>Akyel pastaneleri , Talas (Bahçelievler Mah.)</t>
  </si>
  <si>
    <t>Şevket kaaan 05541808333</t>
  </si>
  <si>
    <t xml:space="preserve">  bahceli evler mahallesi tepe bağlar caddesı no 44B talas KAYSERİ </t>
  </si>
  <si>
    <t xml:space="preserve">getire kayıtlı fakat hedef listede  yok - randevu talebi </t>
  </si>
  <si>
    <t>Tarık bey/5325633810</t>
  </si>
  <si>
    <t>Mustafa Şimşek	5531829430</t>
  </si>
  <si>
    <t>Koray/ 3524374422</t>
  </si>
  <si>
    <t>Bahçelievler mah. Mevlana cad. No:13/E</t>
  </si>
  <si>
    <t>bu şube hedef listede yok,ıd hedef listede olan şube</t>
  </si>
  <si>
    <t>Hasan bey/5305950999</t>
  </si>
  <si>
    <t>Selahattin Bey / 3523333050</t>
  </si>
  <si>
    <t>Melikgazi / Anafartalar</t>
  </si>
  <si>
    <t>Özcan Bey / 3523261414</t>
  </si>
  <si>
    <t>hafta alınacak</t>
  </si>
  <si>
    <t xml:space="preserve">Kocsinan / Mevlana </t>
  </si>
  <si>
    <t>Şükrü Bey / 5525001007</t>
  </si>
  <si>
    <t xml:space="preserve">müsait değildi 22 marta ertlendi </t>
  </si>
  <si>
    <t xml:space="preserve">Kocasinan / Gevher Nesibe </t>
  </si>
  <si>
    <t>Berat Bey / 3522211799</t>
  </si>
  <si>
    <t>Gevher Nesibe Mah., Çiçek Sok:, No:20, Kocasinan, Kayseri</t>
  </si>
  <si>
    <t xml:space="preserve">Kocasinan / Ahievran </t>
  </si>
  <si>
    <t>İlhan Bey / 5339698760 / 3522414140</t>
  </si>
  <si>
    <t xml:space="preserve">Ahi Evran Mah., Sivas Blv., 7.Km., No:370, Kocasinan, Kayseri / Maza kalantın karşısı </t>
  </si>
  <si>
    <t xml:space="preserve"> Nisan ayı 13 ramazan- ramazan dolayısıyla işletme kapalı ramazandan sonra olabilir dedi </t>
  </si>
  <si>
    <t>Oğuzhan Bey / 5524025167 / 3523311177</t>
  </si>
  <si>
    <t xml:space="preserve"> Nisan ayı 13 ramazan</t>
  </si>
  <si>
    <t>Melikgazi	Anbar 1. Bölge</t>
  </si>
  <si>
    <t>Ferhat Özlü	5386273867</t>
  </si>
  <si>
    <t xml:space="preserve">ustası izinli ertelenecek - salı gününe ertelemesi sağlanıldı </t>
  </si>
  <si>
    <t>Tugay bey/5076106944</t>
  </si>
  <si>
    <t xml:space="preserve">yavuz sultan selim cad 18/f çarşı kampüs sitesi altı </t>
  </si>
  <si>
    <t>Hasan Gürpınar/5518433300</t>
  </si>
  <si>
    <t>Mevlana Mah., Karasu Cad., No:12/C Talas / Kayseri</t>
  </si>
  <si>
    <t>Ahmet Bey/5551604786</t>
  </si>
  <si>
    <t>Kocasinan	Örnekevler</t>
  </si>
  <si>
    <t>Mehmet Bey 3522315564</t>
  </si>
  <si>
    <t>Kocasinan	Hoca Ahmet Yesevi</t>
  </si>
  <si>
    <t>Mehmet Özdin        3523391313</t>
  </si>
  <si>
    <t xml:space="preserve">ramazan 2. haftası istiyor / bayramdan sonra istedi </t>
  </si>
  <si>
    <t>Melikgazi	Sakarya</t>
  </si>
  <si>
    <t>Yasin Alan  3523325138</t>
  </si>
  <si>
    <t>OSMAN BEY 5433838887</t>
  </si>
  <si>
    <t>Kenan Yılmaz 3524383334 - 5309566464</t>
  </si>
  <si>
    <t>Fatih Kılıçkaya 5052920985</t>
  </si>
  <si>
    <t>Abdullah Toprak 3525027260 - 5432792703</t>
  </si>
  <si>
    <t>Kocasinan	Serçeönü</t>
  </si>
  <si>
    <t>Oktay Çiftçi	5412577085</t>
  </si>
  <si>
    <t>Kocasinan	Mevlana</t>
  </si>
  <si>
    <t>EYMEN BEY 3523388787 - 5375933536</t>
  </si>
  <si>
    <t>Mehmet Kaya  3523441334 - 5387603683</t>
  </si>
  <si>
    <t>Ahmet Bey 5386028117</t>
  </si>
  <si>
    <t>Melikgazi	Esenyurt</t>
  </si>
  <si>
    <t>Recep Tayyip Özüdok	5550640338</t>
  </si>
  <si>
    <t>Turgut Erdoğan	3522200021</t>
  </si>
  <si>
    <t>Zafer Bey 3523326837 -  05454363333</t>
  </si>
  <si>
    <t>Selami Arslan 05303272195</t>
  </si>
  <si>
    <t>Kocasinan	General Emir</t>
  </si>
  <si>
    <t>TALAT BEY 5392215824</t>
  </si>
  <si>
    <t>17.30 - 18.00</t>
  </si>
  <si>
    <t>TEMEL KEPEZKAYA	5418978731</t>
  </si>
  <si>
    <t xml:space="preserve">prş gününe ertelemesi sağlanıldı </t>
  </si>
  <si>
    <t>Süleyman Bey / 3522333444</t>
  </si>
  <si>
    <t xml:space="preserve">Melikgazi / Hacı Saki </t>
  </si>
  <si>
    <t>Hüseyin Bey / 5415658925 / 3523201616</t>
  </si>
  <si>
    <t xml:space="preserve">Melikgazi/ Cumhuriyet </t>
  </si>
  <si>
    <t>Hatice Hanım / 5525776970</t>
  </si>
  <si>
    <t>Cumhuriyet Mah., Cumhuriyet Cad., No:30, Melikgazi, Kayseri</t>
  </si>
  <si>
    <t xml:space="preserve">cumaya alındı </t>
  </si>
  <si>
    <t xml:space="preserve">Melikgazi / Tavlusun </t>
  </si>
  <si>
    <t>Hatun Hanım / 5373502337 / 3529991039</t>
  </si>
  <si>
    <t>Melikgazi	Altınoluk</t>
  </si>
  <si>
    <t>Fatma Yılmaz	5304804817</t>
  </si>
  <si>
    <t xml:space="preserve">devir edecekmiş </t>
  </si>
  <si>
    <t>Melikgazi	Esentepe</t>
  </si>
  <si>
    <t>Sevda Tan        3523322233 - 5330356904</t>
  </si>
  <si>
    <t>ERDEM BEY 5387368405 - 3522324535</t>
  </si>
  <si>
    <t xml:space="preserve">ramazanın 2. haftası randevu alınmaya başlayacak </t>
  </si>
  <si>
    <t>Nediret Hanım / 5385112250</t>
  </si>
  <si>
    <t>Mehmet Ali Bey / 3522311418</t>
  </si>
  <si>
    <t xml:space="preserve">Kocasinan / Beyazşehir </t>
  </si>
  <si>
    <t>Bahar Hanım / 3522511505</t>
  </si>
  <si>
    <t xml:space="preserve">müsait olamamış yarına ertelendi </t>
  </si>
  <si>
    <t xml:space="preserve">Kocasinan/Osmangazi </t>
  </si>
  <si>
    <t>Adem Bey / 3525022721</t>
  </si>
  <si>
    <t xml:space="preserve">Kocasinan / Erciyesevler </t>
  </si>
  <si>
    <t>Ferhat Bey / 3522335005</t>
  </si>
  <si>
    <t xml:space="preserve">Melikgazi / Şirintepe </t>
  </si>
  <si>
    <t>Aslıhan Hanm / 5074086767</t>
  </si>
  <si>
    <t xml:space="preserve">Kocasinan / Mevlana </t>
  </si>
  <si>
    <t>Ahmet Bey / 3523387812</t>
  </si>
  <si>
    <t xml:space="preserve">toplu iftarı varmış haftaya alınacak </t>
  </si>
  <si>
    <t xml:space="preserve">Talas / Bahçelievler </t>
  </si>
  <si>
    <t>Aygun Bey / 3526661920</t>
  </si>
  <si>
    <t xml:space="preserve">Talas / Yenidoğan </t>
  </si>
  <si>
    <t>Hüseyin Bey / 3524372223</t>
  </si>
  <si>
    <t xml:space="preserve">ramazandan sonra istedi </t>
  </si>
  <si>
    <t>Kudusi Bey / 5332726658 / 3524378080</t>
  </si>
  <si>
    <t xml:space="preserve">Talas / Mevlana </t>
  </si>
  <si>
    <t>Serdar Bey / 5050713830</t>
  </si>
  <si>
    <t>Mehmet Çınar 3528885355</t>
  </si>
  <si>
    <t>Cemal Bey / 5057675508</t>
  </si>
  <si>
    <t xml:space="preserve">ramazan sonrası </t>
  </si>
  <si>
    <t>Talas-Mevlana</t>
  </si>
  <si>
    <t>HACI MURAT KILIÇ-5553877078</t>
  </si>
  <si>
    <t>Pınar Hanım / 3524310700</t>
  </si>
  <si>
    <t>Mehmet Bey  / 3524374647</t>
  </si>
  <si>
    <t>Hürü Bey / 5327115980</t>
  </si>
  <si>
    <t>ZÜBEYDE HANIM       5396403858</t>
  </si>
  <si>
    <t xml:space="preserve">ramazandan sonra yapalım ürünlerim eksik dedi </t>
  </si>
  <si>
    <t>Melikgazi/ 5333843383</t>
  </si>
  <si>
    <t>Fatih Bey / 5333843383</t>
  </si>
  <si>
    <t xml:space="preserve">Melikgazi / Yeniköy </t>
  </si>
  <si>
    <t>Furkan Bey / 3522228848</t>
  </si>
  <si>
    <t xml:space="preserve">ramazandan sonra daha iyi olacağına karar vermiş </t>
  </si>
  <si>
    <t>Gizem Dönercisi &amp; Ocakbaşı, Melikgazi (Yeniköy Mah.)</t>
  </si>
  <si>
    <t xml:space="preserve">Kocasinan / Sahabiye </t>
  </si>
  <si>
    <t>Duran Bey / 5312260995</t>
  </si>
  <si>
    <t xml:space="preserve">bayramdan sonra olsun dedi </t>
  </si>
  <si>
    <t>Zekeriya Bey / 3522352004</t>
  </si>
  <si>
    <t xml:space="preserve">Kocasinan / Sanayi </t>
  </si>
  <si>
    <t>Ahmet Bey / 3523362324</t>
  </si>
  <si>
    <t xml:space="preserve">Kocasinan / Alparslan </t>
  </si>
  <si>
    <t>Selim Bey / 5551855588</t>
  </si>
  <si>
    <t>Alpaslan Mah., Sivas Cad., Kasseria AVM, No:94/B09,</t>
  </si>
  <si>
    <t>Kübra Hanım / 3523318866</t>
  </si>
  <si>
    <t>devam</t>
  </si>
  <si>
    <t>Murat Bey / 5344626355</t>
  </si>
  <si>
    <t xml:space="preserve">Melikgazi / Kocatepe </t>
  </si>
  <si>
    <t>Yaşar Bey / 5345888618</t>
  </si>
  <si>
    <t xml:space="preserve">bayramdan  sonra yapalım ürün getirecem bayramın 2.haftası o zamn çekelim dedi </t>
  </si>
  <si>
    <t xml:space="preserve">yetkili talep etti </t>
  </si>
  <si>
    <t xml:space="preserve">bayramdan  sonra yapalım ürün getirecem bayramdan sonra  zamn çekelim dedi </t>
  </si>
  <si>
    <t>13.30 -14.00</t>
  </si>
  <si>
    <t>Faruk Şahinkaya	5392228359</t>
  </si>
  <si>
    <t>EMRE BEY 3524313333</t>
  </si>
  <si>
    <t>Mevlana Mah. Cemil Baba Cad. No:15/E  Talas/KAYSERİ</t>
  </si>
  <si>
    <t>SERKAN BEY 	5426244399</t>
  </si>
  <si>
    <t xml:space="preserve">bayramdan sonra istedi </t>
  </si>
  <si>
    <t>Zeyrekoğlu Baklava, Talas (Mevlana Mah.)16.30</t>
  </si>
  <si>
    <t>Talas  Mevlana</t>
  </si>
  <si>
    <t>MERVE BOZKIR	5310822128</t>
  </si>
  <si>
    <t xml:space="preserve">ŞERMİN HANIM 3525131333 -05524398892 </t>
  </si>
  <si>
    <t>IsActive</t>
  </si>
  <si>
    <t>SON 2 HAFTA</t>
  </si>
  <si>
    <t>Eklendi mi</t>
  </si>
  <si>
    <t>5fe4ae371a12f93b20f7a2d3</t>
  </si>
  <si>
    <t>KFC, Melikgazi (Alpaslan Mah.)</t>
  </si>
  <si>
    <t>DOĞRU</t>
  </si>
  <si>
    <t>Tamer Yılmaz</t>
  </si>
  <si>
    <t>Alparslan Mah, Orgeneral Eşref Bitlis Blv. No:10, 38030 Melikgazi/Kayseri</t>
  </si>
  <si>
    <t>Key</t>
  </si>
  <si>
    <t>YANLIŞ</t>
  </si>
  <si>
    <t>As Pat Burger, Talas (Mevlana Mah.)</t>
  </si>
  <si>
    <t>5fec905fe4a5e267417972d7</t>
  </si>
  <si>
    <t>Komagene Etsiz Çiğ Köfte, Melikgazi (Altınoluk Mah.)</t>
  </si>
  <si>
    <t>Esra Gonca Parlar</t>
  </si>
  <si>
    <t>FATİH SULTAN MEHMET BLV. NO:60</t>
  </si>
  <si>
    <t>Erciyes Üniversitesi 5. Bölge</t>
  </si>
  <si>
    <t>5fec42ac58f3ac53f8e593c4</t>
  </si>
  <si>
    <t>Komagene Etsiz Çiğ Köfte, Talas (Mevlana Mah. Elçibey Cad.)</t>
  </si>
  <si>
    <t>MEVLANA MH. ELÇİBEY CD. NO :18/A</t>
  </si>
  <si>
    <t>Piliç Tavında, Kocasinan (Erciyesevler Mah.)</t>
  </si>
  <si>
    <t>60037ae03dfc140a18960d5b</t>
  </si>
  <si>
    <t>Komagene Etsiz Çiğ Köfte, Talas (Sayer Cad.)</t>
  </si>
  <si>
    <t>MEVLANA MH. SAYER CD. YÖRENÇ APT. NO:15\D</t>
  </si>
  <si>
    <t>60037cea42b899a36fe0a439</t>
  </si>
  <si>
    <t>Komagene Etsiz Çiğ Köfte, Talas (15 Temmuz Cad.)</t>
  </si>
  <si>
    <t>MEVLANA MH. MELİHŞAH CD. NO:3\B</t>
  </si>
  <si>
    <t>600380633368d6300ceb0a7d</t>
  </si>
  <si>
    <t>Komagene Etsiz Çiğ Köfte, Talas (Bahçelievler Tepebağlar Cd.)</t>
  </si>
  <si>
    <t>BAHÇELİEVLER MAH. TEPEBAĞLAR CAD. NO:14/A</t>
  </si>
  <si>
    <t>60045a1c49bc3df065c9f649</t>
  </si>
  <si>
    <t>Komagene Etsiz Çiğ Köfte, Melikgazi (Gökkent Mah.)</t>
  </si>
  <si>
    <t>Gökkent</t>
  </si>
  <si>
    <t>GÖKKENT MH. 1798 SK. NO:31/B</t>
  </si>
  <si>
    <t>6004b8031cdc7115d7bdef48</t>
  </si>
  <si>
    <t>Komagene Etsiz Çiğ Köfte, Melikgazi (Gesi Fatih Mah.)</t>
  </si>
  <si>
    <t>GESİ FATİH MH. GÜNSAZAK CD. NO:32\B</t>
  </si>
  <si>
    <t>6004c54449bc3d270cc9fc4b</t>
  </si>
  <si>
    <t>Komagene Etsiz Çiğ Köfte, Kocasinan (Barış Manço Cad.)</t>
  </si>
  <si>
    <t>MEVLANA MAH. BARIŞ MANÇO CAD. 16/C</t>
  </si>
  <si>
    <t>6004d8d349bc3d4b2cca091c</t>
  </si>
  <si>
    <t>Komagene Etsiz Çiğ Köfte, Melikgazi (Anbar Mah.)</t>
  </si>
  <si>
    <t>ANBAR MH. MEHMET BAYDUR CD. NİYAZLAR APT. B BLOK:30 /C</t>
  </si>
  <si>
    <t>6004deae7b25a23f0bed1e25</t>
  </si>
  <si>
    <t>Komagene Etsiz Çiğ Köfte, Melikgazi (Hanedan Sok.)</t>
  </si>
  <si>
    <t>GESİ FATİH MH. HANEDAN SK. B BLK 24/F</t>
  </si>
  <si>
    <t>600570f499ddd436f5fa186e</t>
  </si>
  <si>
    <t>Komagene Etsiz Çiğ Köfte, Melikgazi (Kadir Has Blv.)</t>
  </si>
  <si>
    <t>FATIH MAH. KADIR HAS BLV. B BLOK NO: 139 B</t>
  </si>
  <si>
    <t>600586e5b312cda952f9ee9f</t>
  </si>
  <si>
    <t>Komagene Etsiz Çiğ Köfte, Melikgazi (Yeniköy Mah.)</t>
  </si>
  <si>
    <t>YENİKÖY MH. SEHER BLV 21\B</t>
  </si>
  <si>
    <t>5fec982ee97c0d21e5d16877</t>
  </si>
  <si>
    <t>Komagene Etsiz Çiğ Köfte, Talas (Bahçelievler Mah. Mevlana Cad.)</t>
  </si>
  <si>
    <t>BAHÇELİEVLER MH. MEVLANA CD. NO:28\A</t>
  </si>
  <si>
    <t>60038306507e7611d028da80</t>
  </si>
  <si>
    <t>Komagene Etsiz Çiğ Köfte, Kocasinan (Bağdat Cad.)</t>
  </si>
  <si>
    <t>GAZİOSMANPAŞA MH. BAĞDAT CD. NO:47\B</t>
  </si>
  <si>
    <t>600444f838f1fb12f87a1a10</t>
  </si>
  <si>
    <t>Komagene Etsiz Çiğ Köfte, Kocasinan (Mithatpaşa Mah.)</t>
  </si>
  <si>
    <t>MİTHATPAŞA MH. ERKİLET BLV NO: 133/B</t>
  </si>
  <si>
    <t>600449533368d69b0feb15ac</t>
  </si>
  <si>
    <t>Komagene Etsiz Çiğ Köfte, Kocasinan (Erkilet Dere Mah.)</t>
  </si>
  <si>
    <t>ERKİLET DERE MH. HAKİKAT CD. TUANA APT.NO:68</t>
  </si>
  <si>
    <t>60044b70e6346ca7fd381ccf</t>
  </si>
  <si>
    <t>Komagene Etsiz Çiğ Köfte, Kocasinan (Osmangazi Mah.)</t>
  </si>
  <si>
    <t>OSMANGAZİ MH. ERKİLET BLV. ERKİLET APT. NO:568 / A</t>
  </si>
  <si>
    <t>60045e169b36871c2d6621c9</t>
  </si>
  <si>
    <t>Komagene Etsiz Çiğ Köfte, Melikgazi (Gültepe Mah.)</t>
  </si>
  <si>
    <t>GÜLTEPE MH. MUSTAFA ŞİMŞEK CD. NO:8/ B</t>
  </si>
  <si>
    <t>60046045f4d31f2ab87ddc6e</t>
  </si>
  <si>
    <t>Komagene Etsiz Çiğ Köfte, Kocasinan (Hoca Ahmet Yesevi Mah.)</t>
  </si>
  <si>
    <t>HOCA AHMET YESEVİ MH. BEKİR YILDIZ BLV. NO:128\B</t>
  </si>
  <si>
    <t>6004bb8f625dd023462bb7b2</t>
  </si>
  <si>
    <t>Komagene Etsiz Çiğ Köfte, Melikgazi (Yeşilyurt Mah. -İldem)</t>
  </si>
  <si>
    <t>İLDEM CUMHURİYET MAH. 2357 CAD. NO : 38D</t>
  </si>
  <si>
    <t>6004be54625dd084d52bb7c7</t>
  </si>
  <si>
    <t>Komagene Etsiz Çiğ Köfte, Kocasinan (G. Nesibe İstasyon Cad.)</t>
  </si>
  <si>
    <t>GEVHER NESİBE MH. İSTASYON CD. BAŞALP İŞ M. NO:47\A</t>
  </si>
  <si>
    <t>6004c303b73db54582991b9b</t>
  </si>
  <si>
    <t>Komagene Etsiz Çiğ Köfte, Melikgazi (İsmail Erez Blv.)</t>
  </si>
  <si>
    <t>KEYKUBAT MH. İSMAİL EREZ BLV NO:8/B</t>
  </si>
  <si>
    <t>6004c9a01cdc7109cdbdef96</t>
  </si>
  <si>
    <t>Komagene Etsiz Çiğ Köfte, Kocasinan (G. Nesibe Atatürk Blv.)</t>
  </si>
  <si>
    <t>GEVHER NESİBE MAH. ATATÜRK BULV. NO:110 C</t>
  </si>
  <si>
    <t>6004d3bf48574753ece7795a</t>
  </si>
  <si>
    <t>Komagene Etsiz Çiğ Köfte, Kocasinan (Yenişehir Erkilet Blv.)</t>
  </si>
  <si>
    <t>Abdullah Gül Üniversitesi Sümer Kampüsü</t>
  </si>
  <si>
    <t>YENİŞEHİR MH. ERKİLET BLV. NO : 55/A</t>
  </si>
  <si>
    <t>6004e0a5f1067e28a6512f3f</t>
  </si>
  <si>
    <t>Komagene Etsiz Çiğ Köfte, Melikgazi (Cumhuriyet Mah.)</t>
  </si>
  <si>
    <t>CUMHURİYET MH. İNÖNÜ BLV. NO:69\B</t>
  </si>
  <si>
    <t>6005486b57c43124aa03d2f5</t>
  </si>
  <si>
    <t>Komagene Etsiz Çiğ Köfte, Melikgazi (Şirintepe Mah.)</t>
  </si>
  <si>
    <t>ŞİRİNTEPE MAH. ŞHT SUAT HAYRİ DAL CAD.NO:8B</t>
  </si>
  <si>
    <t>600565d144f1b4a4d8ba9347</t>
  </si>
  <si>
    <t>Komagene Etsiz Çiğ Köfte, Melikgazi (Esenyurt Mah.)</t>
  </si>
  <si>
    <t>NURİ HAS MH. YAVUZ CD. NO.9/B</t>
  </si>
  <si>
    <t>60057285ae6e7f1e3c4dc0b8</t>
  </si>
  <si>
    <t>Komagene Etsiz Çiğ Köfte, Melikgazi (Osman Kavuncu Cad.)</t>
  </si>
  <si>
    <t>KEYKUBAT MH.OSMAN KAVUNCU CD.NO:279/A</t>
  </si>
  <si>
    <t>600576fb89c9629d5b356a52</t>
  </si>
  <si>
    <t>Komagene Etsiz Çiğ Köfte, Kocasinan (Elisevenler Cad.)</t>
  </si>
  <si>
    <t>YAKUT MH. ELİSEVENLER CD. HACILAR SİT.. NO:47/C</t>
  </si>
  <si>
    <t>60036dd49b36878b05660729</t>
  </si>
  <si>
    <t>Komagene Etsiz Çiğ Köfte, Talas (Cemil Baba Cad.)</t>
  </si>
  <si>
    <t>MEVLANA MH. CEMİLBABA CD.3 B</t>
  </si>
  <si>
    <t>60037166147b7158c29f5f81</t>
  </si>
  <si>
    <t>Komagene Etsiz Çiğ Köfte, Talas (Atatürk Blv.)</t>
  </si>
  <si>
    <t>BAHÇELİEVLER MH. ATATÜRK BLV NO:36\A</t>
  </si>
  <si>
    <t>600458550d6f5982669c2d99</t>
  </si>
  <si>
    <t>Komagene Etsiz Çiğ Köfte, Melikgazi (Danışment Gazi Mah.)</t>
  </si>
  <si>
    <t>Danişmentgazi</t>
  </si>
  <si>
    <t>DANİŞMET GAZİ MH. PANTER SK. NO:1/C</t>
  </si>
  <si>
    <t>6004b9e4f4d31f244b7de1ec</t>
  </si>
  <si>
    <t>Komagene Etsiz Çiğ Köfte, Melikgazi (Günsazak Cad.)</t>
  </si>
  <si>
    <t>GÜNSAZAK CD.BELEDİYE ÇARŞI NO:98/R</t>
  </si>
  <si>
    <t>6004c76ba351052c71f7d572</t>
  </si>
  <si>
    <t>Komagene Etsiz Çiğ Köfte, Kocasinan (Billur Cad.)</t>
  </si>
  <si>
    <t>MİMAR SİNAN MH. BİLLUR CD. PELİKAN APT. NO:83/A</t>
  </si>
  <si>
    <t>6004d0378884e02e0590edf7</t>
  </si>
  <si>
    <t>Komagene Etsiz Çiğ Köfte, Kocasinan (Sahabiye Mah.)</t>
  </si>
  <si>
    <t>SAHABİYE MH. AHMET PAŞA CD. SERAP APT. A BLOK NO 68C</t>
  </si>
  <si>
    <t>6004d1ace2740f071a19f5fd</t>
  </si>
  <si>
    <t>Komagene Etsiz Çiğ Köfte, Kocasinan (Turgutreis Mah.)</t>
  </si>
  <si>
    <t>TURGUTREİS MH. BAĞDAT CD. DÖRTHAN SİT. NO:186\B</t>
  </si>
  <si>
    <t>6004d72b19b6620edf73a4e7</t>
  </si>
  <si>
    <t>Komagene Etsiz Çiğ Köfte, Melikgazi (Kocatepe Mah.)</t>
  </si>
  <si>
    <t>KOCATEPE MH.3025 SK.BEREKET APT.36\B</t>
  </si>
  <si>
    <t>6004dce1dda07bb548535351</t>
  </si>
  <si>
    <t>Komagene Etsiz Çiğ Köfte, Melikgazi (Güllük Mah.-Düvenönü)</t>
  </si>
  <si>
    <t>OSMAN KAVUNCU CD. DÜVENÖNÜ İŞ MERK.</t>
  </si>
  <si>
    <t>60053ba98884e09c3890fda7</t>
  </si>
  <si>
    <t>Komagene Etsiz Çiğ Köfte, Melikgazi (Köşk Mah.)</t>
  </si>
  <si>
    <t>KÖŞK MH. KÖŞK CD. YUVA SK. NO:5/B</t>
  </si>
  <si>
    <t>6005451ce2740fb3331a0c89</t>
  </si>
  <si>
    <t>Komagene Etsiz Çiğ Köfte, Kocasinan (Mustafa K. Paşa Blv.)</t>
  </si>
  <si>
    <t>MUSTAFA KEMAL PAŞA BLV. NO:99 / C</t>
  </si>
  <si>
    <t>60054dd342b899d753e0f038</t>
  </si>
  <si>
    <t>Komagene Etsiz Çiğ Köfte, Melikgazi (Malazgirt Blv.)</t>
  </si>
  <si>
    <t>MİMARSİNANŞİRİNTEPE MH. MALAZGİRT BLV. NO:32/F</t>
  </si>
  <si>
    <t>6005634c3dfc141a6b966973</t>
  </si>
  <si>
    <t>Komagene Etsiz Çiğ Köfte, Melikgazi (Y. Beyazıt Mh-M.Şimşek Cad)</t>
  </si>
  <si>
    <t>MUSTAFA ŞİMŞEK CD. YEŞİL KÖŞK SK. NO:10/C</t>
  </si>
  <si>
    <t>60058b78f5c83e15b9909196</t>
  </si>
  <si>
    <t>Komagene Etsiz Çiğ Köfte, Kocasinan (Yıldızevler Mah. 317. Sok)</t>
  </si>
  <si>
    <t>YILDIZEVLER MH. 317.SK. NO:5\B</t>
  </si>
  <si>
    <t>Meydan Merkez Malatya Pide, Kocasinan (Sahabiye Mah.)</t>
  </si>
  <si>
    <t>6003774838f1fb556a79fefc</t>
  </si>
  <si>
    <t>Komagene Etsiz Çiğ Köfte, Talas (Yenidoğan Mah.)</t>
  </si>
  <si>
    <t>YENİDOĞAN MH. BİLGE KAAN CD. NO:5\A</t>
  </si>
  <si>
    <t>6003862219b662e7e67381fa</t>
  </si>
  <si>
    <t>Komagene Etsiz Çiğ Köfte, Kocasinan (Beyazşehir Mah.)</t>
  </si>
  <si>
    <t>BEYAZŞEHİR MAH.KOÇKAYA CAD.NO:19C</t>
  </si>
  <si>
    <t>60038830625dd0437b2b8d34</t>
  </si>
  <si>
    <t>Komagene Etsiz Çiğ Köfte, Kocasinan (Sivas Cad.)</t>
  </si>
  <si>
    <t>SİVAS CD. NO:67 / B</t>
  </si>
  <si>
    <t>60047d00507e762d3828f230</t>
  </si>
  <si>
    <t>Komagene Etsiz Çiğ Köfte, Melikgazi (Seyid Burhaneddin Blv.)</t>
  </si>
  <si>
    <t>SEYYİD BURHANEDDİN BLV. NO:39\A</t>
  </si>
  <si>
    <t>6004c0c0507e76462028f8a4</t>
  </si>
  <si>
    <t>Komagene Etsiz Çiğ Köfte, Melikgazi (Güllük Mah.–Kara Mete Kvş.)</t>
  </si>
  <si>
    <t>GÜLLÜK MAH. SOKULLU CD. 63 /B</t>
  </si>
  <si>
    <t>6004daa6b73db5bab3991b9e</t>
  </si>
  <si>
    <t>Komagene Etsiz Çiğ Köfte, Melikgazi (Germir Mah.)</t>
  </si>
  <si>
    <t>GERMİR MH. 1777 SK. NO:38/A</t>
  </si>
  <si>
    <t>600540cfe6346c94e4383e31</t>
  </si>
  <si>
    <t>Komagene Etsiz Çiğ Köfte, Melikgazi (Battalgazi Mah.)</t>
  </si>
  <si>
    <t>Küçükali</t>
  </si>
  <si>
    <t>BATTALGAZİ MH. ÇUKURHARMANLAR SOKAK NO:10C</t>
  </si>
  <si>
    <t>600542f3e6346cafab384017</t>
  </si>
  <si>
    <t>Komagene Etsiz Çiğ Köfte, Melikgazi (Tınaztepe Mah.)</t>
  </si>
  <si>
    <t>TINAZTEPE MAH. 3048. SK. NO:40</t>
  </si>
  <si>
    <t>60056cb442b899ab57e0f8cb</t>
  </si>
  <si>
    <t>Komagene Etsiz Çiğ Köfte, Melikgazi (Bahçelievler 2160. Sok)</t>
  </si>
  <si>
    <t>MİMARSİNAN BAHÇELİEVLER MH. 2160. SK. NO:26\B</t>
  </si>
  <si>
    <t>Pizza Uno (Alpaslan Mah.)</t>
  </si>
  <si>
    <t>Çıtır Künefe &amp; Baklava, Talas (Mevlana Mah.)</t>
  </si>
  <si>
    <t>Mevlana Mah. Karasu Cad. No:14 Talas/KAYSERİ</t>
  </si>
  <si>
    <t>603f9fcc91adfc01c3a5cc48</t>
  </si>
  <si>
    <t>Komagene Etsiz Çiğ Köfte, Melikgazi (Kılıçaslan Mah.)</t>
  </si>
  <si>
    <t>KILIÇASLAN MAH.SİVAS BLV. NO:50 B</t>
  </si>
  <si>
    <t>Erciyes Üniversitesi</t>
  </si>
  <si>
    <t>5fd5e8eae92d036adecff25f</t>
  </si>
  <si>
    <t>Monj, Talas (Mevlana Mah.)</t>
  </si>
  <si>
    <t>Mehmet Kanberlio</t>
  </si>
  <si>
    <t>Mevlana Mah. Bilge Kağan Cad. B Giriş No: 30 D Talas/ Kayseri</t>
  </si>
  <si>
    <t>60587787eac9931a70c6a490</t>
  </si>
  <si>
    <t>Komagene Etsiz Çiğ Köfte, Kocasinan (Kadir Has Cad.)</t>
  </si>
  <si>
    <t>Zümrüt</t>
  </si>
  <si>
    <t>HOCA AHMET YESEVİ MAH KADİR HAS CD 131 B</t>
  </si>
  <si>
    <t>Chef Fried Chicken, Kocasinan (Mimarsinan Mah.)</t>
  </si>
  <si>
    <t>605879c2c92799007a9eaed2</t>
  </si>
  <si>
    <t>Komagene Etsiz Çiğ Köfte, Melikgazi (Y. Beyazıt Mah-Şenköşe Cad)</t>
  </si>
  <si>
    <t>YILDIRIM BEYAZIT MAH. SENKÖSE CAD. NO: 172 D</t>
  </si>
  <si>
    <t>605c817a1a40c4e8da383a74</t>
  </si>
  <si>
    <t>Popeyes, Kocasinan (Şeker Mah.)</t>
  </si>
  <si>
    <t>Emre May</t>
  </si>
  <si>
    <t>SEKER MAH.OSMAN KAVUNCU BUL.NO:364/38</t>
  </si>
  <si>
    <t>605c89b36c2d4700ce4eed91</t>
  </si>
  <si>
    <t>Popeyes, Melikgazi (Alpaslan Mah.)</t>
  </si>
  <si>
    <t>ALPARSLAN MAH. EŞREF BİTLİS BUL. NO:10-314</t>
  </si>
  <si>
    <t>605c6e44559e6489152c4745</t>
  </si>
  <si>
    <t>Popeyes, Melikgazi (Hunat Mah.)</t>
  </si>
  <si>
    <t>Hunat Mahallesi Sivas Bulvarı No: 24/A No: SF13</t>
  </si>
  <si>
    <t>605ca1cd4222b562e39cb88c</t>
  </si>
  <si>
    <t>Burger King, Talas (Mevlana Mah.)</t>
  </si>
  <si>
    <t>MEVLANA MAH MEHMET TİMUÇİN CAD</t>
  </si>
  <si>
    <t>605ca7914f6acb71fe4457e8</t>
  </si>
  <si>
    <t>Usta Dönerci, Kocasinan (Şeker Mah.)</t>
  </si>
  <si>
    <t>ŞEKER MAH. OSMAN KAVUNCU BULV.</t>
  </si>
  <si>
    <t>Akyel Pastanesi, Talas (Bahçelievler Mah.)</t>
  </si>
  <si>
    <t>Bahçelievler Mah. Tepebağlar Cad. No:44 Talas/KAYSERİ</t>
  </si>
  <si>
    <t>605e34f189ffd36c34c56089</t>
  </si>
  <si>
    <t>Kahve Dünyası, Melikgazi (Hunat Mah.)</t>
  </si>
  <si>
    <t>Kahve</t>
  </si>
  <si>
    <t>Burak Bezgin</t>
  </si>
  <si>
    <t>Forum kayseri - HUNAT SİVAS CAD. NO:24/1</t>
  </si>
  <si>
    <t>5fec8816cf33762fa2b48c52</t>
  </si>
  <si>
    <t>Komagene Etsiz Çiğ Köfte, Melikgazi (Alpaslan Mah.)</t>
  </si>
  <si>
    <t>MELİKGAZİ MH. KIZILIRMAK CD. NO:128\C</t>
  </si>
  <si>
    <t>605c8c82bf03aa05702fa2a5</t>
  </si>
  <si>
    <t>Burger King, Melikgazi (Fatih Mah. - İldem)</t>
  </si>
  <si>
    <t>GESİ FATİH MAH.GÜN SAZAK CAD. NO:65/101</t>
  </si>
  <si>
    <t>605c57816803b54d1a85868f</t>
  </si>
  <si>
    <t>Popeyes, Kocasinan (Gevhernesibe Mah.)</t>
  </si>
  <si>
    <t>Gevhernesibe, Mimar Sinan Cd. No:4, 38010 Kocasinan/Kayseri</t>
  </si>
  <si>
    <t>605c811e81f1147af521bb52</t>
  </si>
  <si>
    <t>Popeyes, Melikgazi (Fatih Mah. - İldem)</t>
  </si>
  <si>
    <t>GESİ FATİH MAH.GÜN SAZAK CAD.NO:65 / 1B20</t>
  </si>
  <si>
    <t>605c7f392e9b772a4c549191</t>
  </si>
  <si>
    <t>Burger King, Kocasinan (Şeker Mah.)</t>
  </si>
  <si>
    <t>şeker mah. Osman kavuncu bulv. Meysu Outlet Avm.</t>
  </si>
  <si>
    <t>Eski Tostum, Talas (Mevlana Mah.)</t>
  </si>
  <si>
    <t>6065a88029d0eb8a67a3d653</t>
  </si>
  <si>
    <t>Domino's Pizza, Melikgazi (Yıldırım Beyazıt Mah.)</t>
  </si>
  <si>
    <t>Zeliha Nalbant</t>
  </si>
  <si>
    <t>Yıldırım Beyazıt Mah. Şehit Üsteğmen Mustafa Şimşek Bulv. No:138 C Melikgazi</t>
  </si>
  <si>
    <t>605c9663ddb30ba758488d86</t>
  </si>
  <si>
    <t>Usta Dönerci, Melikgazi (Gesi Fatih Mah.)</t>
  </si>
  <si>
    <t>Gesi Fatih Mah. Gün Sazak Cd. No : 65/108</t>
  </si>
  <si>
    <t>6065a7e3dfb4a64973cbad10</t>
  </si>
  <si>
    <t>Domino's Pizza, Melikgazi (Demokrasi Mah.)</t>
  </si>
  <si>
    <t>Demokrasi Mah. Kadirhas Bulv.No:81 G Melikgazi Kayseri</t>
  </si>
  <si>
    <t>6065a171c8417392da796b2e</t>
  </si>
  <si>
    <t>Domino's Pizza, Melikgazi (Kılınçarslan Mah.)</t>
  </si>
  <si>
    <t>Kılıç Arslan Mah. Sivas Bulv. Mimoza Apt. No:40 E Melikgazi</t>
  </si>
  <si>
    <t>6003737d8884e0a20b90ccf5</t>
  </si>
  <si>
    <t>Komagene Etsiz Çiğ Köfte, Talas (Papatya Cad.)</t>
  </si>
  <si>
    <t>MEVLANA MH. PAPATYA CD. NO:29B</t>
  </si>
  <si>
    <t>6065aa8f1f3a09037e8b345f</t>
  </si>
  <si>
    <t>Domino's Pizza, Melikgazi (Sakarya Mah.)</t>
  </si>
  <si>
    <t>Sakarya Mah. İsmail Erez Bulv Altınoluk Apt. No:11 Melikgazi Kayseri</t>
  </si>
  <si>
    <t>600589839611de3c68cc4e2c</t>
  </si>
  <si>
    <t>Komagene Etsiz Çiğ Köfte, Melikgazi (Y. Beyazıt Mh-Sırasöğütler)</t>
  </si>
  <si>
    <t>Y. BEYAZIT MH. SIRASÖĞÜTLER CD. NERGİZ KONAĞI NO:15/B</t>
  </si>
  <si>
    <t>6065a5f30fac6305af70841b</t>
  </si>
  <si>
    <t>Domino's Pizza, Talas (Mevlana Mah.)</t>
  </si>
  <si>
    <t>Tablakaya Mah. Halef Hoca Cad. No:32 Talas Kayseri</t>
  </si>
  <si>
    <t>6065acc09075144e6d0d0180</t>
  </si>
  <si>
    <t>Domino's Pizza, Melikgazi (Aydınlıkevler Mah.)</t>
  </si>
  <si>
    <t>Aydınlıkevler Mah. Şehit Miralay Nazımbey Bulv. No:108 A Melikgazi Kayseri</t>
  </si>
  <si>
    <t>So Fire House Street Food &amp; Grill, Talas (Yenidoğan Mah.)</t>
  </si>
  <si>
    <t>60044dba88198ca1cd144d49</t>
  </si>
  <si>
    <t>Komagene Etsiz Çiğ Köfte, Melikgazi (Esentepe Mah.)</t>
  </si>
  <si>
    <t>ESENTEPE MH. AHMET GAZİ AYHAN BLV. NO:119\B</t>
  </si>
  <si>
    <t>6093fdba8b34457f0b0ede55</t>
  </si>
  <si>
    <t>Komagene Etsiz Çiğ Köfte, Talas (Org. Hulusi Akar Blv.)</t>
  </si>
  <si>
    <t>MEVLANA MAH. ORGENERAL HULUSI AKAR BLV. NO: 292 B</t>
  </si>
  <si>
    <t>Serince Çiğ Köfte &amp; Sevgi Mutfak, Kocasinan (Gevhernesibe Mah.)</t>
  </si>
  <si>
    <t>İldem Beyaz Saray Kebap, Melikgazi (Cumhuriyet Mah.-İldem)</t>
  </si>
  <si>
    <t>Kebapçı Yunus Usta, Melikgazi (Keykubat Mah.)</t>
  </si>
  <si>
    <t>60d32c542cfad1760ef29508</t>
  </si>
  <si>
    <t>Komagene Etsiz Çiğ Köfte, Melikgazi (Osmanlı Mah.)</t>
  </si>
  <si>
    <t>Osmanlı</t>
  </si>
  <si>
    <t>OSMANLI MAH. DÜZTEPE SK. 7 I</t>
  </si>
  <si>
    <t>Oses Çiğ Köfte, Melikgazi (Keykubat Mah. - İsmail Erez Bulv.)</t>
  </si>
  <si>
    <t>60fec7f4a9c89375ae9c28ee</t>
  </si>
  <si>
    <t>Komagene Etsiz Çiğ Köfte, Kocasinan (Ertuğrul Gazi Mah.)</t>
  </si>
  <si>
    <t>ERTUĞRUL GAZİ MAH. IŞKIN CAD. 5 A</t>
  </si>
  <si>
    <t>60fec3e18f93d63c425e5ca1</t>
  </si>
  <si>
    <t>Komagene Etsiz Çiğ Köfte, Melikgazi (Yeniköy Mah.-Lefke Cad.)</t>
  </si>
  <si>
    <t>YENIKÖY MAH. LEFKE CAD. TUGBA APT NO: 18 B</t>
  </si>
  <si>
    <t>Mehmet Coşkun Et Döner (Hunat Mah.)</t>
  </si>
  <si>
    <t>61114d335c3a355bd1970aa3</t>
  </si>
  <si>
    <t>Oses Çiğ Köfte, Kocasinan (Sahabiye Mah.)</t>
  </si>
  <si>
    <t>Sahabiye Mah Ahievran Cad. No: 16/C Kocasinan Kayseri</t>
  </si>
  <si>
    <t>Bol Fıstıklım, Talas (Bahçelievler Mah.)</t>
  </si>
  <si>
    <t>Serince Çiğ Köfte, Melikgazi (Cumhuriyet Mah. - İldem Çarşı)</t>
  </si>
  <si>
    <t>İldem Cumhuriyet Mah. Tekin Sok. No:108 Melikgazi/KAYSERİ</t>
  </si>
  <si>
    <t>Oses Çiğ Köfte, Kocasinan (Erkilet Osman Gazi Mah.)</t>
  </si>
  <si>
    <t>Hülya Mutlu</t>
  </si>
  <si>
    <t>61239def99142507369e9665</t>
  </si>
  <si>
    <t>Komagene Etsiz Çiğ Köfte, Kocasinan (Sahabiye Mah.-Nato Cad.)</t>
  </si>
  <si>
    <t>SAHABİYE MAH. MUSTAFA KEMAL PAŞA BLV. 27/A</t>
  </si>
  <si>
    <t>614b37283568bef7a30b0152</t>
  </si>
  <si>
    <t>Komagene Etsiz Çiğ Köfte, Melikgazi (Sakarya Mah-Doğanyurt Cad.)</t>
  </si>
  <si>
    <t>Sakarya mah.Doğanyurt Cd.No:142A</t>
  </si>
  <si>
    <t>60fecb1f3b6c6aff0e9a2860</t>
  </si>
  <si>
    <t>Komagene Etsiz Çiğ Köfte, Kocasinan (Yavuzlar Mh- Karadeniz Cd)</t>
  </si>
  <si>
    <t>Yavuzlar</t>
  </si>
  <si>
    <t>YAVUZLAR MAH. KARADENİZ CAD. 115/B KOCASİNAN / KAYSERİ</t>
  </si>
  <si>
    <t>60e301a27e39219c060b555c</t>
  </si>
  <si>
    <t>KFC, Talas (Bahçelievler Mah.)</t>
  </si>
  <si>
    <t>Bahçelievler, Atatürk Blv. 22/C, 38280 Talas/Kayseri</t>
  </si>
  <si>
    <t>614a23eb87c8ff0cc8d4e333</t>
  </si>
  <si>
    <t>Adıyörem Çiğ Köfte &amp; Pastane, Melikgazi (Kazımkarabekir Mah.)</t>
  </si>
  <si>
    <t>Eda Güzey</t>
  </si>
  <si>
    <t>Kazımkarabekir Mah. Sürmene Sok. No:2/C Melikgazi/KAYSERİ</t>
  </si>
  <si>
    <t>616543b916560f5d8f83ab42</t>
  </si>
  <si>
    <t>Komagene Etsiz Çiğ Köfte, Kocasinan (Çınarcık Cad.)</t>
  </si>
  <si>
    <t>YAVUZLAR MAH. ÇINARCIK CAD. A VE B BLOK NO: 55 B</t>
  </si>
  <si>
    <t>Pizza Mida, Talas (Mevlana Mah.)</t>
  </si>
  <si>
    <t>Mevlana Mah. Batuhan Sok. No:18/D Talas/KAYSERİ</t>
  </si>
  <si>
    <t>6138f9be1cef863623af9766</t>
  </si>
  <si>
    <t>Komagene Etsiz Çiğ Köfte, Kocasinan (Yıldırım 1. Cad.)</t>
  </si>
  <si>
    <t>OSMANGAZİ MAH. YILDIRIM 1. CAD. NO: 45 B</t>
  </si>
  <si>
    <t>613b41afdc5436fb5df01651</t>
  </si>
  <si>
    <t>Bereket Döner, Talas (Mevlana Mah.)</t>
  </si>
  <si>
    <t>Musa Ekinci</t>
  </si>
  <si>
    <t>Mevlana Mah. Cemil Baba Cad. No:34/B Talas/Kayseri</t>
  </si>
  <si>
    <t>61546230391a629bec1fb641</t>
  </si>
  <si>
    <t>Komagene Etsiz Çiğ Köfte, Melikgazi (Demokrasi Mah.)</t>
  </si>
  <si>
    <t>DEMOKRASİ MAH. EMNİYET 1. CAD. 1 C</t>
  </si>
  <si>
    <t>Son Çare Döner &amp; Tantuni, Talas (Mevlana Mah.)</t>
  </si>
  <si>
    <t>60e7fcbe1ee3932429ffd82d</t>
  </si>
  <si>
    <t>Komagene Etsiz Çiğ Köfte, Melikgazi (Kaysermall AVM)</t>
  </si>
  <si>
    <t>GESİ FATİH MH. GÜN SAZAK CD. NO:65 İÇKAPI NO:2B11</t>
  </si>
  <si>
    <t>Golden Pack, Talas (Mevlana Mah.)</t>
  </si>
  <si>
    <t>Hanım Ağa'nın Ev Yemekleri&amp;Tantuni, Kocasinan(Fevzi Çakmak Mah.)</t>
  </si>
  <si>
    <t>Cadde Pastanesi, Kocasinan (Gevher Nesibe Mah.)</t>
  </si>
  <si>
    <t>604f722b94fc6c1c06f6822b</t>
  </si>
  <si>
    <t>Hot Döner, Develi (İbrahim Ağa Mah.)</t>
  </si>
  <si>
    <t>SEVDA AĞCA</t>
  </si>
  <si>
    <t>İBRAHİM AĞA MAH.ELBİZ CAD.NO 21 DEVELİ KAYSERİ</t>
  </si>
  <si>
    <t>61939af788b914845f952264</t>
  </si>
  <si>
    <t>Komagene Etsiz Çiğ Köfte, Melikgazi (Germir Mah.-Avanos Cad.)</t>
  </si>
  <si>
    <t>GERMIR MAH. AVANOS CAD. 152 D</t>
  </si>
  <si>
    <t>Ciğerci Bahattin, Kocasinan (Sümer Mah.)</t>
  </si>
  <si>
    <t>6171451d5d0edfb8ec5dd24b</t>
  </si>
  <si>
    <t>Komagene Etsiz Çiğ Köfte, Melikgazi (Kazım Karabekir Mah.)</t>
  </si>
  <si>
    <t>KAZIM KARABEKİR MAH. ESKİ BAĞ SOKAK NO:8/A</t>
  </si>
  <si>
    <t>6171482fe73c7512b6e41e10</t>
  </si>
  <si>
    <t>Komagene Etsiz Çiğ Köfte, Kocasinan (Gesi Cad.)</t>
  </si>
  <si>
    <t>KOCASİNAN MAH.GESİ CAD. 2/2E</t>
  </si>
  <si>
    <t>Favoriler Balıkçılık, Talas (Mevlana Mah.)</t>
  </si>
  <si>
    <t>61854f6def14d566ed4325ea</t>
  </si>
  <si>
    <t>Oses Çiğ Köfte, Kocasinan (Yenişehir Mah.-Turgut Reis Cad.)</t>
  </si>
  <si>
    <t>61b297c5d9d8e051e5e230aa</t>
  </si>
  <si>
    <t>Oses Çiğ Köfte, Talas (Mevlana Mah.-Batuhan Sok.)</t>
  </si>
  <si>
    <t>Elif Bayram</t>
  </si>
  <si>
    <t>Mevlana Mah Batuhan Sok No 18-E Talas Kayseri</t>
  </si>
  <si>
    <t>61bb9522b23d61714e8b5627</t>
  </si>
  <si>
    <t>Hacıoğlu, Kocasinan (Şeker Mah.)</t>
  </si>
  <si>
    <t>HATİCE SALABAŞ</t>
  </si>
  <si>
    <t>Şeker Mah. Muhsinyazıcıoğlu bulvarı.Kayseri Şehir Hastanesi No:83Kocasinan /Kayseri</t>
  </si>
  <si>
    <t>601525f9f8fb0b80dffa1da1</t>
  </si>
  <si>
    <t>Hot Döner, Talas (Bahçelievler Mah.)</t>
  </si>
  <si>
    <t>KEVSER USLU</t>
  </si>
  <si>
    <t>BAHÇELİEVLER MAH.GÜRSU SOK NO 9/A TALAS KAYSERİ</t>
  </si>
  <si>
    <t>5ffd96afdef3889a1de00494</t>
  </si>
  <si>
    <t>Hot Döner, Talas (Mevlana Mah.)</t>
  </si>
  <si>
    <t>Yasin Can</t>
  </si>
  <si>
    <t>MEVLANA MAHALLESİ 15 TEMMUZ CADDESİ NO 3/A TALAS KAYSERİ</t>
  </si>
  <si>
    <t>6007fad8e13dbd42c15c3f3f</t>
  </si>
  <si>
    <t>Hot Döner, Melikgazi (Köşk Mah.)</t>
  </si>
  <si>
    <t>KEMAL ÇETİN</t>
  </si>
  <si>
    <t>KÖŞK MAHALLESİ KURUYAKA SOK NO 8/A BEYAZKÖŞK APT MELİKGAZİ KAYSERİ</t>
  </si>
  <si>
    <t>618538df280e9772c69ad345</t>
  </si>
  <si>
    <t>Oses Çiğ Köfte, Talas (Bahçelievler Mah.)</t>
  </si>
  <si>
    <t>Mustafa Güneş</t>
  </si>
  <si>
    <t>Bahçelievler mah atatürk bulvarı halit bey sitesi 34E Talas Kayseri</t>
  </si>
  <si>
    <t>Köşem Dürüm, Melikgazi (Cumhuriyet Mah. - İldem)</t>
  </si>
  <si>
    <t>6151a84cd547cf747e4409ee</t>
  </si>
  <si>
    <t>Oses Çiğ Köfte, Kocasinan (Erciyesevler Mah.)</t>
  </si>
  <si>
    <t>Baki Akkan</t>
  </si>
  <si>
    <t>Erciyesevler Mah Çay Sok Hilal Apt A blok No 9E Kocasinan Kayseri</t>
  </si>
  <si>
    <t>618545831d09f1487f5ff880</t>
  </si>
  <si>
    <t>Oses Çiğ Köfte, Kocasinan (Yakut Mah.)</t>
  </si>
  <si>
    <t>Yusuf Usluoğlu</t>
  </si>
  <si>
    <t>Yakut Mah Elisevenler Cad Doğa Sit No:4/D Kocasinan Kayseri</t>
  </si>
  <si>
    <t>6194e922bf93703b95e9ce23</t>
  </si>
  <si>
    <t>Oses Çiğ Köfte, Kocasinan (Fevzi Çakmak Mah.)</t>
  </si>
  <si>
    <t>MEHMET ATAR</t>
  </si>
  <si>
    <t>Fevzi Çakmak Mah Sivas Blv No 39 B Kocasinan Kayseri</t>
  </si>
  <si>
    <t>61854c0f988d95c4a36e1b5b</t>
  </si>
  <si>
    <t>Oses Çiğ Köfte, Kocasinan (Yeni Mah.-M.Kemal Paşa Blv.)</t>
  </si>
  <si>
    <t>Yeni Mah Mustafa Kemal Paşa Bulvarı no:143E Kocasinan Kayseri</t>
  </si>
  <si>
    <t>6185223e79b09fb91c9b2c0b</t>
  </si>
  <si>
    <t>Oses Çiğ Köfte, Melikgazi (Kazım Karabekir Mah.)</t>
  </si>
  <si>
    <t>YAKUP DOĞRU</t>
  </si>
  <si>
    <t>KAZIMKARABEKİR MAH. BALVEREN SK. D BLOK NO: 30 A MELİKGAZİ/ KAYSERİ</t>
  </si>
  <si>
    <t>61cd616dba5cfa68d10a028b</t>
  </si>
  <si>
    <t>Caribou Coffee, Talas (Yenidoğan Mah.)</t>
  </si>
  <si>
    <t>Güray Kallek</t>
  </si>
  <si>
    <t>ATATÜRK BULVARI NO:7A</t>
  </si>
  <si>
    <t>Premium</t>
  </si>
  <si>
    <t>61d6dd09d8299a7bbb7e3b50</t>
  </si>
  <si>
    <t>Usta Pideci, Melikgazi (Gesi Fatih Mah.)</t>
  </si>
  <si>
    <t>Gesi Fatih Mh. Gün Sazak Cad. No:65 M.no:107 Melikgazi/Kayseri</t>
  </si>
  <si>
    <t>Vanilin Tost, Talas (Mevlana Mah.)</t>
  </si>
  <si>
    <t>6198acf70aedac7f55569033</t>
  </si>
  <si>
    <t>Çiğköftem, Melikgazi (Anafartalar Mah.)</t>
  </si>
  <si>
    <t>Emre Akın</t>
  </si>
  <si>
    <t>Anafartalar Mahallesi Eren Yıldırım bulvarı34/B</t>
  </si>
  <si>
    <t>5fede73187a63b897032b206</t>
  </si>
  <si>
    <t>McDonald's, Melikgazi (Melikgazi Mah. Aşık Veysel Blv.)</t>
  </si>
  <si>
    <t>Mikayil Önal</t>
  </si>
  <si>
    <t>Melikgazi Mah. Aşıkveysel Bulvarı Talasyolu No:22 Melikgazi / Kayseri</t>
  </si>
  <si>
    <t>61828f09050d835809ea40f1</t>
  </si>
  <si>
    <t>Çiğköftem, Melikgazi (Osman Kavuncu Mah.)</t>
  </si>
  <si>
    <t>Tuna Çelik</t>
  </si>
  <si>
    <t>Osman Kavuncu Mah. Osman Kavuncu Bulvarı No: 207/C Melikgazi/Kayseri</t>
  </si>
  <si>
    <t>6185147dc0258b69550d7916</t>
  </si>
  <si>
    <t>Oses Çiğ Köfte, Kocasinan (Yeni Mah.)</t>
  </si>
  <si>
    <t>Veli Alın</t>
  </si>
  <si>
    <t>Yeni Mah 8. cad no 68A Taşdemir Apt Kocasinan Kayseri</t>
  </si>
  <si>
    <t>61b3e80e8f60041f22c4cdf9</t>
  </si>
  <si>
    <t>Öncü Döner, Talas (Bahçelievler Mah.)</t>
  </si>
  <si>
    <t>Hasan Kalkan</t>
  </si>
  <si>
    <t>Bahçelievler Mah atatürk Bulvarı AFM NewStar Sitesi 22 A Talas Kayseri</t>
  </si>
  <si>
    <t>61b8840c3e60712d1149e7e2</t>
  </si>
  <si>
    <t>Komagene Etsiz Çiğ Köfte, Kocasinan (Sancaktepe Mah.)</t>
  </si>
  <si>
    <t>SANCAKTEPE MAH. ERKİLET BLV. NO:456 E</t>
  </si>
  <si>
    <t>Nimet Ana Unlu Mamuller, Melikgazi (Hürriyet Mah.)</t>
  </si>
  <si>
    <t>Serince Çiğ Köfte, Talas (Kiçiköy Mah. - Atatürk Bul.)</t>
  </si>
  <si>
    <t>5fedd6c15118f15e828d50cd</t>
  </si>
  <si>
    <t>McDonald's, Melikgazi (Alpaslan Mah.)</t>
  </si>
  <si>
    <t>Sivas Cad. Alpasalan Mah/94-A 38030 KAYSERİ</t>
  </si>
  <si>
    <t>610aee88343ac37de0ab9830</t>
  </si>
  <si>
    <t>Komagene Etsiz Çiğ Köfte, Talas (Yenidoğan Mah.-Çimenli Cad.)</t>
  </si>
  <si>
    <t>YENIDOGAN MAH. ÇIMENLI CAD. 27 A</t>
  </si>
  <si>
    <t>MB Pizza &amp; Burger, Kocasinan (Beyazşehir Mah.)</t>
  </si>
  <si>
    <t>61d7e5d11a4d48e992b84b96</t>
  </si>
  <si>
    <t>Çiğköftem, Talas (Mevlana Mah.)</t>
  </si>
  <si>
    <t>YUNUS ÖZÜBERK</t>
  </si>
  <si>
    <t>MEVLANA MAH. ERMİŞ SOK. NO:3A TALAS KAYSERİ</t>
  </si>
  <si>
    <t>Rom, Melikgazi (Yıldırım Beyazıt Mah.)</t>
  </si>
  <si>
    <t>Antepeli Baklavaları, Talas (Mevlana Mah.)</t>
  </si>
  <si>
    <t>Mösyö Kokoreç &amp; Midye &amp; Köfte, Talas (Mevlana Mah.)</t>
  </si>
  <si>
    <t>Oses Helva &amp; Tatlı, Melikgazi (Anafartalar Mah.)</t>
  </si>
  <si>
    <t>61d6dc6ec62f495dc11f894d</t>
  </si>
  <si>
    <t>Sbarro Pizza, Melikgazi (Gesi Fatih Mah.)</t>
  </si>
  <si>
    <t>61d6df9473b56673b9220395</t>
  </si>
  <si>
    <t>Burger King, Melikgazi (Köşk Mah.)</t>
  </si>
  <si>
    <t>KÖŞK MAH. TALAS BLV. NO :65 MELİKGAZİ / KAYSERİ</t>
  </si>
  <si>
    <t>6218bc6a72f9113103b9d2a1</t>
  </si>
  <si>
    <t>EREN HİSARCIKLIOĞLU</t>
  </si>
  <si>
    <t>623050283f98e0e07b9705e1</t>
  </si>
  <si>
    <t>Paşa Döner (Gülük Mah.)</t>
  </si>
  <si>
    <t>Nurettin Gündoğdu</t>
  </si>
  <si>
    <t>Gülük Mah. Osman Kavuncu Blv. No:1/A Melikgazi/KAYSERİ</t>
  </si>
  <si>
    <t>6231f07008a1bb02ed588624</t>
  </si>
  <si>
    <t>Komagene Etsiz Çiğ Köfte, Kocasinan (Ertuğrul Gazi Mah-4340. Sk)</t>
  </si>
  <si>
    <t>ERTUĞRUL GAZİ MAH. 4340 SK. NO:19F</t>
  </si>
  <si>
    <t>Adıyaman Çiğköfte Yeri, Melikgazi (Keykubat Mah.)</t>
  </si>
  <si>
    <t>Keykubat Mah. Kule Cad. No:14/A Melikgazi/KAYSERİ</t>
  </si>
  <si>
    <t>Almina Döner &amp; Kahvaltı, Kocasinan (Sahabiye Mah.)</t>
  </si>
  <si>
    <t>Sahabiye Mah. Mete Cad. No:3 Kocasinan/KAYSERİ</t>
  </si>
  <si>
    <t>6238544b09aea17ca6ec1780</t>
  </si>
  <si>
    <t>Oses Çiğ Köfte, Melikgazi (Şirintepe Mah.)</t>
  </si>
  <si>
    <t>Nihat Can Öztürk</t>
  </si>
  <si>
    <t>Şirintepe Mah Lalecik sok no:1018 Melikgazi Kayseri</t>
  </si>
  <si>
    <t>624c3238325db196d3939a18</t>
  </si>
  <si>
    <t>Komagene Etsiz Çiğ Köfte, Kocasinan (Osmangazi Mah.- 4363. Cad.)</t>
  </si>
  <si>
    <t>OSMANGAZİ MAH. 4363. CAD. 1 A</t>
  </si>
  <si>
    <t>Rabia Boyraz</t>
  </si>
  <si>
    <t>620a437f9f40027865da01c6</t>
  </si>
  <si>
    <t>Maydonoz Döner (Mevlana Mah.)</t>
  </si>
  <si>
    <t>HALİM USLU</t>
  </si>
  <si>
    <t>Mevlana Mah.15 Temmuz Cad.No:18-E</t>
  </si>
  <si>
    <t>620bcc2b0a3e82c57f43b23b</t>
  </si>
  <si>
    <t>Oses Çiğ Köfte, Melikgazi (Yıldırım Beyazıt Mah.)</t>
  </si>
  <si>
    <t>Mustafa Celal Yelkenoğlu</t>
  </si>
  <si>
    <t>Yıldırım Beyazıt Mah Şenköşe Cad No 3/B Melikgazi Kayseri</t>
  </si>
  <si>
    <t>619642f6c52e2fead4d21d54</t>
  </si>
  <si>
    <t>Caribou Coffee, Melikgazi (Hunat Mah.)</t>
  </si>
  <si>
    <t>HUNAT MH SİVAS CADESİ FORUM KAYSERİ AVM ZEMİN KAT GFL 30</t>
  </si>
  <si>
    <t>Şehr-i Antep'ten, Melikgazi (Fatih Mah. - İldem)</t>
  </si>
  <si>
    <t>Ada Döner &amp; Sulu Yemek, Kocasinan (Hacı Saki Mah.)</t>
  </si>
  <si>
    <t>Ümit Usta Pide &amp; Lahmacun, Kocasinan (Gevhernesibe Mah.)</t>
  </si>
  <si>
    <t>60408b80a64e3304d14e06c6</t>
  </si>
  <si>
    <t>Starbucks®, Melikgazi (Hunat Mah.)</t>
  </si>
  <si>
    <t>Sertaç Yontan</t>
  </si>
  <si>
    <t>Yanıkoğlu Mahallesi, FORUM KAYSERİ AVM, GF Blok, Mağaza No: L01, Melikgazi, Kayseri</t>
  </si>
  <si>
    <t>605c74b95e7dede930a6a008</t>
  </si>
  <si>
    <t>Arby's, Kocasinan (Gevhernesibe Mah.)</t>
  </si>
  <si>
    <t>İstasyon Cad., No:4, Kocasinan, Kayseri, Türkiye, ALMER AVM</t>
  </si>
  <si>
    <t>605c937cbf03aa476f2fa337</t>
  </si>
  <si>
    <t>Burger King, Kocasinan (Gevhernesibe Mah.)</t>
  </si>
  <si>
    <t>GEVHER NESİBE MAH. İSTASYON CAD.NO: 3</t>
  </si>
  <si>
    <t>605c6bb33abb0672f9344311</t>
  </si>
  <si>
    <t>Usta Dönerci, Kocasinan (Gevhernesibe Mah.)</t>
  </si>
  <si>
    <t>Gevher Nesibe Mah. İstasyon Cad.No: 3</t>
  </si>
  <si>
    <t>60408c1bdc8b321363c3be70</t>
  </si>
  <si>
    <t>Starbucks®, Melikgazi (Alparslan Mah.)</t>
  </si>
  <si>
    <t>Alparslan Mah, Esref Bitlis Bulvari No: 10 Kayseri Park AVM (Bağımsız Bölüm No : 65) Kayseri 38250</t>
  </si>
  <si>
    <t>62163d94c3ac444e7f256e20</t>
  </si>
  <si>
    <t>Komagene Etsiz Çiğ Köfte, Beyşehir (Bahçelievler Mah.)</t>
  </si>
  <si>
    <t>BAHÇELİEVLER MAH. MEVLANA CD. B BLOK ZEMİN KAT NO:30</t>
  </si>
  <si>
    <t>622b31be4cab7745f040ab7d</t>
  </si>
  <si>
    <t>Oses Çiğ Köfte, Melikgazi (Büyük Menderes Cad.)</t>
  </si>
  <si>
    <t>Esenyurt Mah. Büyük Menderes Cad. N0:41/B Melikgazi/Kayseri</t>
  </si>
  <si>
    <t>6234736bf182f250c7319f29</t>
  </si>
  <si>
    <t>Burger King, Kocasinan (Oymaağaç Mah.)</t>
  </si>
  <si>
    <t>OYMAAĞAÇ MAH. 5062 CADDE NO 44 / 210 KUMSMOLL FACTORY AVM KOCASİNAN / KAYSERİ</t>
  </si>
  <si>
    <t>623475717fe3a07803be0758</t>
  </si>
  <si>
    <t>Popeyes, Kocasinan (Oymaağaç Mah.)</t>
  </si>
  <si>
    <t>622b543cfe2c56ac2907bfea</t>
  </si>
  <si>
    <t>Oses Çiğ Köfte, Melikgazi (Aydınlıkevler Mah.)</t>
  </si>
  <si>
    <t>Aydınlıkevler Mah Sokullu Cad no 7 B Melikgazi Kayseri</t>
  </si>
  <si>
    <t>623b139455130951169ea934</t>
  </si>
  <si>
    <t>Big Chefs, Koca Sinan (Hacı Saki Mah.)</t>
  </si>
  <si>
    <t>İhsan KIRKIZ</t>
  </si>
  <si>
    <t>Hacı Saki Mah.Kenarcık Sk. NO.2</t>
  </si>
  <si>
    <t>618d105b2b090e21a587e11a</t>
  </si>
  <si>
    <t>Pasaport Pizza, Talas (Mevlana Mah.)</t>
  </si>
  <si>
    <t>Tezcan Bayraktar</t>
  </si>
  <si>
    <t>MEVLANA MAH. HALEF HOCA CAD. TOPRAK SİTESİ 38/A TALAS KAYSERİ</t>
  </si>
  <si>
    <t>62405a439d8fa05f8e87239b</t>
  </si>
  <si>
    <t>Arby's, Talas (Mevlana Mah.)</t>
  </si>
  <si>
    <t>Mehmet Timuçin caddesi No :5 Mevlana mahallesi Talas Anayurt Kayseri</t>
  </si>
  <si>
    <t>6218e90de003bd62a055f78c</t>
  </si>
  <si>
    <t>Maydonoz Döner (Yenidoğan Mah.)</t>
  </si>
  <si>
    <t>Yenidoğan mahallesi Atatürk bulvarı no 11b</t>
  </si>
  <si>
    <t>6229b62e492e68c451ff1338</t>
  </si>
  <si>
    <t>Komagene Etsiz Çiğ Köfte, Kocasinan (Bozantı Cad.)</t>
  </si>
  <si>
    <t>MİMARSİNAN MAH. BOZANTI CD. NO :192A</t>
  </si>
  <si>
    <t>622b5d9a859ce01624382b70</t>
  </si>
  <si>
    <t>Oses Çiğ Köfte, Melikgazi (Alparslan Mah.-Farabi Cad.)</t>
  </si>
  <si>
    <t>Yunus Emre Aygün</t>
  </si>
  <si>
    <t>Alparslan mah. Farabi Cad. No:31/C</t>
  </si>
  <si>
    <t>622fdaf42707f2fcf8adc309</t>
  </si>
  <si>
    <t>Oses Çiğ Köfte, Kocasinan (İstasyon Cad.)</t>
  </si>
  <si>
    <t>Burhan Yurdagül</t>
  </si>
  <si>
    <t>Sahabiye Mah İstasyon Cad Kazlıoğlu İş Merkezi 10 A Kocasinan Kayseri</t>
  </si>
  <si>
    <t>6231e8e59230095b64721822</t>
  </si>
  <si>
    <t>Oses Çiğ Köfte, Kocasinan (Ertuğrul Gazi Mah.)</t>
  </si>
  <si>
    <t>ABDULKADİR ARSLAN</t>
  </si>
  <si>
    <t>Erkilet Mah Hakikat cad no 35 e Kocasinan Kayseri</t>
  </si>
  <si>
    <t>605c82f06fe616020ce13f2b</t>
  </si>
  <si>
    <t>Burger King, Alpaslan</t>
  </si>
  <si>
    <t>Alparslan mah Sivas bulvarı Kasseria avm</t>
  </si>
  <si>
    <t>624b2bfeb878564788de5b3f</t>
  </si>
  <si>
    <t>Oses Helva &amp; Tatlı, Melikgazi (Keykubat Mah.)</t>
  </si>
  <si>
    <t>624b30e4418aa70b3504edda</t>
  </si>
  <si>
    <t>Oses Helva &amp; Tatlı, Melikgazi (Keykubat Mah. - İsmail Erez Blv.)</t>
  </si>
  <si>
    <t>6012d976caa061d7e67eff81</t>
  </si>
  <si>
    <t>Tavuk Dünyası, Melikgazi (Mix Avm)</t>
  </si>
  <si>
    <t>Ekrem BALTACIOĞLU</t>
  </si>
  <si>
    <t>Alpaslan Mah Aşık Veysel Bulv. Mix AVM No: Z/22 Melikgazi - KAYSERİ</t>
  </si>
  <si>
    <t>6253e6b24ded9702e1801ff1</t>
  </si>
  <si>
    <t>Komagene Etsiz Çiğ Köfte, Kocasinan (Fevzi Çakmak Mah.)</t>
  </si>
  <si>
    <t>FEVZİ ÇAKMAK MAH. BOZANTI CAD. A BLOK NO: 96 B</t>
  </si>
  <si>
    <t>Oses Helva &amp; Tatlı, Melikgazi (Aydınlıkevler Mah.)</t>
  </si>
  <si>
    <t>6253e5e72636e18170c2ace8</t>
  </si>
  <si>
    <t>Komagene Etsiz Çiğ Köfte, Kocasinan (Yakut Mah. - Akmescit Cad.)</t>
  </si>
  <si>
    <t>YAKUT MAH. AKMESCİT CAD. 27/D</t>
  </si>
  <si>
    <t>625804ea6d88ac7c78801ade</t>
  </si>
  <si>
    <t>Ufuk Pide, Talas (Mevlana Mah.)</t>
  </si>
  <si>
    <t>623abbcad5e74b62ec763983</t>
  </si>
  <si>
    <t>Usta Dönerci, Melikgazi (Hunat Mah.)</t>
  </si>
  <si>
    <t>Hunat, Sivas Blv. 24/1, Melikgazi/Kayseri</t>
  </si>
  <si>
    <t>624058e1357ab734f4d4e429</t>
  </si>
  <si>
    <t>Popeyes, Talas (Mevlana Mah.)</t>
  </si>
  <si>
    <t>623b6fa5afcd61ea8015d5af</t>
  </si>
  <si>
    <t>Oses Helva &amp; Tatlı, Melikgazi (Alpaslan Mah.)</t>
  </si>
  <si>
    <t>60b792873538c11d527b025d</t>
  </si>
  <si>
    <t>Usta Dönerci, Melikgazi (Eşref Bitlis Bulv.)</t>
  </si>
  <si>
    <t>PARK ALIŞVERİŞ MERKEZİ ALPASLAN MAH.EŞREF BİTLİS BULVARI K : 3 NO : 130/131-132 MELİKGAZİ</t>
  </si>
  <si>
    <t>Özlü Kebab, Melikgazi (Anbar Mah.)</t>
  </si>
  <si>
    <t>605ca403e81f5b44e8858e95</t>
  </si>
  <si>
    <t>Usta Dönerci, Melikgazi (Alpaslan Mah.)</t>
  </si>
  <si>
    <t>MELİKGAZİ MAH. SİVAS BULV. NO:182/208</t>
  </si>
  <si>
    <t>625d54a37d940a1114241e99</t>
  </si>
  <si>
    <t>Hot Döner, Kocasinan (Gevhernesibe Mah.)</t>
  </si>
  <si>
    <t>NECİP MERT</t>
  </si>
  <si>
    <t>GEVHER NESİBE MAHALLESİ İSTASYON CADDESİ NO 5 B KOCASİNAN KAYSERİ</t>
  </si>
  <si>
    <t>604090ff80f49a046d8b3698</t>
  </si>
  <si>
    <t>Starbucks®, Melikgazi (Melikgazi Mah.)</t>
  </si>
  <si>
    <t>Melikgazi Mah.Asik Veysel Bulvari NO: 22 Zemin Kat Bagimsiz Bolum No: 3 Melikgazi Kayseri</t>
  </si>
  <si>
    <t>605c7bbe65ce68cd6caa64a4</t>
  </si>
  <si>
    <t>Arby's, Melikgazi (Alpaslan Mah.)</t>
  </si>
  <si>
    <t>Org. Eşref Bitlis Blv., Melikgazi, Kayseri, Türkiye,</t>
  </si>
  <si>
    <t>605c6b64ad0bbdba075abc24</t>
  </si>
  <si>
    <t>Burger King, Melikgazi (Alpaslan Mah. - İpeksaray)</t>
  </si>
  <si>
    <t>SİVAS BULVARI NO:182/206 MELİKGAZİ/KAYSERİ</t>
  </si>
  <si>
    <t>60700d4ff92bec92526114ac</t>
  </si>
  <si>
    <t>Arby's, Melikgazi (Hunat Mah.-Kayseri Forum Avm)</t>
  </si>
  <si>
    <t>Hunat Mahallesi Sivas Bulvarı No:24/A</t>
  </si>
  <si>
    <t>Neva-le Çiğ Köfte, Talas (Yenidoğan Mah.)</t>
  </si>
  <si>
    <t>Yenidoğan Mah. Timuçin Cad. No:14 C Talas Kayseri</t>
  </si>
  <si>
    <t>Veranda Restaurant, Kocasinan (Hacı Saki Mah.)</t>
  </si>
  <si>
    <t>620bc88e914ac70487b54d3d</t>
  </si>
  <si>
    <t>Oses Çiğ Köfte, Talas (Anayurt Mah.)</t>
  </si>
  <si>
    <t>Mevlana Mah Tamer Cad 7/C Talas Kayseri</t>
  </si>
  <si>
    <t>Doy mix İskenderun Döner, Kocasinan (Erkilet Ertuğrul Gazi Mah.)</t>
  </si>
  <si>
    <t>Anayurt4 Köşk Kebap, Kocasinan (Yunus Emre Mah.)</t>
  </si>
  <si>
    <t>Helvacı Yakub Efendi, Melikgazi (Aydınlıkevler Mah.)</t>
  </si>
  <si>
    <t>Aydınlıkevler Mah. Namık Kemal Cad. No:1/B Melikgazi/KAYSERİ</t>
  </si>
  <si>
    <t>624b289339c7283f3b2cf91b</t>
  </si>
  <si>
    <t>Oses Helva &amp; Tatlı, Talas (Mevlana Mah.-Batuhan Sok.)</t>
  </si>
  <si>
    <t>Mevlana Mah., Batuhan Sok., No: 18-E, Talas, Kayseri</t>
  </si>
  <si>
    <t>Güneyce Çiğ Köfte, Kocasinan (Ziya Gökalp Mah.)</t>
  </si>
  <si>
    <t>Kumsall Fast Food, Talas (Yenidoğan Mah.)</t>
  </si>
  <si>
    <t>Yenidoğan Mah. Timuçin Cad. No:14/C Talas/KAYSERİ</t>
  </si>
  <si>
    <t>So Fire House Burger, Talas (Mevlana Mah.)</t>
  </si>
  <si>
    <t>6218b9c10cf8604b4e35b097</t>
  </si>
  <si>
    <t>Waffle Love &amp; Pankek, Talas (Mevlana Mah.)</t>
  </si>
  <si>
    <t>Serince Çiğ Köfte, Melikgazi (Köşk Mah.)</t>
  </si>
  <si>
    <t>Mimarsinan mah.Billur cad.Akyol ap.86-A</t>
  </si>
  <si>
    <t>61055d12eefc8f0230046e28</t>
  </si>
  <si>
    <t>Dürümle (Alpaslan Mah.- Kayseri Park)</t>
  </si>
  <si>
    <t>AYKUT ARSLAN</t>
  </si>
  <si>
    <t>Alpaslan Mh. Orgeneral Eşref Bitlis Blv. No:10 Melikgazi/KAYSERİ</t>
  </si>
  <si>
    <t>624bfa25ab0c32529b29ad22</t>
  </si>
  <si>
    <t>Koç Izgara, Melikgazi (Yeşilyurt Mah. - İldem)</t>
  </si>
  <si>
    <t>624df38b7e77b9a1833237c2</t>
  </si>
  <si>
    <t>Oses Helva &amp; Tatlı, Kocasinan (Yakut Mah.)</t>
  </si>
  <si>
    <t>Yakut Mah., Elisevenler Cad., Doğa Sit., No:4/D, Kocasinan, Kayseri</t>
  </si>
  <si>
    <t>Oses Helva &amp; Tatlı, Melikgazi (Cumhuriyet Mah.)</t>
  </si>
  <si>
    <t>MB Waffle, Kocasinan (Beyazşehir Mah.)</t>
  </si>
  <si>
    <t>Gül Değirmenci</t>
  </si>
  <si>
    <t>Lokasyon Uzak</t>
  </si>
  <si>
    <t>Haziran'da Aranacak</t>
  </si>
  <si>
    <t>Ayfer Altın</t>
  </si>
  <si>
    <t>Personel Eksik</t>
  </si>
  <si>
    <t>Damla Kılcı</t>
  </si>
  <si>
    <t>Özlem arslan</t>
  </si>
  <si>
    <t>Beyza gülşah</t>
  </si>
  <si>
    <t>Tuğba Buyur</t>
  </si>
  <si>
    <t>Kadriye Polat</t>
  </si>
  <si>
    <t>Şükriye Demir</t>
  </si>
  <si>
    <t>Yılbaşından Sonra Aranacak</t>
  </si>
  <si>
    <t>Ece Bayındır</t>
  </si>
  <si>
    <t>Şura Özcan</t>
  </si>
  <si>
    <t>Emel Yılmaz</t>
  </si>
  <si>
    <t>Ecem Ersöz</t>
  </si>
  <si>
    <t>Livanur Elibol</t>
  </si>
  <si>
    <t>Eda Cıbır</t>
  </si>
  <si>
    <t>Meryem Yalabık</t>
  </si>
  <si>
    <t>Serenay Yalabık</t>
  </si>
  <si>
    <t>Randevu Alınabilir</t>
  </si>
  <si>
    <t>Fotoğrafları Yok - Randevu Alınabilir</t>
  </si>
  <si>
    <t>Fotoğrafları Gönderecek</t>
  </si>
  <si>
    <t>COUNTA / Restaurant ID</t>
  </si>
  <si>
    <t>Genel Toplam</t>
  </si>
  <si>
    <t>Tarih</t>
  </si>
  <si>
    <t>Başarılı Randevu</t>
  </si>
  <si>
    <t>İptal Randevu</t>
  </si>
  <si>
    <t>Top. Rest</t>
  </si>
  <si>
    <t>Fotoğraflandırılan Top. Ürün</t>
  </si>
  <si>
    <t>Fotoğraflandırılan Ort. Ürün</t>
  </si>
  <si>
    <t>toplam rest</t>
  </si>
  <si>
    <t>Fotoğraflı</t>
  </si>
  <si>
    <t>fotoğraflı</t>
  </si>
  <si>
    <t>%</t>
  </si>
  <si>
    <t>Ürün Adet</t>
  </si>
  <si>
    <t>0-25</t>
  </si>
  <si>
    <t>25+</t>
  </si>
  <si>
    <t>İptal Oranı</t>
  </si>
  <si>
    <t>0-20%</t>
  </si>
  <si>
    <t>21-50%</t>
  </si>
  <si>
    <t>51-80%</t>
  </si>
  <si>
    <t>&gt;80%</t>
  </si>
  <si>
    <t>COUNTA / İLÇE</t>
  </si>
  <si>
    <t>Ramazandan Sonra Randevu Istiyor</t>
  </si>
  <si>
    <t>Fotoğrafı Var</t>
  </si>
  <si>
    <t>TOPLAM</t>
  </si>
  <si>
    <t>Randevu Başarı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</si>
</sst>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yyyy"/>
    <numFmt numFmtId="166" formatCode="dd/mm/yyyy"/>
    <numFmt numFmtId="167" formatCode="hh:mm"/>
    <numFmt numFmtId="168" formatCode="d mmmm"/>
    <numFmt numFmtId="169" formatCode="d&quot;/&quot;m&quot;/&quot;yy"/>
    <numFmt numFmtId="170" formatCode="d.m.yy"/>
  </numFmts>
  <fonts count="53">
    <font>
      <sz val="10.0"/>
      <color rgb="FF000000"/>
      <name val="Arial"/>
      <scheme val="minor"/>
    </font>
    <font>
      <b/>
      <sz val="10.0"/>
      <color rgb="FF000000"/>
      <name val="Arial"/>
      <scheme val="minor"/>
    </font>
    <font>
      <b/>
      <color theme="1"/>
      <name val="Arial"/>
    </font>
    <font>
      <sz val="9.0"/>
      <color rgb="FF000000"/>
      <name val="Arial"/>
    </font>
    <font>
      <color rgb="FF000000"/>
      <name val="Arial"/>
      <scheme val="minor"/>
    </font>
    <font>
      <color theme="1"/>
      <name val="Arial"/>
    </font>
    <font>
      <sz val="11.0"/>
      <color rgb="FF000000"/>
      <name val="Calibri"/>
    </font>
    <font>
      <color rgb="FF000000"/>
      <name val="Arial"/>
    </font>
    <font>
      <color theme="1"/>
      <name val="Arial"/>
      <scheme val="minor"/>
    </font>
    <font>
      <sz val="10.0"/>
      <color rgb="FF262626"/>
      <name val="Arial"/>
    </font>
    <font>
      <b/>
      <color rgb="FFFFFFFF"/>
      <name val="Arial"/>
    </font>
    <font>
      <color rgb="FFFFFFFF"/>
      <name val="Arial"/>
      <scheme val="minor"/>
    </font>
    <font>
      <b/>
      <sz val="11.0"/>
      <color rgb="FF000000"/>
      <name val="Arial"/>
    </font>
    <font/>
    <font>
      <b/>
      <color rgb="FF000000"/>
      <name val="Arial"/>
    </font>
    <font>
      <b/>
      <sz val="9.0"/>
      <color rgb="FF000000"/>
      <name val="Arial"/>
    </font>
    <font>
      <b/>
      <sz val="12.0"/>
      <color theme="1"/>
      <name val="Caveat"/>
    </font>
    <font>
      <sz val="24.0"/>
      <color rgb="FF000000"/>
      <name val="Caveat"/>
    </font>
    <font>
      <b/>
      <color theme="1"/>
      <name val="Arial"/>
      <scheme val="minor"/>
    </font>
    <font>
      <b/>
      <sz val="9.0"/>
      <color theme="1"/>
      <name val="Arial"/>
    </font>
    <font>
      <b/>
      <sz val="24.0"/>
      <color rgb="FF000000"/>
      <name val="Caveat"/>
    </font>
    <font>
      <b/>
      <sz val="11.0"/>
      <color theme="1"/>
      <name val="Arial"/>
    </font>
    <font>
      <color rgb="FF000000"/>
      <name val="Roboto"/>
    </font>
    <font>
      <b/>
      <sz val="18.0"/>
      <color rgb="FF000000"/>
      <name val="Caveat"/>
    </font>
    <font>
      <sz val="9.0"/>
      <color rgb="FF000000"/>
      <name val="Arial"/>
      <scheme val="minor"/>
    </font>
    <font>
      <sz val="9.0"/>
      <color theme="1"/>
      <name val="Arial"/>
    </font>
    <font>
      <sz val="10.0"/>
      <color theme="1"/>
      <name val="Arial"/>
    </font>
    <font>
      <sz val="11.0"/>
      <color rgb="FF000000"/>
      <name val="Arial"/>
    </font>
    <font>
      <i/>
      <sz val="11.0"/>
      <color rgb="FF3C4043"/>
      <name val="Roboto"/>
    </font>
    <font>
      <sz val="11.0"/>
      <color theme="1"/>
      <name val="Arial"/>
    </font>
    <font>
      <sz val="24.0"/>
      <color theme="1"/>
      <name val="Caveat"/>
    </font>
    <font>
      <b/>
      <i/>
      <sz val="9.0"/>
      <color rgb="FF000000"/>
      <name val="Arial"/>
    </font>
    <font>
      <b/>
      <sz val="11.0"/>
      <color rgb="FF000000"/>
      <name val="Calibri"/>
    </font>
    <font>
      <b/>
      <color rgb="FF5D3EBE"/>
      <name val="Slack-Lato"/>
    </font>
    <font>
      <b/>
      <color rgb="FF5D3EBE"/>
      <name val="Arial"/>
    </font>
    <font>
      <b/>
      <sz val="11.0"/>
      <color rgb="FF5D3EBE"/>
      <name val="Arial"/>
    </font>
    <font>
      <b/>
      <sz val="11.0"/>
      <color rgb="FF5D3EBE"/>
      <name val="Slack-Lato"/>
    </font>
    <font>
      <b/>
      <sz val="11.0"/>
      <color rgb="FFFFD10D"/>
      <name val="&quot;Calibri Light&quot;"/>
    </font>
    <font>
      <color rgb="FFFFD20B"/>
      <name val="&quot;Avenir Book&quot;"/>
    </font>
    <font>
      <b/>
      <color theme="1"/>
      <name val="&quot;Avenir Book&quot;"/>
    </font>
    <font>
      <b/>
      <sz val="11.0"/>
      <color rgb="FFFFD10D"/>
      <name val="Arial"/>
    </font>
    <font>
      <color rgb="FF5D3EBE"/>
      <name val="Arial"/>
    </font>
    <font>
      <b/>
      <color rgb="FF5C3DBD"/>
      <name val="&quot;Avenir Book&quot;"/>
    </font>
    <font>
      <color rgb="FF5D3EBE"/>
      <name val="Arial"/>
      <scheme val="minor"/>
    </font>
    <font>
      <b/>
      <color rgb="FFFFD20B"/>
      <name val="&quot;Avenir Book&quot;"/>
    </font>
    <font>
      <b/>
      <color rgb="FF5D3EBC"/>
      <name val="Arial"/>
      <scheme val="minor"/>
    </font>
    <font>
      <color rgb="FF5C3DBD"/>
      <name val="&quot;Avenir Book&quot;"/>
    </font>
    <font>
      <color theme="1"/>
      <name val="&quot;Avenir Book&quot;"/>
    </font>
    <font>
      <color rgb="FFFFD10D"/>
      <name val="Arial"/>
      <scheme val="minor"/>
    </font>
    <font>
      <sz val="9.0"/>
      <color rgb="FF5C3DBD"/>
      <name val="&quot;Avenir Book&quot;"/>
    </font>
    <font>
      <b/>
      <color rgb="FF5D3EBE"/>
      <name val="Arial"/>
      <scheme val="minor"/>
    </font>
    <font>
      <b/>
      <color rgb="FF5D3EBC"/>
      <name val="Arial"/>
    </font>
    <font>
      <color rgb="FFFFD10D"/>
      <name val="Arial"/>
    </font>
  </fonts>
  <fills count="22">
    <fill>
      <patternFill patternType="none"/>
    </fill>
    <fill>
      <patternFill patternType="lightGray"/>
    </fill>
    <fill>
      <patternFill patternType="solid">
        <fgColor rgb="FFCCCCCC"/>
        <bgColor rgb="FFCCCCCC"/>
      </patternFill>
    </fill>
    <fill>
      <patternFill patternType="solid">
        <fgColor rgb="FFFF0000"/>
        <bgColor rgb="FFFF0000"/>
      </patternFill>
    </fill>
    <fill>
      <patternFill patternType="solid">
        <fgColor rgb="FFD9D9D9"/>
        <bgColor rgb="FFD9D9D9"/>
      </patternFill>
    </fill>
    <fill>
      <patternFill patternType="solid">
        <fgColor rgb="FFFFFFFF"/>
        <bgColor rgb="FFFFFFFF"/>
      </patternFill>
    </fill>
    <fill>
      <patternFill patternType="solid">
        <fgColor rgb="FFFAFAFA"/>
        <bgColor rgb="FFFAFAFA"/>
      </patternFill>
    </fill>
    <fill>
      <patternFill patternType="solid">
        <fgColor rgb="FF0B5394"/>
        <bgColor rgb="FF0B5394"/>
      </patternFill>
    </fill>
    <fill>
      <patternFill patternType="solid">
        <fgColor rgb="FFA2C4C9"/>
        <bgColor rgb="FFA2C4C9"/>
      </patternFill>
    </fill>
    <fill>
      <patternFill patternType="solid">
        <fgColor rgb="FFD9D2E9"/>
        <bgColor rgb="FFD9D2E9"/>
      </patternFill>
    </fill>
    <fill>
      <patternFill patternType="solid">
        <fgColor theme="5"/>
        <bgColor theme="5"/>
      </patternFill>
    </fill>
    <fill>
      <patternFill patternType="solid">
        <fgColor theme="0"/>
        <bgColor theme="0"/>
      </patternFill>
    </fill>
    <fill>
      <patternFill patternType="solid">
        <fgColor rgb="FF00FF00"/>
        <bgColor rgb="FF00FF00"/>
      </patternFill>
    </fill>
    <fill>
      <patternFill patternType="solid">
        <fgColor rgb="FFFFFF00"/>
        <bgColor rgb="FFFFFF00"/>
      </patternFill>
    </fill>
    <fill>
      <patternFill patternType="solid">
        <fgColor rgb="FFF3F3F3"/>
        <bgColor rgb="FFF3F3F3"/>
      </patternFill>
    </fill>
    <fill>
      <patternFill patternType="solid">
        <fgColor rgb="FFFFD10C"/>
        <bgColor rgb="FFFFD10C"/>
      </patternFill>
    </fill>
    <fill>
      <patternFill patternType="solid">
        <fgColor rgb="FF5D3EBC"/>
        <bgColor rgb="FF5D3EBC"/>
      </patternFill>
    </fill>
    <fill>
      <patternFill patternType="solid">
        <fgColor rgb="FF5C3DBD"/>
        <bgColor rgb="FF5C3DBD"/>
      </patternFill>
    </fill>
    <fill>
      <patternFill patternType="solid">
        <fgColor rgb="FFFFF5AB"/>
        <bgColor rgb="FFFFF5AB"/>
      </patternFill>
    </fill>
    <fill>
      <patternFill patternType="solid">
        <fgColor rgb="FFEFEFEF"/>
        <bgColor rgb="FFEFEFEF"/>
      </patternFill>
    </fill>
    <fill>
      <patternFill patternType="solid">
        <fgColor rgb="FFFFD10D"/>
        <bgColor rgb="FFFFD10D"/>
      </patternFill>
    </fill>
    <fill>
      <patternFill patternType="solid">
        <fgColor rgb="FFFFD20B"/>
        <bgColor rgb="FFFFD20B"/>
      </patternFill>
    </fill>
  </fills>
  <borders count="16">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border>
    <border>
      <right/>
      <top style="thin">
        <color rgb="FF000000"/>
      </top>
      <bottom style="thin">
        <color rgb="FF000000"/>
      </bottom>
    </border>
  </borders>
  <cellStyleXfs count="1">
    <xf borderId="0" fillId="0" fontId="0" numFmtId="0" applyAlignment="1" applyFont="1"/>
  </cellStyleXfs>
  <cellXfs count="359">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horizontal="center" readingOrder="0" vertical="center"/>
    </xf>
    <xf borderId="0" fillId="2" fontId="1" numFmtId="3" xfId="0" applyAlignment="1" applyFont="1" applyNumberFormat="1">
      <alignment horizontal="center" vertical="center"/>
    </xf>
    <xf borderId="0" fillId="2" fontId="1" numFmtId="9" xfId="0" applyAlignment="1" applyFont="1" applyNumberFormat="1">
      <alignment horizontal="center" vertical="center"/>
    </xf>
    <xf borderId="0" fillId="3" fontId="1" numFmtId="0" xfId="0" applyAlignment="1" applyFill="1" applyFont="1">
      <alignment horizontal="center" readingOrder="0" vertical="center"/>
    </xf>
    <xf borderId="0" fillId="4" fontId="1" numFmtId="0" xfId="0" applyAlignment="1" applyFill="1" applyFont="1">
      <alignment horizontal="center" readingOrder="0" vertical="center"/>
    </xf>
    <xf borderId="0" fillId="4" fontId="1" numFmtId="0" xfId="0" applyAlignment="1" applyFont="1">
      <alignment horizontal="center" vertical="center"/>
    </xf>
    <xf borderId="0" fillId="4" fontId="1" numFmtId="164" xfId="0" applyAlignment="1" applyFont="1" applyNumberFormat="1">
      <alignment horizontal="center" vertical="center"/>
    </xf>
    <xf borderId="0" fillId="4" fontId="2" numFmtId="0" xfId="0" applyAlignment="1" applyFont="1">
      <alignment horizontal="center" readingOrder="0"/>
    </xf>
    <xf borderId="0" fillId="4" fontId="2" numFmtId="0" xfId="0" applyAlignment="1" applyFont="1">
      <alignment horizontal="center"/>
    </xf>
    <xf borderId="0" fillId="0" fontId="3" numFmtId="0" xfId="0" applyAlignment="1" applyFont="1">
      <alignment horizontal="left" readingOrder="0" shrinkToFit="0" vertical="top" wrapText="0"/>
    </xf>
    <xf borderId="0" fillId="0" fontId="3" numFmtId="9" xfId="0" applyAlignment="1" applyFont="1" applyNumberFormat="1">
      <alignment horizontal="left" readingOrder="0" shrinkToFit="0" vertical="top" wrapText="0"/>
    </xf>
    <xf borderId="0" fillId="0" fontId="4" numFmtId="0" xfId="0" applyAlignment="1" applyFont="1">
      <alignment readingOrder="0"/>
    </xf>
    <xf borderId="0" fillId="0" fontId="0" numFmtId="0" xfId="0" applyAlignment="1" applyFont="1">
      <alignment readingOrder="0"/>
    </xf>
    <xf borderId="0" fillId="0" fontId="0" numFmtId="0" xfId="0" applyFont="1"/>
    <xf borderId="1" fillId="0" fontId="0" numFmtId="0" xfId="0" applyAlignment="1" applyBorder="1" applyFont="1">
      <alignment readingOrder="0"/>
    </xf>
    <xf borderId="0" fillId="0" fontId="0" numFmtId="164" xfId="0" applyFont="1" applyNumberFormat="1"/>
    <xf borderId="0" fillId="0" fontId="5" numFmtId="164" xfId="0" applyAlignment="1" applyFont="1" applyNumberFormat="1">
      <alignment vertical="bottom"/>
    </xf>
    <xf borderId="0" fillId="0" fontId="5" numFmtId="0" xfId="0" applyAlignment="1" applyFont="1">
      <alignment readingOrder="0" vertical="bottom"/>
    </xf>
    <xf borderId="0" fillId="0" fontId="5" numFmtId="164" xfId="0" applyAlignment="1" applyFont="1" applyNumberFormat="1">
      <alignment readingOrder="0" vertical="bottom"/>
    </xf>
    <xf borderId="0" fillId="0" fontId="5" numFmtId="0" xfId="0" applyAlignment="1" applyFont="1">
      <alignment vertical="bottom"/>
    </xf>
    <xf borderId="0" fillId="0" fontId="6" numFmtId="0" xfId="0" applyAlignment="1" applyFont="1">
      <alignment readingOrder="0" shrinkToFit="0" vertical="bottom" wrapText="0"/>
    </xf>
    <xf borderId="0" fillId="0" fontId="2" numFmtId="0" xfId="0" applyAlignment="1" applyFont="1">
      <alignment readingOrder="0" vertical="bottom"/>
    </xf>
    <xf borderId="0" fillId="0" fontId="0" numFmtId="164" xfId="0" applyAlignment="1" applyFont="1" applyNumberFormat="1">
      <alignment readingOrder="0"/>
    </xf>
    <xf borderId="0" fillId="0" fontId="0" numFmtId="0" xfId="0" applyAlignment="1" applyFont="1">
      <alignment readingOrder="0" vertical="bottom"/>
    </xf>
    <xf borderId="0" fillId="0" fontId="0" numFmtId="0" xfId="0" applyAlignment="1" applyFont="1">
      <alignment vertical="bottom"/>
    </xf>
    <xf borderId="0" fillId="0" fontId="0" numFmtId="164" xfId="0" applyAlignment="1" applyFont="1" applyNumberFormat="1">
      <alignment vertical="bottom"/>
    </xf>
    <xf borderId="2" fillId="0" fontId="0" numFmtId="0" xfId="0" applyAlignment="1" applyBorder="1" applyFont="1">
      <alignment readingOrder="0" vertical="bottom"/>
    </xf>
    <xf borderId="1" fillId="0" fontId="5" numFmtId="0" xfId="0" applyAlignment="1" applyBorder="1" applyFont="1">
      <alignment readingOrder="0" vertical="bottom"/>
    </xf>
    <xf borderId="0" fillId="0" fontId="2" numFmtId="0" xfId="0" applyAlignment="1" applyFont="1">
      <alignment vertical="bottom"/>
    </xf>
    <xf borderId="2" fillId="0" fontId="0" numFmtId="0" xfId="0" applyAlignment="1" applyBorder="1" applyFont="1">
      <alignment readingOrder="0"/>
    </xf>
    <xf borderId="0" fillId="0" fontId="3" numFmtId="0" xfId="0" applyAlignment="1" applyFont="1">
      <alignment horizontal="left" shrinkToFit="0" vertical="top" wrapText="0"/>
    </xf>
    <xf borderId="2" fillId="0" fontId="2" numFmtId="0" xfId="0" applyAlignment="1" applyBorder="1" applyFont="1">
      <alignment vertical="bottom"/>
    </xf>
    <xf borderId="0" fillId="0" fontId="0" numFmtId="164" xfId="0" applyAlignment="1" applyFont="1" applyNumberFormat="1">
      <alignment readingOrder="0" vertical="bottom"/>
    </xf>
    <xf borderId="1" fillId="0" fontId="2" numFmtId="0" xfId="0" applyAlignment="1" applyBorder="1" applyFont="1">
      <alignment vertical="bottom"/>
    </xf>
    <xf borderId="0" fillId="5" fontId="7" numFmtId="0" xfId="0" applyAlignment="1" applyFill="1" applyFont="1">
      <alignment horizontal="left" readingOrder="0"/>
    </xf>
    <xf borderId="1" fillId="0" fontId="0" numFmtId="0" xfId="0" applyBorder="1" applyFont="1"/>
    <xf borderId="1" fillId="0" fontId="2" numFmtId="0" xfId="0" applyAlignment="1" applyBorder="1" applyFont="1">
      <alignment readingOrder="0" vertical="bottom"/>
    </xf>
    <xf borderId="2" fillId="0" fontId="2" numFmtId="0" xfId="0" applyAlignment="1" applyBorder="1" applyFont="1">
      <alignment readingOrder="0" vertical="bottom"/>
    </xf>
    <xf borderId="2" fillId="0" fontId="0" numFmtId="0" xfId="0" applyBorder="1" applyFont="1"/>
    <xf borderId="0" fillId="0" fontId="8" numFmtId="0" xfId="0" applyAlignment="1" applyFont="1">
      <alignment readingOrder="0"/>
    </xf>
    <xf borderId="2" fillId="0" fontId="5" numFmtId="0" xfId="0" applyAlignment="1" applyBorder="1" applyFont="1">
      <alignment readingOrder="0" vertical="bottom"/>
    </xf>
    <xf borderId="0" fillId="0" fontId="7" numFmtId="0" xfId="0" applyAlignment="1" applyFont="1">
      <alignment readingOrder="0" vertical="bottom"/>
    </xf>
    <xf borderId="0" fillId="6" fontId="9" numFmtId="0" xfId="0" applyAlignment="1" applyFill="1" applyFont="1">
      <alignment readingOrder="0"/>
    </xf>
    <xf borderId="0" fillId="0" fontId="0" numFmtId="165" xfId="0" applyAlignment="1" applyFont="1" applyNumberFormat="1">
      <alignment readingOrder="0"/>
    </xf>
    <xf borderId="1" fillId="0" fontId="0" numFmtId="0" xfId="0" applyAlignment="1" applyBorder="1" applyFont="1">
      <alignment readingOrder="0" vertical="bottom"/>
    </xf>
    <xf borderId="0" fillId="0" fontId="5" numFmtId="166" xfId="0" applyAlignment="1" applyFont="1" applyNumberFormat="1">
      <alignment vertical="bottom"/>
    </xf>
    <xf borderId="0" fillId="0" fontId="5" numFmtId="165" xfId="0" applyAlignment="1" applyFont="1" applyNumberFormat="1">
      <alignment readingOrder="0" vertical="bottom"/>
    </xf>
    <xf borderId="0" fillId="0" fontId="7" numFmtId="0" xfId="0" applyAlignment="1" applyFont="1">
      <alignment vertical="bottom"/>
    </xf>
    <xf borderId="0" fillId="5" fontId="7" numFmtId="0" xfId="0" applyAlignment="1" applyFont="1">
      <alignment readingOrder="0" shrinkToFit="0" vertical="bottom" wrapText="0"/>
    </xf>
    <xf borderId="0" fillId="0" fontId="0" numFmtId="1" xfId="0" applyAlignment="1" applyFont="1" applyNumberFormat="1">
      <alignment readingOrder="0"/>
    </xf>
    <xf borderId="1" fillId="7" fontId="10" numFmtId="0" xfId="0" applyAlignment="1" applyBorder="1" applyFill="1" applyFont="1">
      <alignment horizontal="center" readingOrder="0" vertical="bottom"/>
    </xf>
    <xf borderId="1" fillId="7" fontId="10" numFmtId="0" xfId="0" applyAlignment="1" applyBorder="1" applyFont="1">
      <alignment horizontal="center" vertical="bottom"/>
    </xf>
    <xf borderId="1" fillId="7" fontId="10" numFmtId="49" xfId="0" applyAlignment="1" applyBorder="1" applyFont="1" applyNumberFormat="1">
      <alignment horizontal="center" vertical="bottom"/>
    </xf>
    <xf borderId="1" fillId="7" fontId="10" numFmtId="0" xfId="0" applyAlignment="1" applyBorder="1" applyFont="1">
      <alignment horizontal="left" vertical="bottom"/>
    </xf>
    <xf borderId="1" fillId="7" fontId="10" numFmtId="0" xfId="0" applyAlignment="1" applyBorder="1" applyFont="1">
      <alignment horizontal="center" shrinkToFit="0" vertical="bottom" wrapText="1"/>
    </xf>
    <xf borderId="1" fillId="0" fontId="11" numFmtId="0" xfId="0" applyBorder="1" applyFont="1"/>
    <xf borderId="1" fillId="8" fontId="12" numFmtId="165" xfId="0" applyAlignment="1" applyBorder="1" applyFill="1" applyFont="1" applyNumberFormat="1">
      <alignment horizontal="center" readingOrder="0" shrinkToFit="0" vertical="bottom" wrapText="1"/>
    </xf>
    <xf borderId="1" fillId="0" fontId="7" numFmtId="0" xfId="0" applyAlignment="1" applyBorder="1" applyFont="1">
      <alignment vertical="bottom"/>
    </xf>
    <xf borderId="3" fillId="0" fontId="7" numFmtId="0" xfId="0" applyAlignment="1" applyBorder="1" applyFont="1">
      <alignment vertical="bottom"/>
    </xf>
    <xf borderId="4" fillId="0" fontId="13" numFmtId="0" xfId="0" applyBorder="1" applyFont="1"/>
    <xf borderId="5" fillId="0" fontId="13" numFmtId="0" xfId="0" applyBorder="1" applyFont="1"/>
    <xf borderId="1" fillId="0" fontId="4" numFmtId="0" xfId="0" applyBorder="1" applyFont="1"/>
    <xf borderId="6" fillId="9" fontId="14" numFmtId="0" xfId="0" applyAlignment="1" applyBorder="1" applyFill="1" applyFont="1">
      <alignment horizontal="center" readingOrder="0" vertical="center"/>
    </xf>
    <xf borderId="1" fillId="0" fontId="7" numFmtId="0" xfId="0" applyAlignment="1" applyBorder="1" applyFont="1">
      <alignment readingOrder="0" vertical="bottom"/>
    </xf>
    <xf borderId="1" fillId="0" fontId="8" numFmtId="0" xfId="0" applyBorder="1" applyFont="1"/>
    <xf borderId="1" fillId="0" fontId="8" numFmtId="0" xfId="0" applyAlignment="1" applyBorder="1" applyFont="1">
      <alignment horizontal="center"/>
    </xf>
    <xf borderId="1" fillId="0" fontId="8" numFmtId="0" xfId="0" applyAlignment="1" applyBorder="1" applyFont="1">
      <alignment horizontal="left"/>
    </xf>
    <xf borderId="7" fillId="0" fontId="13" numFmtId="0" xfId="0" applyBorder="1" applyFont="1"/>
    <xf borderId="1" fillId="0" fontId="5" numFmtId="0" xfId="0" applyAlignment="1" applyBorder="1" applyFont="1">
      <alignment vertical="bottom"/>
    </xf>
    <xf borderId="1" fillId="0" fontId="3" numFmtId="0" xfId="0" applyAlignment="1" applyBorder="1" applyFont="1">
      <alignment horizontal="left" readingOrder="0" shrinkToFit="0" vertical="top" wrapText="0"/>
    </xf>
    <xf borderId="1" fillId="0" fontId="8" numFmtId="167" xfId="0" applyAlignment="1" applyBorder="1" applyFont="1" applyNumberFormat="1">
      <alignment horizontal="center" readingOrder="0"/>
    </xf>
    <xf borderId="1" fillId="0" fontId="8" numFmtId="0" xfId="0" applyAlignment="1" applyBorder="1" applyFont="1">
      <alignment horizontal="left" readingOrder="0"/>
    </xf>
    <xf borderId="1" fillId="0" fontId="8" numFmtId="0" xfId="0" applyAlignment="1" applyBorder="1" applyFont="1">
      <alignment readingOrder="0"/>
    </xf>
    <xf borderId="1" fillId="0" fontId="7" numFmtId="0" xfId="0" applyAlignment="1" applyBorder="1" applyFont="1">
      <alignment horizontal="left" readingOrder="0" vertical="bottom"/>
    </xf>
    <xf borderId="1" fillId="0" fontId="3" numFmtId="0" xfId="0" applyAlignment="1" applyBorder="1" applyFont="1">
      <alignment horizontal="left" readingOrder="0" shrinkToFit="0" vertical="top" wrapText="0"/>
    </xf>
    <xf borderId="1" fillId="0" fontId="7" numFmtId="49" xfId="0" applyAlignment="1" applyBorder="1" applyFont="1" applyNumberFormat="1">
      <alignment horizontal="center" readingOrder="0" vertical="bottom"/>
    </xf>
    <xf borderId="1" fillId="5" fontId="7" numFmtId="0" xfId="0" applyAlignment="1" applyBorder="1" applyFont="1">
      <alignment readingOrder="0" vertical="bottom"/>
    </xf>
    <xf borderId="8" fillId="0" fontId="13" numFmtId="0" xfId="0" applyBorder="1" applyFont="1"/>
    <xf borderId="1" fillId="3" fontId="7" numFmtId="0" xfId="0" applyAlignment="1" applyBorder="1" applyFont="1">
      <alignment readingOrder="0" vertical="bottom"/>
    </xf>
    <xf borderId="1" fillId="3" fontId="3" numFmtId="0" xfId="0" applyAlignment="1" applyBorder="1" applyFont="1">
      <alignment horizontal="left" readingOrder="0" shrinkToFit="0" vertical="top" wrapText="0"/>
    </xf>
    <xf borderId="1" fillId="3" fontId="7" numFmtId="49" xfId="0" applyAlignment="1" applyBorder="1" applyFont="1" applyNumberFormat="1">
      <alignment horizontal="center" readingOrder="0" vertical="bottom"/>
    </xf>
    <xf borderId="1" fillId="3" fontId="7" numFmtId="0" xfId="0" applyAlignment="1" applyBorder="1" applyFont="1">
      <alignment horizontal="left" readingOrder="0" vertical="bottom"/>
    </xf>
    <xf borderId="1" fillId="3" fontId="3" numFmtId="0" xfId="0" applyAlignment="1" applyBorder="1" applyFont="1">
      <alignment horizontal="left" readingOrder="0" shrinkToFit="0" vertical="top" wrapText="0"/>
    </xf>
    <xf borderId="1" fillId="3" fontId="7" numFmtId="0" xfId="0" applyAlignment="1" applyBorder="1" applyFont="1">
      <alignment vertical="bottom"/>
    </xf>
    <xf borderId="1" fillId="0" fontId="7" numFmtId="0" xfId="0" applyAlignment="1" applyBorder="1" applyFont="1">
      <alignment horizontal="left" vertical="bottom"/>
    </xf>
    <xf borderId="1" fillId="10" fontId="3" numFmtId="0" xfId="0" applyAlignment="1" applyBorder="1" applyFill="1" applyFont="1">
      <alignment horizontal="left" readingOrder="0" shrinkToFit="0" vertical="top" wrapText="0"/>
    </xf>
    <xf borderId="1" fillId="10" fontId="7" numFmtId="49" xfId="0" applyAlignment="1" applyBorder="1" applyFont="1" applyNumberFormat="1">
      <alignment horizontal="center" readingOrder="0" vertical="bottom"/>
    </xf>
    <xf borderId="1" fillId="10" fontId="7" numFmtId="0" xfId="0" applyAlignment="1" applyBorder="1" applyFont="1">
      <alignment horizontal="left" readingOrder="0" vertical="bottom"/>
    </xf>
    <xf borderId="1" fillId="10" fontId="3" numFmtId="0" xfId="0" applyAlignment="1" applyBorder="1" applyFont="1">
      <alignment horizontal="left" readingOrder="0" shrinkToFit="0" vertical="top" wrapText="0"/>
    </xf>
    <xf borderId="1" fillId="11" fontId="7" numFmtId="0" xfId="0" applyAlignment="1" applyBorder="1" applyFill="1" applyFont="1">
      <alignment readingOrder="0" vertical="bottom"/>
    </xf>
    <xf borderId="1" fillId="11" fontId="3" numFmtId="0" xfId="0" applyAlignment="1" applyBorder="1" applyFont="1">
      <alignment horizontal="left" readingOrder="0" shrinkToFit="0" vertical="top" wrapText="0"/>
    </xf>
    <xf borderId="1" fillId="11" fontId="8" numFmtId="0" xfId="0" applyAlignment="1" applyBorder="1" applyFont="1">
      <alignment horizontal="center" readingOrder="0"/>
    </xf>
    <xf borderId="1" fillId="0" fontId="3" numFmtId="0" xfId="0" applyAlignment="1" applyBorder="1" applyFont="1">
      <alignment horizontal="center" readingOrder="0" shrinkToFit="0" vertical="top" wrapText="0"/>
    </xf>
    <xf borderId="1" fillId="0" fontId="8" numFmtId="0" xfId="0" applyAlignment="1" applyBorder="1" applyFont="1">
      <alignment horizontal="center" readingOrder="0"/>
    </xf>
    <xf borderId="1" fillId="3" fontId="8" numFmtId="167" xfId="0" applyAlignment="1" applyBorder="1" applyFont="1" applyNumberFormat="1">
      <alignment horizontal="center" readingOrder="0"/>
    </xf>
    <xf borderId="1" fillId="10" fontId="8" numFmtId="167" xfId="0" applyAlignment="1" applyBorder="1" applyFont="1" applyNumberFormat="1">
      <alignment horizontal="center" readingOrder="0"/>
    </xf>
    <xf borderId="1" fillId="10" fontId="8" numFmtId="0" xfId="0" applyAlignment="1" applyBorder="1" applyFont="1">
      <alignment horizontal="left" readingOrder="0"/>
    </xf>
    <xf borderId="1" fillId="10" fontId="8" numFmtId="0" xfId="0" applyAlignment="1" applyBorder="1" applyFont="1">
      <alignment readingOrder="0"/>
    </xf>
    <xf borderId="1" fillId="10" fontId="7" numFmtId="0" xfId="0" applyAlignment="1" applyBorder="1" applyFont="1">
      <alignment readingOrder="0" vertical="bottom"/>
    </xf>
    <xf borderId="1" fillId="10" fontId="3" numFmtId="167" xfId="0" applyAlignment="1" applyBorder="1" applyFont="1" applyNumberFormat="1">
      <alignment horizontal="center" readingOrder="0" shrinkToFit="0" vertical="top" wrapText="0"/>
    </xf>
    <xf borderId="1" fillId="0" fontId="4" numFmtId="0" xfId="0" applyAlignment="1" applyBorder="1" applyFont="1">
      <alignment readingOrder="0"/>
    </xf>
    <xf borderId="1" fillId="0" fontId="3" numFmtId="167" xfId="0" applyAlignment="1" applyBorder="1" applyFont="1" applyNumberFormat="1">
      <alignment horizontal="center" readingOrder="0" vertical="top"/>
    </xf>
    <xf borderId="1" fillId="0" fontId="5" numFmtId="0" xfId="0" applyAlignment="1" applyBorder="1" applyFont="1">
      <alignment horizontal="left" readingOrder="0" vertical="bottom"/>
    </xf>
    <xf borderId="1" fillId="0" fontId="3" numFmtId="0" xfId="0" applyAlignment="1" applyBorder="1" applyFont="1">
      <alignment vertical="top"/>
    </xf>
    <xf borderId="1" fillId="0" fontId="7" numFmtId="0" xfId="0" applyAlignment="1" applyBorder="1" applyFont="1">
      <alignment shrinkToFit="0" vertical="bottom" wrapText="0"/>
    </xf>
    <xf borderId="1" fillId="0" fontId="5" numFmtId="0" xfId="0" applyAlignment="1" applyBorder="1" applyFont="1">
      <alignment vertical="bottom"/>
    </xf>
    <xf borderId="1" fillId="0" fontId="7" numFmtId="0" xfId="0" applyAlignment="1" applyBorder="1" applyFont="1">
      <alignment vertical="bottom"/>
    </xf>
    <xf borderId="1" fillId="0" fontId="3" numFmtId="0" xfId="0" applyAlignment="1" applyBorder="1" applyFont="1">
      <alignment vertical="top"/>
    </xf>
    <xf borderId="1" fillId="0" fontId="5" numFmtId="49" xfId="0" applyAlignment="1" applyBorder="1" applyFont="1" applyNumberFormat="1">
      <alignment horizontal="center" vertical="bottom"/>
    </xf>
    <xf borderId="1" fillId="0" fontId="7" numFmtId="0" xfId="0" applyAlignment="1" applyBorder="1" applyFont="1">
      <alignment horizontal="left" vertical="bottom"/>
    </xf>
    <xf borderId="1" fillId="3" fontId="8" numFmtId="0" xfId="0" applyAlignment="1" applyBorder="1" applyFont="1">
      <alignment readingOrder="0"/>
    </xf>
    <xf borderId="1" fillId="3" fontId="8" numFmtId="0" xfId="0" applyAlignment="1" applyBorder="1" applyFont="1">
      <alignment horizontal="left" readingOrder="0"/>
    </xf>
    <xf borderId="1" fillId="0" fontId="3" numFmtId="167" xfId="0" applyAlignment="1" applyBorder="1" applyFont="1" applyNumberFormat="1">
      <alignment horizontal="center" readingOrder="0" shrinkToFit="0" vertical="top" wrapText="0"/>
    </xf>
    <xf borderId="1" fillId="3" fontId="3" numFmtId="167" xfId="0" applyAlignment="1" applyBorder="1" applyFont="1" applyNumberFormat="1">
      <alignment horizontal="center" readingOrder="0" vertical="top"/>
    </xf>
    <xf borderId="1" fillId="3" fontId="5" numFmtId="0" xfId="0" applyAlignment="1" applyBorder="1" applyFont="1">
      <alignment horizontal="left" readingOrder="0" vertical="bottom"/>
    </xf>
    <xf borderId="1" fillId="3" fontId="3" numFmtId="0" xfId="0" applyAlignment="1" applyBorder="1" applyFont="1">
      <alignment vertical="top"/>
    </xf>
    <xf borderId="1" fillId="0" fontId="3" numFmtId="167" xfId="0" applyAlignment="1" applyBorder="1" applyFont="1" applyNumberFormat="1">
      <alignment horizontal="center" readingOrder="0" shrinkToFit="0" vertical="top" wrapText="0"/>
    </xf>
    <xf borderId="1" fillId="3" fontId="8" numFmtId="0" xfId="0" applyAlignment="1" applyBorder="1" applyFont="1">
      <alignment horizontal="center" readingOrder="0"/>
    </xf>
    <xf borderId="1" fillId="10" fontId="5" numFmtId="167" xfId="0" applyAlignment="1" applyBorder="1" applyFont="1" applyNumberFormat="1">
      <alignment horizontal="center" vertical="bottom"/>
    </xf>
    <xf borderId="1" fillId="0" fontId="3" numFmtId="0" xfId="0" applyAlignment="1" applyBorder="1" applyFont="1">
      <alignment shrinkToFit="0" vertical="top" wrapText="0"/>
    </xf>
    <xf borderId="1" fillId="10" fontId="7" numFmtId="49" xfId="0" applyAlignment="1" applyBorder="1" applyFont="1" applyNumberFormat="1">
      <alignment horizontal="center" vertical="bottom"/>
    </xf>
    <xf borderId="1" fillId="0" fontId="7" numFmtId="49" xfId="0" applyAlignment="1" applyBorder="1" applyFont="1" applyNumberFormat="1">
      <alignment horizontal="center" vertical="bottom"/>
    </xf>
    <xf borderId="1" fillId="12" fontId="7" numFmtId="0" xfId="0" applyAlignment="1" applyBorder="1" applyFill="1" applyFont="1">
      <alignment readingOrder="0" vertical="bottom"/>
    </xf>
    <xf borderId="1" fillId="12" fontId="3" numFmtId="0" xfId="0" applyAlignment="1" applyBorder="1" applyFont="1">
      <alignment horizontal="left" readingOrder="0" shrinkToFit="0" vertical="top" wrapText="0"/>
    </xf>
    <xf borderId="1" fillId="12" fontId="5" numFmtId="167" xfId="0" applyAlignment="1" applyBorder="1" applyFont="1" applyNumberFormat="1">
      <alignment horizontal="center" readingOrder="0" vertical="bottom"/>
    </xf>
    <xf borderId="1" fillId="12" fontId="7" numFmtId="0" xfId="0" applyAlignment="1" applyBorder="1" applyFont="1">
      <alignment vertical="bottom"/>
    </xf>
    <xf borderId="1" fillId="0" fontId="5" numFmtId="167" xfId="0" applyAlignment="1" applyBorder="1" applyFont="1" applyNumberFormat="1">
      <alignment horizontal="center" vertical="bottom"/>
    </xf>
    <xf borderId="1" fillId="10" fontId="5" numFmtId="167" xfId="0" applyAlignment="1" applyBorder="1" applyFont="1" applyNumberFormat="1">
      <alignment horizontal="center" readingOrder="0" vertical="bottom"/>
    </xf>
    <xf borderId="1" fillId="3" fontId="5" numFmtId="49" xfId="0" applyAlignment="1" applyBorder="1" applyFont="1" applyNumberFormat="1">
      <alignment horizontal="center" readingOrder="0" vertical="bottom"/>
    </xf>
    <xf borderId="1" fillId="3" fontId="3" numFmtId="0" xfId="0" applyAlignment="1" applyBorder="1" applyFont="1">
      <alignment readingOrder="0" vertical="top"/>
    </xf>
    <xf borderId="1" fillId="3" fontId="7" numFmtId="0" xfId="0" applyAlignment="1" applyBorder="1" applyFont="1">
      <alignment readingOrder="0" shrinkToFit="0" vertical="bottom" wrapText="0"/>
    </xf>
    <xf borderId="1" fillId="10" fontId="0" numFmtId="0" xfId="0" applyAlignment="1" applyBorder="1" applyFont="1">
      <alignment readingOrder="0"/>
    </xf>
    <xf borderId="1" fillId="0" fontId="3" numFmtId="0" xfId="0" applyAlignment="1" applyBorder="1" applyFont="1">
      <alignment horizontal="center" readingOrder="0" shrinkToFit="0" vertical="top" wrapText="0"/>
    </xf>
    <xf borderId="1" fillId="9" fontId="14" numFmtId="0" xfId="0" applyAlignment="1" applyBorder="1" applyFont="1">
      <alignment horizontal="center" readingOrder="0" vertical="center"/>
    </xf>
    <xf borderId="1" fillId="0" fontId="5" numFmtId="167" xfId="0" applyAlignment="1" applyBorder="1" applyFont="1" applyNumberFormat="1">
      <alignment horizontal="center" readingOrder="0" vertical="bottom"/>
    </xf>
    <xf borderId="1" fillId="0" fontId="3" numFmtId="0" xfId="0" applyAlignment="1" applyBorder="1" applyFont="1">
      <alignment readingOrder="0" vertical="top"/>
    </xf>
    <xf borderId="1" fillId="0" fontId="3" numFmtId="0" xfId="0" applyAlignment="1" applyBorder="1" applyFont="1">
      <alignment readingOrder="0" shrinkToFit="0" vertical="top" wrapText="0"/>
    </xf>
    <xf borderId="1" fillId="0" fontId="15" numFmtId="0" xfId="0" applyAlignment="1" applyBorder="1" applyFont="1">
      <alignment horizontal="left" readingOrder="0" shrinkToFit="0" vertical="top" wrapText="0"/>
    </xf>
    <xf borderId="9" fillId="13" fontId="16" numFmtId="0" xfId="0" applyAlignment="1" applyBorder="1" applyFill="1" applyFont="1">
      <alignment horizontal="center" readingOrder="0" vertical="center"/>
    </xf>
    <xf borderId="10" fillId="0" fontId="13" numFmtId="0" xfId="0" applyBorder="1" applyFont="1"/>
    <xf borderId="11" fillId="0" fontId="13" numFmtId="0" xfId="0" applyBorder="1" applyFont="1"/>
    <xf borderId="12" fillId="0" fontId="13" numFmtId="0" xfId="0" applyBorder="1" applyFont="1"/>
    <xf borderId="13" fillId="0" fontId="13" numFmtId="0" xfId="0" applyBorder="1" applyFont="1"/>
    <xf borderId="2" fillId="0" fontId="13" numFmtId="0" xfId="0" applyBorder="1" applyFont="1"/>
    <xf borderId="1" fillId="3" fontId="4" numFmtId="0" xfId="0" applyAlignment="1" applyBorder="1" applyFont="1">
      <alignment horizontal="left" readingOrder="0"/>
    </xf>
    <xf borderId="1" fillId="3" fontId="4" numFmtId="0" xfId="0" applyAlignment="1" applyBorder="1" applyFont="1">
      <alignment readingOrder="0"/>
    </xf>
    <xf borderId="1" fillId="3" fontId="5" numFmtId="167" xfId="0" applyAlignment="1" applyBorder="1" applyFont="1" applyNumberFormat="1">
      <alignment horizontal="center" readingOrder="0" vertical="bottom"/>
    </xf>
    <xf borderId="1" fillId="10" fontId="3" numFmtId="0" xfId="0" applyAlignment="1" applyBorder="1" applyFont="1">
      <alignment vertical="top"/>
    </xf>
    <xf borderId="1" fillId="3" fontId="3" numFmtId="167" xfId="0" applyAlignment="1" applyBorder="1" applyFont="1" applyNumberFormat="1">
      <alignment horizontal="center" readingOrder="0" shrinkToFit="0" vertical="top" wrapText="0"/>
    </xf>
    <xf borderId="1" fillId="3" fontId="3" numFmtId="0" xfId="0" applyAlignment="1" applyBorder="1" applyFont="1">
      <alignment horizontal="center" readingOrder="0" shrinkToFit="0" vertical="top" wrapText="0"/>
    </xf>
    <xf borderId="1" fillId="0" fontId="5" numFmtId="0" xfId="0" applyAlignment="1" applyBorder="1" applyFont="1">
      <alignment horizontal="left" vertical="bottom"/>
    </xf>
    <xf borderId="1" fillId="0" fontId="5" numFmtId="0" xfId="0" applyAlignment="1" applyBorder="1" applyFont="1">
      <alignment shrinkToFit="0" vertical="bottom" wrapText="0"/>
    </xf>
    <xf borderId="1" fillId="0" fontId="5" numFmtId="0" xfId="0" applyAlignment="1" applyBorder="1" applyFont="1">
      <alignment horizontal="center" readingOrder="0" vertical="bottom"/>
    </xf>
    <xf borderId="1" fillId="0" fontId="4" numFmtId="0" xfId="0" applyAlignment="1" applyBorder="1" applyFont="1">
      <alignment horizontal="center"/>
    </xf>
    <xf borderId="1" fillId="0" fontId="4" numFmtId="0" xfId="0" applyAlignment="1" applyBorder="1" applyFont="1">
      <alignment horizontal="left"/>
    </xf>
    <xf borderId="1" fillId="3" fontId="4" numFmtId="167" xfId="0" applyAlignment="1" applyBorder="1" applyFont="1" applyNumberFormat="1">
      <alignment horizontal="center" readingOrder="0"/>
    </xf>
    <xf borderId="1" fillId="0" fontId="4" numFmtId="167" xfId="0" applyAlignment="1" applyBorder="1" applyFont="1" applyNumberFormat="1">
      <alignment horizontal="center" readingOrder="0"/>
    </xf>
    <xf borderId="1" fillId="0" fontId="4" numFmtId="0" xfId="0" applyAlignment="1" applyBorder="1" applyFont="1">
      <alignment horizontal="left" readingOrder="0"/>
    </xf>
    <xf borderId="1" fillId="3" fontId="4" numFmtId="0" xfId="0" applyAlignment="1" applyBorder="1" applyFont="1">
      <alignment horizontal="center" readingOrder="0"/>
    </xf>
    <xf borderId="9" fillId="13" fontId="17" numFmtId="0" xfId="0" applyAlignment="1" applyBorder="1" applyFont="1">
      <alignment horizontal="center" readingOrder="0" shrinkToFit="0" vertical="center" wrapText="0"/>
    </xf>
    <xf borderId="1" fillId="5" fontId="4" numFmtId="0" xfId="0" applyAlignment="1" applyBorder="1" applyFont="1">
      <alignment readingOrder="0"/>
    </xf>
    <xf borderId="1" fillId="3" fontId="4" numFmtId="0" xfId="0" applyBorder="1" applyFont="1"/>
    <xf borderId="1" fillId="0" fontId="17" numFmtId="0" xfId="0" applyAlignment="1" applyBorder="1" applyFont="1">
      <alignment readingOrder="0"/>
    </xf>
    <xf borderId="9" fillId="13" fontId="17" numFmtId="0" xfId="0" applyAlignment="1" applyBorder="1" applyFont="1">
      <alignment horizontal="center" readingOrder="0" vertical="center"/>
    </xf>
    <xf borderId="3" fillId="0" fontId="4" numFmtId="0" xfId="0" applyAlignment="1" applyBorder="1" applyFont="1">
      <alignment readingOrder="0"/>
    </xf>
    <xf borderId="1" fillId="0" fontId="4" numFmtId="0" xfId="0" applyAlignment="1" applyBorder="1" applyFont="1">
      <alignment horizontal="center" readingOrder="0"/>
    </xf>
    <xf borderId="1" fillId="3" fontId="3" numFmtId="0" xfId="0" applyAlignment="1" applyBorder="1" applyFont="1">
      <alignment vertical="top"/>
    </xf>
    <xf borderId="1" fillId="0" fontId="7" numFmtId="167" xfId="0" applyAlignment="1" applyBorder="1" applyFont="1" applyNumberFormat="1">
      <alignment horizontal="center" vertical="bottom"/>
    </xf>
    <xf borderId="1" fillId="3" fontId="7" numFmtId="167" xfId="0" applyAlignment="1" applyBorder="1" applyFont="1" applyNumberFormat="1">
      <alignment horizontal="center" vertical="bottom"/>
    </xf>
    <xf borderId="1" fillId="0" fontId="7" numFmtId="0" xfId="0" applyAlignment="1" applyBorder="1" applyFont="1">
      <alignment horizontal="center" vertical="bottom"/>
    </xf>
    <xf borderId="3" fillId="13" fontId="18" numFmtId="0" xfId="0" applyAlignment="1" applyBorder="1" applyFont="1">
      <alignment readingOrder="0"/>
    </xf>
    <xf borderId="1" fillId="0" fontId="7" numFmtId="167" xfId="0" applyAlignment="1" applyBorder="1" applyFont="1" applyNumberFormat="1">
      <alignment horizontal="center" readingOrder="0" vertical="bottom"/>
    </xf>
    <xf borderId="1" fillId="5" fontId="3" numFmtId="0" xfId="0" applyAlignment="1" applyBorder="1" applyFont="1">
      <alignment horizontal="left" readingOrder="0" shrinkToFit="0" vertical="top" wrapText="0"/>
    </xf>
    <xf borderId="1" fillId="5" fontId="4" numFmtId="167" xfId="0" applyAlignment="1" applyBorder="1" applyFont="1" applyNumberFormat="1">
      <alignment horizontal="center" readingOrder="0"/>
    </xf>
    <xf borderId="1" fillId="5" fontId="4" numFmtId="0" xfId="0" applyAlignment="1" applyBorder="1" applyFont="1">
      <alignment horizontal="left" readingOrder="0"/>
    </xf>
    <xf borderId="1" fillId="5" fontId="7" numFmtId="49" xfId="0" applyAlignment="1" applyBorder="1" applyFont="1" applyNumberFormat="1">
      <alignment horizontal="center" readingOrder="0" vertical="bottom"/>
    </xf>
    <xf borderId="1" fillId="13" fontId="19" numFmtId="0" xfId="0" applyAlignment="1" applyBorder="1" applyFont="1">
      <alignment readingOrder="0" vertical="top"/>
    </xf>
    <xf borderId="1" fillId="13" fontId="3" numFmtId="0" xfId="0" applyAlignment="1" applyBorder="1" applyFont="1">
      <alignment vertical="top"/>
    </xf>
    <xf borderId="1" fillId="3" fontId="7" numFmtId="167" xfId="0" applyAlignment="1" applyBorder="1" applyFont="1" applyNumberFormat="1">
      <alignment horizontal="center" readingOrder="0" vertical="bottom"/>
    </xf>
    <xf borderId="9" fillId="13" fontId="20" numFmtId="0" xfId="0" applyAlignment="1" applyBorder="1" applyFont="1">
      <alignment horizontal="center" readingOrder="0"/>
    </xf>
    <xf borderId="1" fillId="14" fontId="4" numFmtId="0" xfId="0" applyAlignment="1" applyBorder="1" applyFill="1" applyFont="1">
      <alignment readingOrder="0"/>
    </xf>
    <xf borderId="1" fillId="14" fontId="3" numFmtId="0" xfId="0" applyAlignment="1" applyBorder="1" applyFont="1">
      <alignment horizontal="left" readingOrder="0" shrinkToFit="0" vertical="top" wrapText="0"/>
    </xf>
    <xf borderId="1" fillId="14" fontId="4" numFmtId="167" xfId="0" applyAlignment="1" applyBorder="1" applyFont="1" applyNumberFormat="1">
      <alignment horizontal="center" readingOrder="0"/>
    </xf>
    <xf borderId="1" fillId="14" fontId="4" numFmtId="0" xfId="0" applyAlignment="1" applyBorder="1" applyFont="1">
      <alignment horizontal="left" readingOrder="0"/>
    </xf>
    <xf borderId="1" fillId="3" fontId="7" numFmtId="0" xfId="0" applyAlignment="1" applyBorder="1" applyFont="1">
      <alignment vertical="bottom"/>
    </xf>
    <xf borderId="1" fillId="3" fontId="7" numFmtId="0" xfId="0" applyAlignment="1" applyBorder="1" applyFont="1">
      <alignment horizontal="center" readingOrder="0" vertical="bottom"/>
    </xf>
    <xf borderId="1" fillId="3" fontId="7" numFmtId="0" xfId="0" applyAlignment="1" applyBorder="1" applyFont="1">
      <alignment horizontal="left" vertical="bottom"/>
    </xf>
    <xf borderId="1" fillId="8" fontId="5" numFmtId="165" xfId="0" applyAlignment="1" applyBorder="1" applyFont="1" applyNumberFormat="1">
      <alignment vertical="bottom"/>
    </xf>
    <xf borderId="1" fillId="8" fontId="21" numFmtId="165" xfId="0" applyAlignment="1" applyBorder="1" applyFont="1" applyNumberFormat="1">
      <alignment horizontal="center" readingOrder="0" vertical="bottom"/>
    </xf>
    <xf borderId="1" fillId="12" fontId="4" numFmtId="167" xfId="0" applyAlignment="1" applyBorder="1" applyFont="1" applyNumberFormat="1">
      <alignment horizontal="center" readingOrder="0"/>
    </xf>
    <xf borderId="1" fillId="12" fontId="4" numFmtId="0" xfId="0" applyAlignment="1" applyBorder="1" applyFont="1">
      <alignment horizontal="left" readingOrder="0"/>
    </xf>
    <xf borderId="1" fillId="12" fontId="4" numFmtId="0" xfId="0" applyAlignment="1" applyBorder="1" applyFont="1">
      <alignment readingOrder="0"/>
    </xf>
    <xf borderId="1" fillId="2" fontId="4" numFmtId="0" xfId="0" applyAlignment="1" applyBorder="1" applyFont="1">
      <alignment readingOrder="0"/>
    </xf>
    <xf borderId="1" fillId="2" fontId="3" numFmtId="0" xfId="0" applyAlignment="1" applyBorder="1" applyFont="1">
      <alignment horizontal="left" readingOrder="0" shrinkToFit="0" vertical="top" wrapText="0"/>
    </xf>
    <xf borderId="1" fillId="2" fontId="4" numFmtId="167" xfId="0" applyAlignment="1" applyBorder="1" applyFont="1" applyNumberFormat="1">
      <alignment horizontal="center" readingOrder="0"/>
    </xf>
    <xf borderId="1" fillId="2" fontId="4" numFmtId="0" xfId="0" applyAlignment="1" applyBorder="1" applyFont="1">
      <alignment horizontal="left" readingOrder="0"/>
    </xf>
    <xf borderId="1" fillId="2" fontId="4" numFmtId="0" xfId="0" applyBorder="1" applyFont="1"/>
    <xf borderId="1" fillId="2" fontId="3" numFmtId="0" xfId="0" applyAlignment="1" applyBorder="1" applyFont="1">
      <alignment vertical="top"/>
    </xf>
    <xf borderId="1" fillId="2" fontId="4" numFmtId="0" xfId="0" applyAlignment="1" applyBorder="1" applyFont="1">
      <alignment horizontal="center" readingOrder="0"/>
    </xf>
    <xf borderId="1" fillId="2" fontId="22" numFmtId="0" xfId="0" applyAlignment="1" applyBorder="1" applyFont="1">
      <alignment readingOrder="0"/>
    </xf>
    <xf borderId="3" fillId="13" fontId="3" numFmtId="0" xfId="0" applyAlignment="1" applyBorder="1" applyFont="1">
      <alignment readingOrder="0" vertical="top"/>
    </xf>
    <xf borderId="6" fillId="9" fontId="18" numFmtId="0" xfId="0" applyAlignment="1" applyBorder="1" applyFont="1">
      <alignment horizontal="center" readingOrder="0" vertical="center"/>
    </xf>
    <xf borderId="1" fillId="12" fontId="0" numFmtId="0" xfId="0" applyAlignment="1" applyBorder="1" applyFont="1">
      <alignment readingOrder="0"/>
    </xf>
    <xf borderId="1" fillId="5" fontId="3" numFmtId="0" xfId="0" applyAlignment="1" applyBorder="1" applyFont="1">
      <alignment readingOrder="0" vertical="top"/>
    </xf>
    <xf borderId="9" fillId="13" fontId="23" numFmtId="0" xfId="0" applyAlignment="1" applyBorder="1" applyFont="1">
      <alignment horizontal="center" readingOrder="0" vertical="center"/>
    </xf>
    <xf borderId="1" fillId="11" fontId="3" numFmtId="0" xfId="0" applyAlignment="1" applyBorder="1" applyFont="1">
      <alignment readingOrder="0" vertical="top"/>
    </xf>
    <xf borderId="1" fillId="12" fontId="4" numFmtId="0" xfId="0" applyAlignment="1" applyBorder="1" applyFont="1">
      <alignment horizontal="center" readingOrder="0"/>
    </xf>
    <xf borderId="1" fillId="11" fontId="4" numFmtId="0" xfId="0" applyBorder="1" applyFont="1"/>
    <xf borderId="1" fillId="3" fontId="0" numFmtId="0" xfId="0" applyAlignment="1" applyBorder="1" applyFont="1">
      <alignment readingOrder="0"/>
    </xf>
    <xf borderId="1" fillId="12" fontId="4" numFmtId="0" xfId="0" applyBorder="1" applyFont="1"/>
    <xf borderId="1" fillId="12" fontId="7" numFmtId="0" xfId="0" applyAlignment="1" applyBorder="1" applyFont="1">
      <alignment horizontal="left" readingOrder="0"/>
    </xf>
    <xf borderId="1" fillId="12" fontId="22" numFmtId="0" xfId="0" applyAlignment="1" applyBorder="1" applyFont="1">
      <alignment readingOrder="0"/>
    </xf>
    <xf borderId="1" fillId="12" fontId="3" numFmtId="0" xfId="0" applyAlignment="1" applyBorder="1" applyFont="1">
      <alignment readingOrder="0" vertical="top"/>
    </xf>
    <xf borderId="1" fillId="11" fontId="8" numFmtId="0" xfId="0" applyBorder="1" applyFont="1"/>
    <xf borderId="1" fillId="11" fontId="4" numFmtId="0" xfId="0" applyAlignment="1" applyBorder="1" applyFont="1">
      <alignment readingOrder="0"/>
    </xf>
    <xf borderId="1" fillId="3" fontId="24" numFmtId="0" xfId="0" applyAlignment="1" applyBorder="1" applyFont="1">
      <alignment readingOrder="0"/>
    </xf>
    <xf borderId="1" fillId="12" fontId="24" numFmtId="0" xfId="0" applyAlignment="1" applyBorder="1" applyFont="1">
      <alignment readingOrder="0"/>
    </xf>
    <xf borderId="1" fillId="5" fontId="4" numFmtId="0" xfId="0" applyBorder="1" applyFont="1"/>
    <xf borderId="1" fillId="0" fontId="24" numFmtId="0" xfId="0" applyAlignment="1" applyBorder="1" applyFont="1">
      <alignment readingOrder="0"/>
    </xf>
    <xf borderId="1" fillId="13" fontId="3" numFmtId="0" xfId="0" applyAlignment="1" applyBorder="1" applyFont="1">
      <alignment readingOrder="0" vertical="top"/>
    </xf>
    <xf borderId="1" fillId="12" fontId="8" numFmtId="167" xfId="0" applyAlignment="1" applyBorder="1" applyFont="1" applyNumberFormat="1">
      <alignment horizontal="center" readingOrder="0"/>
    </xf>
    <xf borderId="1" fillId="12" fontId="25" numFmtId="0" xfId="0" applyAlignment="1" applyBorder="1" applyFont="1">
      <alignment vertical="top"/>
    </xf>
    <xf borderId="1" fillId="12" fontId="0" numFmtId="167" xfId="0" applyAlignment="1" applyBorder="1" applyFont="1" applyNumberFormat="1">
      <alignment horizontal="center" readingOrder="0"/>
    </xf>
    <xf borderId="1" fillId="12" fontId="25" numFmtId="0" xfId="0" applyAlignment="1" applyBorder="1" applyFont="1">
      <alignment readingOrder="0" vertical="top"/>
    </xf>
    <xf borderId="1" fillId="12" fontId="26" numFmtId="167" xfId="0" applyAlignment="1" applyBorder="1" applyFont="1" applyNumberFormat="1">
      <alignment horizontal="center" readingOrder="0" vertical="top"/>
    </xf>
    <xf borderId="1" fillId="12" fontId="8" numFmtId="0" xfId="0" applyAlignment="1" applyBorder="1" applyFont="1">
      <alignment readingOrder="0"/>
    </xf>
    <xf borderId="1" fillId="12" fontId="25" numFmtId="0" xfId="0" applyAlignment="1" applyBorder="1" applyFont="1">
      <alignment vertical="top"/>
    </xf>
    <xf borderId="1" fillId="0" fontId="25" numFmtId="0" xfId="0" applyAlignment="1" applyBorder="1" applyFont="1">
      <alignment vertical="top"/>
    </xf>
    <xf borderId="1" fillId="11" fontId="27" numFmtId="0" xfId="0" applyAlignment="1" applyBorder="1" applyFont="1">
      <alignment horizontal="left" readingOrder="0" shrinkToFit="0" textRotation="0" vertical="center" wrapText="0"/>
    </xf>
    <xf borderId="1" fillId="10" fontId="4" numFmtId="0" xfId="0" applyAlignment="1" applyBorder="1" applyFont="1">
      <alignment readingOrder="0"/>
    </xf>
    <xf borderId="1" fillId="10" fontId="27" numFmtId="167" xfId="0" applyAlignment="1" applyBorder="1" applyFont="1" applyNumberFormat="1">
      <alignment horizontal="left" readingOrder="0" shrinkToFit="0" textRotation="0" vertical="center" wrapText="0"/>
    </xf>
    <xf borderId="1" fillId="12" fontId="27" numFmtId="0" xfId="0" applyAlignment="1" applyBorder="1" applyFont="1">
      <alignment horizontal="left" readingOrder="0" shrinkToFit="0" textRotation="0" vertical="center" wrapText="0"/>
    </xf>
    <xf borderId="1" fillId="3" fontId="27" numFmtId="0" xfId="0" applyAlignment="1" applyBorder="1" applyFont="1">
      <alignment horizontal="left" readingOrder="0" shrinkToFit="0" textRotation="0" vertical="center" wrapText="0"/>
    </xf>
    <xf borderId="1" fillId="12" fontId="27" numFmtId="167" xfId="0" applyAlignment="1" applyBorder="1" applyFont="1" applyNumberFormat="1">
      <alignment horizontal="left" readingOrder="0" shrinkToFit="0" textRotation="0" vertical="center" wrapText="0"/>
    </xf>
    <xf borderId="1" fillId="12" fontId="5" numFmtId="0" xfId="0" applyAlignment="1" applyBorder="1" applyFont="1">
      <alignment vertical="bottom"/>
    </xf>
    <xf borderId="1" fillId="12" fontId="25" numFmtId="0" xfId="0" applyAlignment="1" applyBorder="1" applyFont="1">
      <alignment shrinkToFit="0" vertical="top" wrapText="0"/>
    </xf>
    <xf borderId="1" fillId="3" fontId="8" numFmtId="0" xfId="0" applyBorder="1" applyFont="1"/>
    <xf borderId="6" fillId="9" fontId="2" numFmtId="0" xfId="0" applyAlignment="1" applyBorder="1" applyFont="1">
      <alignment horizontal="center"/>
    </xf>
    <xf borderId="1" fillId="0" fontId="8" numFmtId="167" xfId="0" applyAlignment="1" applyBorder="1" applyFont="1" applyNumberFormat="1">
      <alignment readingOrder="0"/>
    </xf>
    <xf borderId="1" fillId="0" fontId="25" numFmtId="0" xfId="0" applyAlignment="1" applyBorder="1" applyFont="1">
      <alignment vertical="top"/>
    </xf>
    <xf borderId="1" fillId="0" fontId="25" numFmtId="0" xfId="0" applyAlignment="1" applyBorder="1" applyFont="1">
      <alignment shrinkToFit="0" vertical="top" wrapText="0"/>
    </xf>
    <xf borderId="1" fillId="5" fontId="22" numFmtId="0" xfId="0" applyAlignment="1" applyBorder="1" applyFont="1">
      <alignment readingOrder="0"/>
    </xf>
    <xf borderId="1" fillId="12" fontId="5" numFmtId="167" xfId="0" applyAlignment="1" applyBorder="1" applyFont="1" applyNumberFormat="1">
      <alignment horizontal="center" vertical="bottom"/>
    </xf>
    <xf borderId="1" fillId="12" fontId="5" numFmtId="167" xfId="0" applyAlignment="1" applyBorder="1" applyFont="1" applyNumberFormat="1">
      <alignment vertical="bottom"/>
    </xf>
    <xf borderId="1" fillId="12" fontId="5" numFmtId="0" xfId="0" applyAlignment="1" applyBorder="1" applyFont="1">
      <alignment vertical="bottom"/>
    </xf>
    <xf borderId="1" fillId="12" fontId="28" numFmtId="0" xfId="0" applyAlignment="1" applyBorder="1" applyFont="1">
      <alignment readingOrder="0"/>
    </xf>
    <xf borderId="1" fillId="12" fontId="5" numFmtId="0" xfId="0" applyAlignment="1" applyBorder="1" applyFont="1">
      <alignment readingOrder="0" vertical="top"/>
    </xf>
    <xf borderId="1" fillId="12" fontId="5" numFmtId="0" xfId="0" applyAlignment="1" applyBorder="1" applyFont="1">
      <alignment shrinkToFit="0" vertical="bottom" wrapText="0"/>
    </xf>
    <xf borderId="1" fillId="12" fontId="5" numFmtId="0" xfId="0" applyAlignment="1" applyBorder="1" applyFont="1">
      <alignment vertical="top"/>
    </xf>
    <xf borderId="1" fillId="0" fontId="5" numFmtId="0" xfId="0" applyAlignment="1" applyBorder="1" applyFont="1">
      <alignment shrinkToFit="0" vertical="bottom" wrapText="0"/>
    </xf>
    <xf borderId="1" fillId="12" fontId="29" numFmtId="167" xfId="0" applyAlignment="1" applyBorder="1" applyFont="1" applyNumberFormat="1">
      <alignment readingOrder="0" textRotation="0"/>
    </xf>
    <xf borderId="1" fillId="12" fontId="0" numFmtId="0" xfId="0" applyAlignment="1" applyBorder="1" applyFont="1">
      <alignment horizontal="center" readingOrder="0"/>
    </xf>
    <xf borderId="1" fillId="12" fontId="8" numFmtId="0" xfId="0" applyBorder="1" applyFont="1"/>
    <xf borderId="1" fillId="12" fontId="3" numFmtId="0" xfId="0" applyAlignment="1" applyBorder="1" applyFont="1">
      <alignment horizontal="left" shrinkToFit="0" vertical="top" wrapText="0"/>
    </xf>
    <xf borderId="1" fillId="12" fontId="25" numFmtId="167" xfId="0" applyAlignment="1" applyBorder="1" applyFont="1" applyNumberFormat="1">
      <alignment horizontal="center" readingOrder="0" vertical="top"/>
    </xf>
    <xf borderId="1" fillId="12" fontId="8" numFmtId="0" xfId="0" applyAlignment="1" applyBorder="1" applyFont="1">
      <alignment horizontal="center" readingOrder="0"/>
    </xf>
    <xf borderId="0" fillId="12" fontId="3" numFmtId="0" xfId="0" applyAlignment="1" applyFont="1">
      <alignment horizontal="left" readingOrder="0" shrinkToFit="0" vertical="top" wrapText="0"/>
    </xf>
    <xf borderId="0" fillId="12" fontId="0" numFmtId="0" xfId="0" applyAlignment="1" applyFont="1">
      <alignment readingOrder="0"/>
    </xf>
    <xf borderId="1" fillId="11" fontId="30" numFmtId="0" xfId="0" applyAlignment="1" applyBorder="1" applyFont="1">
      <alignment horizontal="center" readingOrder="0" vertical="center"/>
    </xf>
    <xf borderId="0" fillId="3" fontId="0" numFmtId="0" xfId="0" applyAlignment="1" applyFont="1">
      <alignment readingOrder="0"/>
    </xf>
    <xf borderId="0" fillId="3" fontId="3" numFmtId="0" xfId="0" applyAlignment="1" applyFont="1">
      <alignment horizontal="left" readingOrder="0" shrinkToFit="0" vertical="top" wrapText="0"/>
    </xf>
    <xf borderId="0" fillId="12" fontId="8" numFmtId="0" xfId="0" applyAlignment="1" applyFont="1">
      <alignment readingOrder="0"/>
    </xf>
    <xf borderId="1" fillId="3" fontId="8" numFmtId="167" xfId="0" applyAlignment="1" applyBorder="1" applyFont="1" applyNumberFormat="1">
      <alignment readingOrder="0"/>
    </xf>
    <xf borderId="1" fillId="12" fontId="3" numFmtId="0" xfId="0" applyAlignment="1" applyBorder="1" applyFont="1">
      <alignment vertical="top"/>
    </xf>
    <xf borderId="0" fillId="12" fontId="7" numFmtId="0" xfId="0" applyAlignment="1" applyFont="1">
      <alignment horizontal="left" readingOrder="0"/>
    </xf>
    <xf borderId="0" fillId="12" fontId="22" numFmtId="0" xfId="0" applyAlignment="1" applyFont="1">
      <alignment readingOrder="0"/>
    </xf>
    <xf borderId="5" fillId="12" fontId="3" numFmtId="0" xfId="0" applyAlignment="1" applyBorder="1" applyFont="1">
      <alignment horizontal="left" readingOrder="0" shrinkToFit="0" vertical="top" wrapText="0"/>
    </xf>
    <xf borderId="3" fillId="12" fontId="3" numFmtId="0" xfId="0" applyAlignment="1" applyBorder="1" applyFont="1">
      <alignment horizontal="left" readingOrder="0" shrinkToFit="0" vertical="top" wrapText="0"/>
    </xf>
    <xf borderId="10" fillId="12" fontId="3" numFmtId="0" xfId="0" applyAlignment="1" applyBorder="1" applyFont="1">
      <alignment horizontal="left" readingOrder="0" shrinkToFit="0" vertical="top" wrapText="0"/>
    </xf>
    <xf borderId="9" fillId="12" fontId="3" numFmtId="0" xfId="0" applyAlignment="1" applyBorder="1" applyFont="1">
      <alignment horizontal="left" readingOrder="0" shrinkToFit="0" vertical="top" wrapText="0"/>
    </xf>
    <xf borderId="1" fillId="3" fontId="7" numFmtId="0" xfId="0" applyAlignment="1" applyBorder="1" applyFont="1">
      <alignment horizontal="left" readingOrder="0"/>
    </xf>
    <xf borderId="1" fillId="3" fontId="22" numFmtId="0" xfId="0" applyAlignment="1" applyBorder="1" applyFont="1">
      <alignment readingOrder="0"/>
    </xf>
    <xf borderId="0" fillId="12" fontId="8" numFmtId="0" xfId="0" applyAlignment="1" applyFont="1">
      <alignment horizontal="center" readingOrder="0"/>
    </xf>
    <xf borderId="3" fillId="13" fontId="31" numFmtId="0" xfId="0" applyAlignment="1" applyBorder="1" applyFont="1">
      <alignment readingOrder="0" vertical="top"/>
    </xf>
    <xf borderId="1" fillId="13" fontId="4" numFmtId="0" xfId="0" applyAlignment="1" applyBorder="1" applyFont="1">
      <alignment horizontal="center" readingOrder="0"/>
    </xf>
    <xf borderId="1" fillId="13" fontId="4" numFmtId="0" xfId="0" applyAlignment="1" applyBorder="1" applyFont="1">
      <alignment horizontal="left" readingOrder="0"/>
    </xf>
    <xf borderId="1" fillId="13" fontId="4" numFmtId="0" xfId="0" applyAlignment="1" applyBorder="1" applyFont="1">
      <alignment readingOrder="0"/>
    </xf>
    <xf borderId="1" fillId="11" fontId="3" numFmtId="0" xfId="0" applyAlignment="1" applyBorder="1" applyFont="1">
      <alignment vertical="top"/>
    </xf>
    <xf borderId="1" fillId="11" fontId="4" numFmtId="0" xfId="0" applyAlignment="1" applyBorder="1" applyFont="1">
      <alignment horizontal="center" readingOrder="0"/>
    </xf>
    <xf borderId="1" fillId="11" fontId="4" numFmtId="0" xfId="0" applyAlignment="1" applyBorder="1" applyFont="1">
      <alignment horizontal="left" readingOrder="0"/>
    </xf>
    <xf borderId="0" fillId="3" fontId="7" numFmtId="0" xfId="0" applyAlignment="1" applyFont="1">
      <alignment horizontal="left" readingOrder="0"/>
    </xf>
    <xf borderId="0" fillId="3" fontId="22" numFmtId="0" xfId="0" applyAlignment="1" applyFont="1">
      <alignment readingOrder="0"/>
    </xf>
    <xf borderId="1" fillId="3" fontId="3" numFmtId="0" xfId="0" applyAlignment="1" applyBorder="1" applyFont="1">
      <alignment horizontal="left" shrinkToFit="0" vertical="top" wrapText="0"/>
    </xf>
    <xf borderId="0" fillId="3" fontId="8" numFmtId="0" xfId="0" applyFont="1"/>
    <xf borderId="5" fillId="8" fontId="21" numFmtId="165" xfId="0" applyAlignment="1" applyBorder="1" applyFont="1" applyNumberFormat="1">
      <alignment horizontal="center" readingOrder="0" vertical="bottom"/>
    </xf>
    <xf borderId="7" fillId="9" fontId="2" numFmtId="0" xfId="0" applyAlignment="1" applyBorder="1" applyFont="1">
      <alignment horizontal="center" vertical="bottom"/>
    </xf>
    <xf borderId="0" fillId="11" fontId="8" numFmtId="0" xfId="0" applyFont="1"/>
    <xf borderId="3" fillId="5" fontId="5" numFmtId="0" xfId="0" applyAlignment="1" applyBorder="1" applyFont="1">
      <alignment readingOrder="0" vertical="top"/>
    </xf>
    <xf borderId="0" fillId="12" fontId="25" numFmtId="0" xfId="0" applyAlignment="1" applyFont="1">
      <alignment vertical="top"/>
    </xf>
    <xf borderId="12" fillId="12" fontId="25" numFmtId="0" xfId="0" applyAlignment="1" applyBorder="1" applyFont="1">
      <alignment vertical="top"/>
    </xf>
    <xf borderId="5" fillId="12" fontId="5" numFmtId="0" xfId="0" applyAlignment="1" applyBorder="1" applyFont="1">
      <alignment horizontal="center" readingOrder="0" vertical="bottom"/>
    </xf>
    <xf borderId="5" fillId="12" fontId="5" numFmtId="0" xfId="0" applyAlignment="1" applyBorder="1" applyFont="1">
      <alignment vertical="bottom"/>
    </xf>
    <xf borderId="14" fillId="12" fontId="25" numFmtId="0" xfId="0" applyAlignment="1" applyBorder="1" applyFont="1">
      <alignment shrinkToFit="0" vertical="top" wrapText="0"/>
    </xf>
    <xf borderId="15" fillId="12" fontId="5" numFmtId="0" xfId="0" applyAlignment="1" applyBorder="1" applyFont="1">
      <alignment vertical="bottom"/>
    </xf>
    <xf borderId="0" fillId="3" fontId="6" numFmtId="0" xfId="0" applyAlignment="1" applyFont="1">
      <alignment readingOrder="0" shrinkToFit="0" vertical="bottom" wrapText="0"/>
    </xf>
    <xf borderId="0" fillId="12" fontId="6" numFmtId="0" xfId="0" applyAlignment="1" applyFont="1">
      <alignment readingOrder="0" shrinkToFit="0" vertical="bottom" wrapText="0"/>
    </xf>
    <xf borderId="0" fillId="2" fontId="32" numFmtId="0" xfId="0" applyAlignment="1" applyFont="1">
      <alignment horizontal="center" vertical="center"/>
    </xf>
    <xf borderId="0" fillId="2" fontId="32" numFmtId="0" xfId="0" applyAlignment="1" applyFont="1">
      <alignment horizontal="center" readingOrder="0" vertical="center"/>
    </xf>
    <xf borderId="0" fillId="2" fontId="32" numFmtId="3" xfId="0" applyAlignment="1" applyFont="1" applyNumberFormat="1">
      <alignment horizontal="center" vertical="center"/>
    </xf>
    <xf borderId="0" fillId="2" fontId="32" numFmtId="10" xfId="0" applyAlignment="1" applyFont="1" applyNumberFormat="1">
      <alignment horizontal="center" vertical="center"/>
    </xf>
    <xf borderId="0" fillId="4" fontId="2" numFmtId="0" xfId="0" applyAlignment="1" applyFont="1">
      <alignment horizontal="center" readingOrder="0" vertical="center"/>
    </xf>
    <xf borderId="0" fillId="4" fontId="14" numFmtId="0" xfId="0" applyAlignment="1" applyFont="1">
      <alignment horizontal="center" readingOrder="0" vertical="center"/>
    </xf>
    <xf borderId="0" fillId="4" fontId="2" numFmtId="0" xfId="0" applyAlignment="1" applyFont="1">
      <alignment horizontal="center" vertical="center"/>
    </xf>
    <xf borderId="0" fillId="0" fontId="8" numFmtId="0" xfId="0" applyAlignment="1" applyFont="1">
      <alignment vertical="center"/>
    </xf>
    <xf borderId="0" fillId="0" fontId="6" numFmtId="0" xfId="0" applyAlignment="1" applyFont="1">
      <alignment horizontal="center" readingOrder="0" shrinkToFit="0" vertical="bottom" wrapText="0"/>
    </xf>
    <xf borderId="0" fillId="0" fontId="6" numFmtId="0" xfId="0" applyAlignment="1" applyFont="1">
      <alignment horizontal="right" readingOrder="0" shrinkToFit="0" vertical="bottom" wrapText="0"/>
    </xf>
    <xf borderId="0" fillId="0" fontId="6" numFmtId="9" xfId="0" applyAlignment="1" applyFont="1" applyNumberFormat="1">
      <alignment horizontal="right" readingOrder="0" shrinkToFit="0" vertical="bottom" wrapText="0"/>
    </xf>
    <xf borderId="0" fillId="0" fontId="4" numFmtId="0" xfId="0" applyFont="1"/>
    <xf borderId="0" fillId="0" fontId="6" numFmtId="0" xfId="0" applyAlignment="1" applyFont="1">
      <alignment shrinkToFit="0" vertical="bottom" wrapText="0"/>
    </xf>
    <xf borderId="0" fillId="0" fontId="6" numFmtId="10" xfId="0" applyAlignment="1" applyFont="1" applyNumberFormat="1">
      <alignment horizontal="right" readingOrder="0" shrinkToFit="0" vertical="bottom" wrapText="0"/>
    </xf>
    <xf borderId="0" fillId="0" fontId="6" numFmtId="168" xfId="0" applyAlignment="1" applyFont="1" applyNumberFormat="1">
      <alignment readingOrder="0" shrinkToFit="0" vertical="bottom" wrapText="0"/>
    </xf>
    <xf borderId="0" fillId="0" fontId="5" numFmtId="164" xfId="0" applyAlignment="1" applyFont="1" applyNumberFormat="1">
      <alignment horizontal="right" vertical="bottom"/>
    </xf>
    <xf borderId="0" fillId="0" fontId="5" numFmtId="0" xfId="0" applyAlignment="1" applyFont="1">
      <alignment vertical="bottom"/>
    </xf>
    <xf borderId="0" fillId="15" fontId="33" numFmtId="0" xfId="0" applyAlignment="1" applyFill="1" applyFont="1">
      <alignment vertical="bottom"/>
    </xf>
    <xf borderId="1" fillId="15" fontId="33" numFmtId="0" xfId="0" applyAlignment="1" applyBorder="1" applyFont="1">
      <alignment shrinkToFit="0" vertical="bottom" wrapText="0"/>
    </xf>
    <xf borderId="0" fillId="15" fontId="33" numFmtId="0" xfId="0" applyAlignment="1" applyFont="1">
      <alignment vertical="bottom"/>
    </xf>
    <xf borderId="1" fillId="15" fontId="34" numFmtId="0" xfId="0" applyAlignment="1" applyBorder="1" applyFont="1">
      <alignment readingOrder="0" shrinkToFit="0" vertical="bottom" wrapText="0"/>
    </xf>
    <xf borderId="1" fillId="15" fontId="5" numFmtId="0" xfId="0" applyAlignment="1" applyBorder="1" applyFont="1">
      <alignment vertical="bottom"/>
    </xf>
    <xf borderId="1" fillId="15" fontId="35" numFmtId="0" xfId="0" applyAlignment="1" applyBorder="1" applyFont="1">
      <alignment vertical="bottom"/>
    </xf>
    <xf borderId="1" fillId="15" fontId="35" numFmtId="0" xfId="0" applyAlignment="1" applyBorder="1" applyFont="1">
      <alignment shrinkToFit="0" vertical="bottom" wrapText="0"/>
    </xf>
    <xf borderId="0" fillId="15" fontId="36" numFmtId="0" xfId="0" applyAlignment="1" applyFont="1">
      <alignment vertical="bottom"/>
    </xf>
    <xf borderId="1" fillId="15" fontId="36" numFmtId="0" xfId="0" applyAlignment="1" applyBorder="1" applyFont="1">
      <alignment vertical="bottom"/>
    </xf>
    <xf borderId="1" fillId="15" fontId="36" numFmtId="0" xfId="0" applyAlignment="1" applyBorder="1" applyFont="1">
      <alignment shrinkToFit="0" vertical="bottom" wrapText="0"/>
    </xf>
    <xf borderId="0" fillId="0" fontId="8" numFmtId="0" xfId="0" applyFont="1"/>
    <xf borderId="0" fillId="0" fontId="8" numFmtId="164" xfId="0" applyFont="1" applyNumberFormat="1"/>
    <xf borderId="0" fillId="16" fontId="37" numFmtId="0" xfId="0" applyAlignment="1" applyFill="1" applyFont="1">
      <alignment horizontal="center" shrinkToFit="0" wrapText="1"/>
    </xf>
    <xf borderId="0" fillId="17" fontId="38" numFmtId="0" xfId="0" applyAlignment="1" applyFill="1" applyFont="1">
      <alignment vertical="bottom"/>
    </xf>
    <xf borderId="0" fillId="18" fontId="39" numFmtId="0" xfId="0" applyAlignment="1" applyFill="1" applyFont="1">
      <alignment horizontal="center" vertical="bottom"/>
    </xf>
    <xf borderId="0" fillId="16" fontId="37" numFmtId="0" xfId="0" applyAlignment="1" applyFont="1">
      <alignment horizontal="center" shrinkToFit="0" vertical="center" wrapText="1"/>
    </xf>
    <xf borderId="0" fillId="16" fontId="40" numFmtId="0" xfId="0" applyAlignment="1" applyFont="1">
      <alignment horizontal="center" shrinkToFit="0" vertical="center" wrapText="1"/>
    </xf>
    <xf borderId="0" fillId="15" fontId="41" numFmtId="0" xfId="0" applyAlignment="1" applyFont="1">
      <alignment vertical="bottom"/>
    </xf>
    <xf borderId="0" fillId="0" fontId="5" numFmtId="0" xfId="0" applyAlignment="1" applyFont="1">
      <alignment horizontal="right" vertical="bottom"/>
    </xf>
    <xf borderId="0" fillId="0" fontId="5" numFmtId="169" xfId="0" applyAlignment="1" applyFont="1" applyNumberFormat="1">
      <alignment horizontal="right" readingOrder="0" vertical="bottom"/>
    </xf>
    <xf borderId="0" fillId="5" fontId="39" numFmtId="0" xfId="0" applyAlignment="1" applyFont="1">
      <alignment horizontal="center" vertical="bottom"/>
    </xf>
    <xf borderId="0" fillId="5" fontId="42" numFmtId="9" xfId="0" applyAlignment="1" applyFont="1" applyNumberFormat="1">
      <alignment horizontal="center" vertical="bottom"/>
    </xf>
    <xf borderId="0" fillId="19" fontId="43" numFmtId="0" xfId="0" applyAlignment="1" applyFill="1" applyFont="1">
      <alignment horizontal="center" readingOrder="0"/>
    </xf>
    <xf borderId="0" fillId="19" fontId="43" numFmtId="1" xfId="0" applyAlignment="1" applyFont="1" applyNumberFormat="1">
      <alignment horizontal="center"/>
    </xf>
    <xf borderId="0" fillId="0" fontId="5" numFmtId="1" xfId="0" applyAlignment="1" applyFont="1" applyNumberFormat="1">
      <alignment vertical="bottom"/>
    </xf>
    <xf borderId="0" fillId="0" fontId="5" numFmtId="169" xfId="0" applyAlignment="1" applyFont="1" applyNumberFormat="1">
      <alignment vertical="bottom"/>
    </xf>
    <xf borderId="0" fillId="0" fontId="8" numFmtId="10" xfId="0" applyFont="1" applyNumberFormat="1"/>
    <xf borderId="0" fillId="17" fontId="44" numFmtId="0" xfId="0" applyAlignment="1" applyFont="1">
      <alignment horizontal="center" vertical="bottom"/>
    </xf>
    <xf borderId="0" fillId="17" fontId="44" numFmtId="0" xfId="0" applyAlignment="1" applyFont="1">
      <alignment horizontal="center" vertical="bottom"/>
    </xf>
    <xf borderId="0" fillId="20" fontId="45" numFmtId="0" xfId="0" applyAlignment="1" applyFill="1" applyFont="1">
      <alignment horizontal="center" readingOrder="0"/>
    </xf>
    <xf borderId="0" fillId="0" fontId="8" numFmtId="170" xfId="0" applyAlignment="1" applyFont="1" applyNumberFormat="1">
      <alignment readingOrder="0"/>
    </xf>
    <xf borderId="0" fillId="21" fontId="46" numFmtId="0" xfId="0" applyAlignment="1" applyFill="1" applyFont="1">
      <alignment vertical="bottom"/>
    </xf>
    <xf borderId="0" fillId="5" fontId="47" numFmtId="1" xfId="0" applyAlignment="1" applyFont="1" applyNumberFormat="1">
      <alignment horizontal="center" vertical="bottom"/>
    </xf>
    <xf borderId="0" fillId="16" fontId="48" numFmtId="10" xfId="0" applyAlignment="1" applyFont="1" applyNumberFormat="1">
      <alignment horizontal="center"/>
    </xf>
    <xf borderId="0" fillId="18" fontId="47" numFmtId="1" xfId="0" applyAlignment="1" applyFont="1" applyNumberFormat="1">
      <alignment horizontal="center" vertical="bottom"/>
    </xf>
    <xf borderId="0" fillId="18" fontId="49" numFmtId="9" xfId="0" applyAlignment="1" applyFont="1" applyNumberFormat="1">
      <alignment horizontal="center" vertical="bottom"/>
    </xf>
    <xf borderId="0" fillId="5" fontId="49" numFmtId="9" xfId="0" applyAlignment="1" applyFont="1" applyNumberFormat="1">
      <alignment horizontal="center" vertical="bottom"/>
    </xf>
    <xf borderId="0" fillId="0" fontId="8" numFmtId="1" xfId="0" applyFont="1" applyNumberFormat="1"/>
    <xf borderId="0" fillId="20" fontId="50" numFmtId="0" xfId="0" applyAlignment="1" applyFont="1">
      <alignment horizontal="center"/>
    </xf>
    <xf borderId="0" fillId="20" fontId="50" numFmtId="1" xfId="0" applyAlignment="1" applyFont="1" applyNumberFormat="1">
      <alignment horizontal="center"/>
    </xf>
    <xf borderId="0" fillId="2" fontId="34" numFmtId="0" xfId="0" applyAlignment="1" applyFont="1">
      <alignment vertical="bottom"/>
    </xf>
    <xf borderId="0" fillId="0" fontId="5" numFmtId="10" xfId="0" applyAlignment="1" applyFont="1" applyNumberFormat="1">
      <alignment vertical="bottom"/>
    </xf>
    <xf borderId="0" fillId="20" fontId="51" numFmtId="0" xfId="0" applyAlignment="1" applyFont="1">
      <alignment horizontal="center" vertical="bottom"/>
    </xf>
    <xf borderId="0" fillId="16" fontId="52" numFmtId="10" xfId="0" applyAlignment="1" applyFont="1" applyNumberFormat="1">
      <alignment horizontal="center" vertical="bottom"/>
    </xf>
  </cellXfs>
  <cellStyles count="1">
    <cellStyle xfId="0" name="Normal" builtinId="0"/>
  </cellStyles>
  <dxfs count="2">
    <dxf>
      <font/>
      <fill>
        <patternFill patternType="solid">
          <fgColor rgb="FFB7E1CD"/>
          <bgColor rgb="FFB7E1CD"/>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614" sheet="Hedef Liste"/>
  </cacheSource>
  <cacheFields>
    <cacheField name="Restaurant ID" numFmtId="0">
      <sharedItems>
        <s v="5ff2f522e5886ade7f95c664"/>
        <s v="60476b283ca27400207fbf26"/>
        <s v="609523a9cdfc10ad229f0016"/>
        <s v="5fdc980a677179fbcebca723"/>
        <s v="5fd2434c74b885204e058ea7"/>
        <s v="61e903e12f86de2d69cd7435"/>
        <s v="60e4210f3dc05857257bd751"/>
        <s v="61b8d603e492d21fa9d22c12"/>
        <s v="61bc76b2cfa49e2f7163db46"/>
        <s v="620bd78cdf3d594c19d20b28"/>
        <s v="6130c94e1e3f4b837f22a193"/>
        <s v="6110430691aca476a6279eb4"/>
        <s v="61a8d5d02c33a9fb4f2e0b8e"/>
        <s v="61e14231e2b19c723200d4aa"/>
        <s v="61f8203ce7f2725c65d56b31"/>
        <s v="5fdb9cf9521daf8d68679514"/>
        <s v="6166e31190a1b0c4cdd796d7"/>
        <s v="61cc7a6ed0f64b3ca7a85762"/>
        <s v="5fda06ff8e3739fd3a13204a"/>
        <s v="60e5b7c557031a248f0d2c1c"/>
        <s v="6227a4948eff0032b06d42b7"/>
        <s v="5fda0d214a5aa19b40da7467"/>
        <s v="6192251d4e902f570f793b74"/>
        <s v="623e17df82283e1aa18ccb06"/>
        <s v="61f822875bb75953ca722175"/>
        <s v="614a1fd8ade6451dc4787606"/>
        <s v="6006a6da3c42003af6bef424"/>
        <s v="614a1ab51cc882677b63dd31"/>
        <s v="60422696b826f0d63b306be6"/>
        <s v="61bc6fe34ae455c0386d1bf4"/>
        <s v="61fc2d91b572d22bc0a6acfe"/>
        <s v="61a8dcde392c8abc8fb07615"/>
        <s v="6242271b4adec638e6f07a11"/>
        <s v="618a7701adfb063b750bb16a"/>
        <s v="61d53a98874a59f37ed67c4c"/>
        <s v="610d27657ea705a07e2d4b6c"/>
        <s v="5fdb2adb1e128f82cb8143c9"/>
        <s v="5fda33ef2eff062b2f202ec3"/>
        <s v="61a8d8e82c7e5b4d44e5e19f"/>
        <s v="5fd3687e373158a727a55d19"/>
        <s v="5fd62e55e1bbde69651130d5"/>
        <s v="6040a80fa64e330bc44e2965"/>
        <s v="62276346c6158d1ea0c8f1f4"/>
        <s v="5ff32040ee0f721a2ea8e2c2"/>
        <s v="617fb86313c1432da8d083af"/>
        <s v="607eea6f5d6f24b7c39d97ad"/>
        <s v="61c4f43a8fa144fc1c51e4e7"/>
        <s v="60e4616f013efed83d8a3623"/>
        <s v="60ec00a213140085b57b3e85"/>
        <s v="6156dc7ce1feb74499d69501"/>
        <s v="61d563a0b2d3e01f4016aa8a"/>
        <s v="5ff49fd7f0267c0c9c146509"/>
        <s v="61c9c23fd8a7637c2329c94d"/>
        <s v="5fd22d23da5e216be008e307"/>
        <s v="616007115e2ddfecae83e3f7"/>
        <s v="607d9ab041375f5f5dd89094"/>
        <s v="5fd35e75d0cd4b74a1538d1a"/>
        <s v="61caf53dab56abfc5c9ff680"/>
        <s v="61bde2ce8cdd9479f51c8d2b"/>
        <s v="61e90a900dd67f91d7076e54"/>
        <s v="61f2d139e82b61735e4c6282"/>
        <s v="5ffc3779f11235c874af955c"/>
        <s v="5feae4334f55ab51149d0c40"/>
        <s v="60c4d7641c70c80e683d063c"/>
        <s v="60e41b0a12b96a79c9478889"/>
        <s v="60b912e01a727901c7f1ebd0"/>
        <s v="622f51e84d8a31861996c467"/>
        <s v="5fe5ae8f8d4d71316bae18bc"/>
        <s v="5fd9ce23a908bd05347a38a3"/>
        <s v="60a658460328fd47f789e62f"/>
        <s v="60e5d8d54a0c29934b6d658f"/>
        <s v="61c1c391e2ed2feb24ca6538"/>
        <s v="62306320bbd66e817d8d1a9d"/>
        <s v="6113fa315c3a357bd2e9a2be"/>
        <s v="6228fa0f5405c88c6ce4d2e1"/>
        <s v="614a34058e1b3e1c5aa6ae65"/>
        <s v="603c90f487fccf3820d4f8d6"/>
        <s v="611b756be8611e47b811b7da"/>
        <s v="6042129a27aa2008ce59b5fd"/>
        <s v="6094e834ddbd4462ce8d91bf"/>
        <s v="623100b1c321a81edff22787"/>
        <s v="60cae32bcbd319155babfccb"/>
        <s v="61c46e95b77575039df5c095"/>
        <s v="5fdb614589603399c7eea587"/>
        <s v="5fde26cf3587c378d752ded5"/>
        <s v="61e679ffb6b550161120e288"/>
        <s v="6110352fc45dd7a3a64c34e9"/>
        <s v="5fd0f9fbe4047ebc90fd04fb"/>
        <s v="6050762ddee5d7669530ece5"/>
        <s v="618258fdf5a47d6029f8ca78"/>
        <s v="6156d9cc14c72121121df298"/>
        <s v="5ff33c7fe5886a195295edc8"/>
        <s v="624df837082708cf65bb813b"/>
        <s v="612256ed7c71942690d4ac79"/>
        <s v="5fe47960d4987a7f7dfbd969"/>
        <s v="5fe0aee324561e4ad095f57a"/>
        <s v="61b75528ace1b18965e175e4"/>
        <s v="6166928399ad5ecd1c9d19c0"/>
        <s v="61fac54e5f067722ca188bd1"/>
        <s v="5fdb71965504790fd0da52a7"/>
        <s v="623b93df4473ae35e6fb39b3"/>
        <s v="6221d580207163759893531f"/>
        <s v="62179bc13f4f3bf18f196992"/>
        <s v="6189275b420dd38d85f34f31"/>
        <s v="5feb2ebb0e63fedc83cb0eec"/>
        <s v="5feb2b2d87a63b21c8326d81"/>
        <s v="5fe369c30345d26c817fe449"/>
        <s v="603cce4e1e5134cdd033d250"/>
        <s v="5fe1e2add3f42b18b3af05f9"/>
        <s v="611bbce500756403183648d6"/>
        <s v="622fb7e25b3d4a31a21fda02"/>
        <s v="61b9e35c7baa1012960acf4c"/>
        <s v="623e09016a101873c684e4b3"/>
        <s v="5fdcd225afe7b1b94ed2ecaf"/>
        <s v="61efe72d7185bb44d441ecb3"/>
        <s v="6198ff3f836d44c668b8c8c7"/>
        <s v="6113b7eb4fd7ef49dde24021"/>
        <s v="6048ba6a118621c60bc39af6"/>
        <s v="5ffc0bdcf11235d0feaf8a5c"/>
        <s v="602d3736c20d04e6675030ca"/>
        <s v="6166ce9b567bc34ba4641825"/>
        <s v="60019a4fd0f3ba0272100f9f"/>
        <s v="624697f53f7f082be9f10786"/>
        <s v="61102d97ef593b2b59dda807"/>
        <s v="607d7c1ede7ecf2fc7a531b6"/>
        <s v="604be1a11bdb7fb44820b0be"/>
        <s v="61f11ea7593bfcc345b88d63"/>
        <s v="61e90f3379045e78971984ee"/>
        <s v="625163fb302e12731445a7ad"/>
        <s v="6231046ec789917bfb412e12"/>
        <s v="60e5c1c26ce46d2ac41405f2"/>
        <s v="60f00e7e9b2a2c36bfddc821"/>
        <s v="62310da72d88d03040a40570"/>
        <s v="60c86bb0f07269c7992f0467"/>
        <s v="604b567f93656d42c8b6924c"/>
        <s v="60081426f5c83e4e6791142f"/>
        <s v="61d534b85e55ea3ebd885f0f"/>
        <s v="6231888595feff3252d94ea9"/>
        <s v="6253345fcdcc3477eda1a6bf"/>
        <s v="6234ed4ea93c3db47441fea2"/>
        <s v="62486cdf3a20a93829c09a48"/>
        <s v="6252af035d104623e86c0235"/>
        <s v="6252c3051cfdec228a710421"/>
        <s v="61de993390c39bd0edd1cbf0"/>
        <s v="5fda2b5c700b9be9df4950a6"/>
        <s v="615bfc3c91ce4235d8aec47b"/>
        <s v="604370f11e89a9128d665864"/>
        <s v="60a63dfd07150696af332ad2"/>
        <s v="619627f8836d444fb7528395"/>
        <s v="5fe2fa620345d282cc7fd2d5"/>
        <s v="61102fa21d32018d57df116d"/>
        <s v="5fdb4a83b62a1d4aa38182e9"/>
        <s v="5ff731f3bb116173ba759981"/>
        <s v="61b281ebb212cb2568928392"/>
        <s v="5fd88b8f4304e6a50bca03b8"/>
        <s v="5fd888eb4d587052641b84f8"/>
        <s v="5fd88ce34d58709ff41b8589"/>
        <s v="6065b2013fba85dfdc2c193d"/>
        <s v="61bdaf49edd604b108c4cba5"/>
        <s v="61e9077694bbb724ccfe1d18"/>
        <s v="614ce39769ae304a46a08c7c"/>
        <s v="5fe5ee78ad8a38103124db30"/>
        <s v="5fdb39278960330c8ceea394"/>
        <s v="5ffc7a5e937d1b9078bd54a7"/>
        <s v="5fdb15dd03d1e67e93e0600e"/>
        <s v="60069d335e157f504ed866e4"/>
        <s v="6207a3387b919d6755b914e3"/>
        <s v="607ebf7a58e435a36e986b72"/>
        <s v="61bc6a5db9af94342346ed52"/>
        <s v="617fafa30941d28381502b51"/>
        <s v="5fd38a6114bd88195baa95ec"/>
        <s v="6220ab5a1c94713e4fac66c1"/>
        <s v="5fd0924b16bc584b48db4e98"/>
        <s v="617005ea2b05cb2d0aef02cf"/>
        <s v="61ba0ad927cfce11874fcdb2"/>
        <s v="6223a7c10067fda63c3dbfef"/>
        <s v="6048c4c027aa2031315b8e93"/>
        <s v="61150b912d648c8effdd0210"/>
        <s v="620795f422f881779b40534c"/>
        <s v="62533f22164c070fa0696101"/>
        <s v="61b8de46b9af94c8c4ae7636"/>
        <s v="6228a106776ec6174363cbd0"/>
        <s v="61b73f50c352a1f4c5bca83c"/>
        <s v="6228a59177bf6aca6a983162"/>
        <s v="61b73b29c352a1c182bb96b1"/>
        <s v="6228a8674670d9757c9621d8"/>
        <s v="61b73caa307ae554dad244aa"/>
        <s v="6196614e2b421d3fbde1d0b8"/>
        <s v="61c445796ad39c8085a33420"/>
        <s v="622fad7d86911f6481164b46"/>
        <s v="5fe1c0b56ce3dd9f37cfd74d"/>
        <s v="6233900c8cfe1e7c68d57c60"/>
        <s v="5feaf45adc26c732aad052c0"/>
        <s v="623efe4fee9d439f3d670376"/>
        <s v="5fcfd64e40fbdb8962745940"/>
        <s v="62338d248ae6262839d64241"/>
        <s v="617001f241c58959fc76d760"/>
        <s v="6177cfe5e69f8b6e96608384"/>
        <s v="6177d13cad67cfdae628e600"/>
        <s v="61be02cdab91f507233807f1"/>
        <s v="5fd5e388cba35d420dd1898e"/>
        <s v="623240e8a018803c5e12a2f5"/>
        <s v="625ac89f3987772e723f3209"/>
        <s v="61f2cf6a0c08b5659373c751"/>
        <s v="6231849de64f28ea2d727f96"/>
        <s v="61c1a9e0683d374090f0c09a"/>
        <s v="61e680ee2d69d30b2b933ff9"/>
        <s v="5fea19c5e97c0d573cd0f99e"/>
        <s v="5ff72602e348f64d26a1cde3"/>
        <s v="608016cba1b8bed169d62760"/>
        <s v="6227614b45c0dc2135c244ef"/>
        <s v="624b32d790f7c3ea21b06625"/>
        <s v="621793a4f6a8cabdecc9e78b"/>
        <s v="5fd62ba19685d478b8ef41ff"/>
        <s v="5ff9b9d9b765dd641db09ab1"/>
        <s v="5ff478dcce622f8f63cd4b60"/>
        <s v="624bfdcdb9d1df3812d1c5e5"/>
        <s v="620bdcf587b2af72789c83fc"/>
        <s v="6254854a13747771da526820"/>
        <s v="6019637aa9c5cf9665c50d65"/>
        <s v="5fec84f1333ef59d50af42eb"/>
        <s v="6156d69a3f7ee81e0f44f3f3"/>
        <s v="5fd892204d8cc04fbb7f3fae"/>
        <s v="5fd88f8043e70230231acefd"/>
        <s v="5fd893afd92b42038db945c8"/>
        <s v="60e423824c4404836a677c6e"/>
        <s v="603e1a51bd73dd8c09e659d1"/>
        <s v="6108ffc2ca892c6f147c61e4"/>
        <s v="624b264b18048df4d7acb977"/>
        <s v="61b9fc813b26a224b120d224"/>
        <s v="625189c0fd90594ce43e9da4"/>
        <s v="6196581b0b5c73f036cc88e4"/>
        <s v="60b6530f8d4a686d59845387"/>
        <s v="6252b5c6df13af24f1c81211"/>
        <s v="624870e0b1916d6dfccc54d0"/>
        <s v="6220c26a86b42d7213d2b11d"/>
        <s v="6254881f9d7cd3a4906d74ee"/>
        <s v="5fddfc12fdea333ff4dec27b"/>
        <s v="607eb8b5d384d4a611d37047"/>
        <s v="625489eb164c07e77d98574d"/>
        <s v="61d566bc0e3cdd36fd5e240d"/>
        <s v="60b8fbc42d25bfe8ef11b846"/>
        <s v="619a39df8ba522fe788fcdb2"/>
        <s v="62324ed08fc9bb5cdc9380fd"/>
        <s v="6238d1d9f3920243e967ec30"/>
        <s v="617159c388c63b1606443529"/>
        <s v="5ff348fe3458677f85478293"/>
        <s v="60f004239808020427fe55ae"/>
        <s v="61bca70d381129e96f95cb24"/>
        <s v="60e2ca0165e5e1fe12ccf762"/>
        <s v="61bcaf426d012a2324cb49fc"/>
        <s v="60a8e5abf15cb1d6b1717ac7"/>
        <s v="60e5c92f4fc59a83b552aff2"/>
        <s v="5fe0c7910a229935fa90f782"/>
        <s v="6228bfb42b92aee6b5f7fb05"/>
        <s v="61eff4a399a8885d0e11e9f1"/>
        <s v="6223b823602e78378b53f391"/>
        <s v="61f81e8c298e233419bfa795"/>
        <s v="614ce109d712ac3c011ed967"/>
        <s v="6040c8793f01ac892e83abd9"/>
        <s v="6220b4e6cd3459997386df5b"/>
        <s v="5fcfd488f6dd3a5bc82596bd"/>
        <s v="5fcfd35e16bc5879a1db4701"/>
        <s v="5fe5c275ce622f0674cb33d9"/>
        <s v="60408eecc6abf4ac0ae09798"/>
        <s v="6233555f84f29c03cecb0138"/>
        <s v="62221fb8c2d3fbc67036e7f5"/>
        <s v="61facd325c09deef5617438c"/>
        <s v="623e0ddfe670bce4ddf3e323"/>
        <s v="6180e4008add790da7dcf398"/>
        <s v="5ffc472a68b4947f398ee949"/>
        <s v="6113f725b13ec61925f5e54a"/>
        <s v="6234967e32f2290ae9fd400a"/>
        <s v="60ad0859cae63695d9f32423"/>
        <s v="61f1181b192409248a45d484"/>
        <s v="601aadb23740f15bd4a0c843"/>
        <s v="616697bb638d1fef7191fdb2"/>
        <s v="622755b4ad4d95515f0188b7"/>
        <s v="602fd380fbe5056de6aa0b73"/>
        <s v="5fe9e4e458f3ac1da0e55890"/>
        <s v="623b6a02905f4c3ebf1bf4cb"/>
        <s v="61c4eaba66ddc459eef16c43"/>
        <s v="61d536d79bc9e9a82db3cec4"/>
        <s v="62515da7ee180c1eab3cf74e"/>
        <s v="623389c0d5e74bd3175d7db5"/>
        <s v="61a8e411ad353bf94d24435e"/>
        <s v="617983b8b5b6ed558e191735"/>
        <s v="5fde39ef2a802bc980fc9588"/>
        <s v="6223bb67dea08955093792f3"/>
        <s v="6223a1e5068ef906a2a1bf1b"/>
        <s v="61bb26edcfa49e7f8d27532d"/>
        <s v="624c0bddb9d1dfcd1cd43b82"/>
        <s v="60c354c33a3146e29853ac8b"/>
        <s v="60211577252c442ebb13b73f"/>
        <s v="5ff597ef1687ab0bc7cc1443"/>
        <s v="615ac7a9c0920d1b67119dab"/>
        <s v="60c0ad195a60787271e369d2"/>
        <s v="5fd21bb199fe01829eadd170"/>
        <s v="5ff741f937b18126ca06b117"/>
        <s v="616d3cf2ae15f6a6bb4efbb4"/>
        <s v="617141d314af6f493def8cdb"/>
        <s v="614a166e092473606f3d7443"/>
        <s v="62220239abb2a67ac0446469"/>
        <s v="5fe44599d108fc934e2c5492"/>
        <s v="62302beac78991f8bc0ce7c0"/>
        <s v="61684025160544a76a5f34fb"/>
        <s v="5ff2e397e152154e7196b321"/>
        <s v="616844d29f075aa20def72db"/>
        <s v="61cd79daf46da4486e0ddafb"/>
        <s v="60c4e9bf2e51a7123468fd22"/>
        <s v="619262d251c1a06d9368ed0d"/>
        <s v="61a5211474a1d1659e3564af"/>
        <s v="60c4be1904ae932dfbb03ecd"/>
        <s v="5fd9ef565cb58955dd0f7178"/>
        <s v="621f3ce83831a1f8c8530c7f"/>
        <s v="623b72eb866cd204765bd0a5"/>
        <s v="61668efbccf6694d6f32ed28"/>
        <s v="609520061094112065be2edb"/>
        <s v="5fd760b614bd887f10aadbcd"/>
        <s v="623106f924f838226c0abd01"/>
        <s v="602e2c955eff1062c60e5ebe"/>
        <s v="60b6042df6e30a9807d2602b"/>
        <s v="61825b0df5a47d4edef92fd6"/>
        <s v="623e11d4450242cb13ae737f"/>
        <s v="61b723bc74acd35437951513"/>
        <s v="60f01bad84bde92cc6814783"/>
        <s v="622fa64d5982524a0c6ad1b7"/>
        <s v="622fa8fe33638ca813abd34a"/>
        <s v="61922ce94c33d57cf80be2c2"/>
        <s v="602fcb29b868aa6fc7f784ce"/>
        <s v="61a875ca97cdddce056d9061"/>
        <s v="61d56b75c57bbc5533df3142"/>
        <s v="5fd355b7d595925ebebc025c"/>
        <s v="6184d8599a98977bca349224"/>
        <s v="6228b94e37f508ac4ec4b2e4"/>
        <s v="5fe1ca54d108fc70502c1838"/>
        <s v="614a13605c47fc700f2d0e10"/>
        <s v="620cf93ef10a92e0a35d45c7"/>
        <s v="61a8df2275c86a429a6ca60d"/>
        <s v="5fde21a7c0e54fc0bc873ea7"/>
        <s v="620bf8087e19f325dd6631ef"/>
        <s v="6231fde2951a398f66db5670"/>
        <s v="6258190d1c5e6ecfa1054e99"/>
        <s v="60953f90df86fb51c69bb48c"/>
        <s v="6005cc48952e805549fac4f6"/>
        <s v="5ff5a20cc291bc7f0b998883"/>
        <s v="602be3ecc20d041c334fab8a"/>
        <s v="6095303ca2333039a98950c2"/>
        <s v="60abd7fd9a85be27b400148c"/>
        <s v="61b8db3a88979fd0785a8392"/>
        <s v="602e96be17a376771a363a47"/>
        <s v="61bc624f7594006dffb58771"/>
        <s v="61700a35d7675287da00a4ed"/>
        <s v="61ee5dc89893d35f468e2962"/>
        <s v="61cb9d4f1a9c3278a9e04e65"/>
        <s v="6110384aedd456644a4db8db"/>
        <s v="61c1af931a8109a20fb7b81b"/>
        <s v="6065737eaa47296ce1ab6d05"/>
        <s v="617fb124e82a54aa79a7eb88"/>
        <s v="6227a916c7e22ff1c1e8f760"/>
        <s v="61e5206f1697af1351c8d84f"/>
        <s v="61714ad1e3ffea8d1945a1ad"/>
        <s v="6040bdda56cff1c6f6d8259c"/>
        <s v="6220cfcdb4053c64e431da02"/>
        <s v="61f1166eda0e364393e52e97"/>
        <s v="6156f1a2bd56572a7d799f1c"/>
        <s v="622341702cfb87110e3e9f0b"/>
        <s v="5fdc94c01cce5e11471242ca"/>
        <s v="60659fbb2ae8317ce77d3636"/>
        <s v="61de94bff9e539f75f324499"/>
        <s v="620cf490318b2d8c25e0a8fe"/>
        <s v="615f2b339620107892813c1e"/>
        <s v="61965a7f2d0b295cfc501ad9"/>
        <s v="60058169a2992703a59821fe"/>
        <s v="61c449902c30504f0ba42465"/>
        <s v="60e880915c794e8754ffcbe1"/>
        <s v="6228d52fc7e22f2a740ff9f7"/>
        <s v="5ff41e7dee0f724013a910a3"/>
        <s v="61b27f58d9d8e031abe0ff68"/>
        <s v="611514da12626ec07f3e5547"/>
        <s v="6223b44390c754d10a0059e7"/>
        <s v="61c9e8a21a9c328ea084b2f2"/>
        <s v="61b8fa923b26a21d4afd4f0d"/>
        <s v="62178ce0c17685a98ca03219"/>
        <s v="61f81c3c354547515bb34380"/>
        <s v="61b13a373ddd9dce9cdb4d71"/>
        <s v="61b27cfac722cffa08d18aeb"/>
        <s v="623028974fcbab382c2a477b"/>
        <s v="6218d78bd7640b50bf006ed9"/>
        <s v="60e45654ae2d741ab2105d2a"/>
        <s v="60e8497699a88e7962fa778d"/>
        <s v="61892a31da681287fd06fe57"/>
        <s v="61fad135386cd9252ac40e77"/>
        <s v="609549e51094113a46be35e3"/>
        <s v="5fdb2510a98b4461e987e1e4"/>
        <s v="61c1a70b27cfce810aabf962"/>
        <s v="5fe9b74837c1db08af554bf8"/>
        <s v="61bd9c261bcbb55c9f8d8f98"/>
        <s v="6188fb94aa80f47cea8c6db1"/>
        <s v="623383d4ed50627eadbce480"/>
        <s v="60e47952d6000998fc7ec79f"/>
        <s v="60ad1194094caa2b5af12208"/>
        <s v="6232469a214d94c4394ab9e5"/>
        <s v="623f2835195cc7ee92a0752d"/>
        <s v="61a8e1b4392c8a85c3b1e80a"/>
        <s v="6246a2e9f1f193783b0e2981"/>
        <s v="61d5ae0b03dc6d15e8573603"/>
        <s v="61bbbf34a45cb743ebc01d92"/>
        <s v="5fcfda0e3b9b584d12f2eb62"/>
        <s v="6221cca693f7b697c6adff61"/>
        <s v="60e44f67c26e82e916e1d21e"/>
        <s v="61102a731cebd16515606c90"/>
        <s v="604b79642b0150c13d337d05"/>
        <s v="6030c89f8364b8010f99415b"/>
        <s v="5ffc50cd62a03e4247a1b989"/>
        <s v="5ff835993c3b6e5ca661765f"/>
        <s v="5ffc5b7458e9c177a1d81f42"/>
        <s v="603484baa22c616613734d6e"/>
        <s v="603d0762338267de2c407847"/>
        <s v="5fe0d86d7ec992040df2bb35"/>
        <s v="60057a70ea376d3881bd930b"/>
        <s v="60097850e4ab4e28df9263fa"/>
        <s v="5fe0d5e7a8ae93367aba5dbd"/>
        <s v="608ff0e142ef5d6fbe91a6fd"/>
        <s v="602bc229e77af63df6138e8f"/>
        <s v="607993751e398b5efe1c9480"/>
        <s v="605464131852ede9d7c1e186"/>
        <s v="5fdc9f723342c92faca69fa9"/>
        <s v="624cb446243b4966c87aa873"/>
        <s v="624b2dcc11bd174b51785487"/>
        <s v="61c339645b41a75d41ef6431"/>
        <s v="5fd0d8754a2e1e3f0a43d08e"/>
        <s v="61fad48c423d83588a3a6df6"/>
        <s v="61fc333800f1267d1b6811ae"/>
        <s v="623b6cb67b3f93605331efd7"/>
        <s v="623f1ab66c094a420ac7e523"/>
        <s v="60c8c7c9fdf4edd2b7d0fadb"/>
        <s v="60effe333a193d5674f7da99"/>
        <s v="6019467d84e0f9539c1980bd"/>
        <s v="611044bb8dd391443099e0a0"/>
        <s v="620271237800d988fa949cc9"/>
        <s v="62324461328bba497eb7f064"/>
        <s v="61f11a21519c0dbcd044169a"/>
        <s v="61f11cd0165be76fcdca5f2a"/>
        <s v="61bc9f7ecfa49e2ae96fec3d"/>
        <s v="5fde1230cd4e0c0fe9169e3a"/>
        <s v="61cc7c28cdaf7f0b88c9c043"/>
        <s v="5fd8aa3f9bbfb565870f93a5"/>
        <s v="5fe466a7daff1697306e9b1a"/>
        <s v="6234dd5e7289cc6c654e81b4"/>
        <s v="6198e3d5da8795361589fc16"/>
        <s v="5fe630f1a415e942fd3bdcd8"/>
        <s v="5fd0ff9505812e050154748d"/>
        <s v="625191b9d9cf11e8b9ec9f09"/>
        <s v="602be89553e01d3aab4efdb8"/>
        <s v="5feb4b2152fcdacdb1cae3cf"/>
        <s v="6218cc150fa31061efd3f1fc"/>
        <s v="61bda4e14188849f5f80f74f"/>
        <s v="619654e22d0b29046a4ef6fa"/>
        <s v="5fd74ed2f2da101d9cd52d3c"/>
        <s v="620cfdf8c5efbb430e87db6d"/>
        <s v="611503130887c8e2f58efe86"/>
        <s v="623b8ec8b7d66e0be744c6df"/>
        <s v="5fe48cea39426cfbe7630d87"/>
        <s v="606b052b12cde6e27fd044b2"/>
        <s v="6006ac51f69aa45cdf46a48a"/>
        <s v="5fd3729af32e1d63d615f443"/>
        <s v="5fd36f209d31ca279fac24a6"/>
        <s v="608e8bd4800b4908a6caaba4"/>
        <s v="603e0f103bc29074892d10e8"/>
        <s v="602fa33e6a39b5bac16e090e"/>
        <s v="607456b51d3de93f8155e322"/>
        <s v="5fd7298fa9ef54dabbaf291f"/>
        <s v="611543d50cbe70e2d5d7d853"/>
        <s v="5fd9be5ba991c5695b36baf9"/>
        <s v="6230fc372707f2d1d8e38e84"/>
        <s v="625808420fbec22525571def"/>
        <s v="61e67e2d933d1279d6d8823f"/>
        <s v="6033d0b06c98ae6a73f05a84"/>
        <s v="60a8fb2f04a5e25a9e4fa773"/>
        <s v="62518c9abe454b2ba7adab59"/>
        <s v="5fcfdc54b13fa6167404bcdb"/>
        <s v="623112e71b6c777a11990d00"/>
        <s v="60a682ba7bb7685bbfdf4116"/>
        <s v="60acdcaf4e6fb9293c8d1096"/>
        <s v="614a2949079a9112fadf29be"/>
        <s v="6166e6db93c0976a337ec2f2"/>
        <s v="5ff8657e1f40a36ca190cd68"/>
        <s v="623386d584f29c5e79db8f68"/>
        <s v="614a31645c47fc18493240e9"/>
        <s v="6207b367d04c332496c1597d"/>
        <s v="60b8b7011a727930acf1ddfa"/>
        <s v="603cb7a9d6d0ad1c69916cd5"/>
        <s v="621f545f6c918df22c15ddaf"/>
        <s v="60e85184bb517855460fd3bf"/>
        <s v="60cb1cbbe90b9d179e2320b0"/>
        <s v="611c12c1b3ae9e34d820a313"/>
        <s v="60b61c683d811e869e854221"/>
        <s v="60c891919aeae2441c5e7836"/>
        <s v="625340fa752ee79c223b262c"/>
        <s v="6095254b1cd9ac18bf5c3568"/>
        <s v="61b1412583725caf1f424ecb"/>
        <s v="5ff982a758e9c1df43d7acfe"/>
        <s v="614a2ae4b7b365dc8342fcbe"/>
        <s v="608fd7e5d69d45210753e506"/>
        <s v="61212ed29595e48192dabdf0"/>
        <s v="622fa44604ae8525bf0566ea"/>
        <s v="60acec234ec74ff9cab534ee"/>
        <s v="609fc1ebd08155ece6996889"/>
        <s v="623b7807ddfaeea46de0fa53"/>
        <s v="61e034cf936be8314e2c0aeb"/>
        <s v="5fde318f9d1be3846bf67ed4"/>
        <s v="5fd1fc1c8836ed32129f972c"/>
        <s v="5fddc6352ef1230e7f200df3"/>
        <s v="5fe5dd8487a63b821a31681b"/>
        <s v="5fd09c260bffcf5a90f4ee5b"/>
        <s v="5ff2d70258f3ac23d7e6f8d0"/>
        <s v="607d86f4631e801358b9d703"/>
        <s v="623b91876b06cd4faecf4e19"/>
        <s v="6230f8c16bd69bf4b44ae20d"/>
        <s v="5fe0bc9920df6eb3ecc1a6df"/>
        <s v="61d532925535bf2024974f71"/>
        <s v="5fe30c45bd719f319abd9a0c"/>
        <s v="604645dc0392aa76d8222a24"/>
        <s v="610d518ceb3658501de3c37c"/>
        <s v="61a5245d23d8b63a5ef23092"/>
        <s v="5fda36f0a991c50ed136d1c3"/>
        <s v="5fd5dc157b8824d7ce7e6222"/>
        <s v="5fd74b1e2d47e08d6c9ee608"/>
        <s v="6218c1636c5dc26d762189c4"/>
        <s v="623a25edd5e74b3f576edcba"/>
        <s v="625336f1c8c512c4188390d8"/>
        <s v="62318a80f09d8e761487a553"/>
        <s v="6075979025c34ab30bcefbbe"/>
        <s v="61c9bffd68eaea9ee70dcde9"/>
        <s v="5fd2296868278b853ec57e74"/>
        <s v="623395658962a7555e133fe5"/>
        <s v="604656cb133a297d5f421e1f"/>
        <s v="61b7296982c8f44fb03c37c2"/>
        <s v="612258bc1966eb9bd82df70d"/>
        <s v="614a21ded9a572a9fc8ce6b3"/>
        <s v="620cf74c738a85800c32ea50"/>
        <s v="62079ff83f985cfb8967eba4"/>
        <s v="5fe0776a0654ee76a3e8b318"/>
        <s v="6238d8c18cfe1e191aa834e1"/>
        <s v="61eff75694ddc1d89325a08b"/>
        <s v="5fdb8ef215a8ed1b7eb96ff3"/>
        <s v="61922730dd060aea92e63b99"/>
        <s v="61caedeb282032557167d6f2"/>
        <s v="619235d010dc50b223114d49"/>
        <s v="5fe74891f0267ceee6127091"/>
        <s v="60bf67f75e62fc9ff5a539af"/>
        <s v="6156ea8c0d4437247af960fb"/>
        <s v="61212bff05b58d826f31fcb6"/>
        <s v="623358dc521ea4200c0db5de"/>
        <s v="5fd77baa12cbf32125e54708"/>
        <s v="60e4725167b6674e36e35e7b"/>
        <s v="601ac7fa4359295190948c8d"/>
        <s v="6218de026f89f484f38ee9a0"/>
        <s v="623e05e523bd14db925e329a"/>
        <s v="61c33bb2a68f5d5d01ddfdc3"/>
        <s v="604b8790f1352d484b49b519"/>
        <s v="61f2ccf99e94b3eab52adace"/>
        <s v="61c44d7e3ce9fe6c4003376c"/>
        <s v="5fd340c0a926a55f2561973d"/>
        <s v="6009b0871b307e714426e279"/>
        <s v="5ff2f124630a768747002543"/>
        <s v="6231157b1e182b4f02c0afcf"/>
        <s v="6030fa2fb868aa5953f7ada5"/>
        <s v="6156e03729183017fd6925b7"/>
        <s v="611b778a3152796203d419c3"/>
        <s v="623e0ae61b47404be30782df"/>
        <s v="6075a1dddd929297b9eb94db"/>
        <s v="5fe9939cac60e88d836cff2d"/>
        <s v="61102ba4b99f0fdaa778fb6e"/>
        <s v="5fe082d6879562b909cc54fa"/>
        <s v="602e932c1794313236072938"/>
        <s v="600e6f1b65caa781793f0603"/>
        <s v="615f324777653a4c90533e47"/>
        <s v="6218e1843831a19b07585cf9"/>
        <s v="62179741d5cecb7e8c9e9f3c"/>
        <s v="617137d77a4e4b7f710fbbf8"/>
        <s v="604b684ef5f5ce2245afa0fc"/>
        <s v="5fd9decd4f408a613ab6f926"/>
        <s v="6156ef403a59d94c92495763"/>
        <s v="6156e28273ca5c70ab4dc530"/>
        <s v="6194ed6d36ccb501335823c9"/>
        <s v="620cfb43d374c63cf738d315"/>
        <s v="622f4ea24142c95702bc20cc"/>
        <s v="61cb9f83d70ebd817a1956ef"/>
        <s v="622c941a4d8a31fb4f38b03b"/>
        <s v="6030e6637491a97a2a06cbad"/>
        <s v="6172adc1ea59b0503e7ccc21"/>
        <s v="61f82831074e31041207cd02"/>
        <s v="61bc93d7fb27cdd7a1649125"/>
        <s v="5fdc6e4f5e70c361548a543c"/>
        <s v="5ff6b0fcdef388dfe1dee198"/>
        <s v="6065ce0d4cb73c38076a0396"/>
        <s v="60b637abe9f62905516c24bf"/>
        <s v="6223c419d14928e4c0614384"/>
        <s v="6223c0bdeb4d36e3920efe4b"/>
        <s v="61deb8e2f2c13e4ea3ae2573"/>
        <s v="6223acaaed36d27e7b7d4b59"/>
        <s v="622fb16b2d88d09ce96bcb64"/>
        <s v="624877e37b4a664081871eab"/>
        <s v="6234d6b63f988a3fa850de75"/>
        <s v="618910934f4d730713655433"/>
        <s v="624874742535bb13ea73b9f2"/>
        <s v="5fd8a166a249112f1abb938e"/>
        <s v="6110265ac45dd786d149c71e"/>
        <s v="624e006b04e26f1e54100628"/>
        <s v="62318e8c8a8d3d4073a80017"/>
        <s v="5fda1cc01b92e7553b860e98"/>
      </sharedItems>
    </cacheField>
    <cacheField name="Restoran&#10;Adı" numFmtId="0">
      <sharedItems>
        <s v="@'li Burger, Melikgazi (Fatih Mah.-İldem)"/>
        <s v="1991 Tarihi Ortaköy Kumpircisi, Talas (Mevlana Mah.)"/>
        <s v="Abadan Cafe &amp; Restaurant &amp; Baklava, Kocasinan (Yeşil Mah.)"/>
        <s v="Abamın Yeri, Talas (Mevlana Mah.)"/>
        <s v="Aboww Pizza Talas (Mevlana Mah.)"/>
        <s v="Acıyaman Çiğ Köfte, Kocasinan (Sahabiye Mah.)"/>
        <s v="Acıyaman Çiğ Köfte, Melikgazi (Bahçelievler Mah.)"/>
        <s v="Acıyaman Çiğ Köfte, Melikgazi (Fatih Mah.-İldem - 2354. Sok.)"/>
        <s v="Acıyaman Çiğ Köfte, Melikgazi (Fatih Mah.-İldem)"/>
        <s v="Acıyaman Çiğ Köfte, Melikgazi (Kılıçaslan Mah.)"/>
        <s v="Acıyaman Çiğ Köfte, Melikgazi (Köşk Mah.)"/>
        <s v="Acıyaman Çiğ Köfte, Melikgazi (Yeşilyurt Mah.-İldem)"/>
        <s v="Acıyaman Çiğ Köfte, Talas (Mevlana Mah.)"/>
        <s v="Acıyaman Çiğköfte, Melikgazi (Yeniköy Mah.)"/>
        <s v="Acil Pizza Pide Lahmacun, Talas (Tablakaya Mah.)"/>
        <s v="Aç Geldim Pide &amp; Lahmacun, Talas (Mevlana Mah.)"/>
        <s v="Ada Döner, Kocasinan (Hacı Saki Mah.)"/>
        <s v="Ada Tost, Kocasinan (Mevlana Mah.)"/>
        <s v="Ada Tost, Melikgazi (Kılıçaslan Mah.)"/>
        <s v="Ada Tost, Talas (Mevlana Mah.)"/>
        <s v="Adıger Çiğ Köfte, Melikgazi (Fatih Mah. - İldem)"/>
        <s v="Adıyaman Ciğ Köftecisi Bayram Usta, (Hoca Ahmet Yesevi Mah.)"/>
        <s v="Adıyaman Çiğ Köftecisi Bayram Usta, (Erkilet Ertuğrul Gazi Mah.)"/>
        <s v="Adıyaman Çiğ Köftecisi Bayram Usta, (Erkilet Osman Gazi Mah.)"/>
        <s v="Adıyaman Çiğ Köftecisi Bayram Usta, (Yeşilyurt Mah.-İldem)"/>
        <s v="Adıyaman Çiğ Köftecisi Bayram Usta, Kocasinan (Beyazşehir Mah.)"/>
        <s v="Adıyaman Çiğ Köftecisi Bayram Usta, Kocasinan (Sümer Mah.)"/>
        <s v="Adıyaman Çiğ Köftecisi Bayram Usta, Melikgazi (Fatih Mah.-İldem)"/>
        <s v="Adıyaman Çiğ Köftecisi Bayram Usta, Melikgazi(Bahçelievler Mah.)"/>
        <s v="Adıyaman Çiğ Köftecisi Bayram Usta, Talas (Mevlana Mah.)"/>
        <s v="Adıyaman Çiğ Köftecisi Bayram Usta, Talas (Yenidoğan Mah.)"/>
        <s v="Adıyaman Çiğ Köftecisi Ömer Aybak, Melikgazi (Köşk Mah.)"/>
        <s v="Adıyaman Çiğköfte Yeri, Melikgazi (Esentepe Mah.)"/>
        <s v="Adıyaman Çiğköftecisi Bayram Usta, Kocasinan(Fevziçakmak Mah.)"/>
        <s v="Adıyaman Çiğköftecisi Bayram Usta, Kocasinan(Mimarsinan Mah.)"/>
        <s v="Adıyaman Tadımca Çiğ Köfte, Melikgazi (Keykubat Mah.)"/>
        <s v="Adıyörem Çiğ Köfte Talas (Mevlana Mah.-Halef Hoca Cad.)"/>
        <s v="Adıyörem Çiğ Köfte Talas (Mevlana Mah.-Mehmet Timuçin Cad.)"/>
        <s v="Adıyörem Çiğ Köfte, Kocasinan (Ahi Evran Mah.)"/>
        <s v="Adıyörem Çiğ Köfte, Kocasinan (Erkilet General Emir Mah.)"/>
        <s v="Adıyörem Çiğ Köfte, Kocasinan (Yavuzselim Mah.)"/>
        <s v="Adıyörem Çiğ Köfte, Melikgazi (Cumhuriyet Mah.)"/>
        <s v="Adıyörem Çiğ Köfte, Melikgazi (Fatih Mah. - İldem)"/>
        <s v="Adıyörem Çiğ Köfte, Melikgazi (Yeniköy Mah.)"/>
        <s v="Adıyörem Çiğ Köfte, Talas (Harman Mah.)"/>
        <s v="Adıyörem Çiğ Köfte, Talas (Mevlana / Turgut Özal)"/>
        <s v="Adıyörem Çiğ Köfte, Talas (Yenidoğan Mah.)"/>
        <s v="Adil Usta Kadayıf &amp; Baklava, Melikgazi (Esenyurt Mah.)"/>
        <s v="Adiloğlu Cafe &amp; Pastane, Kocasinan (Erkilet Camiikebir Mah.)"/>
        <s v="Ahbap'ss Köfte &amp; Islak Hamburger, Talas (Mevlana Mah.)"/>
        <s v="Ahbap'ss Köfte &amp; Islak Hamburger, Talas (Yenidoğan Mah.)"/>
        <s v="Aksu Tantuni &amp; Ciğer, Kocasinan (Erkilet Ertuğrul Gazi Mah.)"/>
        <s v="Alaçatı Muhallebicisi, Talas (Yenidoğan Mah.)"/>
        <s v="Albina Restoran Talas (Mevlana)"/>
        <s v="Alem Tantuni, Talas (Tablakaya Mah.)"/>
        <s v="Ali Rıza Usta, Talas (Mevlana Mah.)"/>
        <s v="Almina Döner &amp; Kahvaltı, Kocasinan (Sanayi Mah.)"/>
        <s v="Altın Bahçe, Melikgazi (Hunat Mah.)"/>
        <s v="Altın Kebap, Melikgazi (Cumhuriyet Mah.-İldem)"/>
        <s v="Altın Köşk Döner, Melikgazi (Hürriyet Mah.)"/>
        <s v="Altınköşe Kebab Salonu, Melikgazi (Aydınlıkevler Mah.)"/>
        <s v="Ana Tokyat, Melikgazi (Fatih Mah. - İldem)"/>
        <s v="Anadolu Et Lokantası, Kocasinan (Gevhernesibe Mah.)"/>
        <s v="Ananın Yeri, Kocasinan (Hoca Ahmet Yesevi Mah.)"/>
        <s v="Anayurt Köşk, Talas (Mevlana Mah.)"/>
        <s v="Anayurt1 Köşk, Melikgazi (Kılıçaslan Mah.)"/>
        <s v="Anayurt4 Köşk Kebap, Kocasinan (Barbaros Mah.)"/>
        <s v="Anılss Döner, Melikgazi (Keykubat Mah.)"/>
        <s v="Annemin Mutfağı, Talas (Yenidoğan Mah.)"/>
        <s v="Antep Baklava, Talas (Mevlana Mah.)"/>
        <s v="Antep Baklavacısı &amp; Dondurma, Kocasinan (Beyazşehir Mah.)"/>
        <s v="Antep Baklavacısı Kamil Usta, Kocasinan (Mevlana Mah.)"/>
        <s v="Antep Baklavacısı, Kocasinan (Fevziçakmak Mah.)"/>
        <s v="Antep Baklavacısı, Melikgazi (Esenyurt Mah.)"/>
        <s v="Antep Baklavacısı, Melikgazi (Kazımkarabekir Mah.)"/>
        <s v="Antep Baklavacısı, Melikgazi (Keykubat Mah.)"/>
        <s v="Antep Baklavacısı, Melikgazi (Kılıçaslan Mah.)"/>
        <s v="Antep Baklavacısı, Melikgazi (Kocatepe Mah.)"/>
        <s v="Antep Baklavacısı, Talas (Mevlana Mah.)"/>
        <s v="Antep Eli Kebap &amp; Lahmacun, Talas (Yenidoğan Mah.)"/>
        <s v="Antep Eli Lahmacun, Kocasinan (Sahabiye Mah.)"/>
        <s v="Antep-lim Gaziantep Baklavaları, Talas (Mevlana Mah.)"/>
        <s v="Antepeli Baklavacısı, Talas (Mevlana Mah.)"/>
        <s v="Anteplim Izgara&amp;Lahmacun&amp;Pide, Melikgazi (Cumhuriyet Mah.-İldem)"/>
        <s v="As Pat Burger Talas (Mevlana Mah.)"/>
        <s v="As Pide, Melikgazi (Gültepe Mah.)"/>
        <s v="Asbil Kebap, Kocasinan (Barbaros Mah.)"/>
        <s v="Aslı Antep Baklavaları, Kocasinan (Erkilet Ertuğrul Gazi Mah.)"/>
        <s v="Aşk Lokmam, Talas (Yenidoğan Mah.)"/>
        <s v="Aşkım Mini Pankek, Talas (Mevlana Mah.)"/>
        <s v="Ateş Sucuk Ekmek, Talas (Mevlana Mah.)"/>
        <s v="Aygün 2 Pide &amp; Döner &amp; Lahmacun, Talas (Mevlana Mah.)"/>
        <s v="Aygün Ev Yemekleri, Talas (Mevlana Mah.)"/>
        <s v="Bağdat Kokoreç, Kocasinan (Turgutreis Mah.)"/>
        <s v="Baklavacı Hacı, Kocasinan (Mevlana Mah.)"/>
        <s v="Baklavacı Hacızade, Kocasinan (Mimarsinan Mah.)"/>
        <s v="Baklavacı Orhan Anteplioğlu, Melikgazi (Alpaslan Mah.)"/>
        <s v="Baklavacı Orhan Anteplioğlu, Melikgazi (Kılıçaslan Mah.)"/>
        <s v="Bayram Liva Unlu Mamülleri, Kocasinan (Mevlana Mah.)"/>
        <s v="Bella Waffle &amp; Sweet, Talas (Mevlana Mah.)"/>
        <s v="Belqi Döner, Talas (Mevlana Mah.)"/>
        <s v="Bereket Develi Cıvıklısı, Melikgazi (Gültepe Mah.)"/>
        <s v="Bereket Develi Cıvıklısı, Talas (Yenidoğan Mah.)"/>
        <s v="Bereket Sofrası, Kocasinan (Sahabiye Mah.)"/>
        <s v="Beyazşehir Çiğ Köfte ve Tatlıcı, (Beyazşehir Mah.)"/>
        <s v="Beylerin Beyi Bey Evi, Kocasinan (Sahabiye Mah.)"/>
        <s v="Beyoğlu Hatay Soslu Döner, Kocasinan (Hoca Ahmet Yesevi Mah.)"/>
        <s v="Biberzade Adıyaman Çiğ Köfte, Melikgazi (Altınoluk Mah.)"/>
        <s v="Big Pizza, Melikgazi (Fatih Mah. - İldem)"/>
        <s v="Bilaloğlu Baklava, Kocasinan (Yavuzselim Mah.)"/>
        <s v="Bir Canım Tantuni, Talas (Yenidoğan Mah.)"/>
        <s v="Birdie's Fried Chicken &amp; Burger, Melikgazi (Alpaslan Mah.)"/>
        <s v="Bitter Pastaneleri, Kocasinan (Gevher Nesibe Mah.)"/>
        <s v="Bitter Pastaneleri, Kocasinan (Yeşil Mah.)"/>
        <s v="Bol Fıstıklım, Talas (Mevlana Mah.)"/>
        <s v="Bolu Et Mangal, Melikgazi (Germir Mah.)"/>
        <s v="Bon Pizza, Kocasinan (Sahabiye Mah.)"/>
        <s v="Boo's Burger, Talas (Bahçelievler Mah.)"/>
        <s v="Boss Waffle, Melikgazi (Kılıçaslan Mah.)"/>
        <s v="Boss Waffle, Talas (Kiçiköy Mah.)"/>
        <s v="Buğlem Kebap, Kocasinan (Barbaros Mah.)"/>
        <s v="Buhara Tandır, Melikgazi (Hunat Mah.)"/>
        <s v="Buket Kıymalı Pide &amp; Lahmacun, Talas (Bahçelievler Mah.)"/>
        <s v="Bülent Usta Lahmacun, Kocasinan (Gevhernesibe Mah.)"/>
        <s v="Cadde Döner, Melikgazi (Germir Mah.)"/>
        <s v="Cadde Döner, Melikgazi (Keykubat Mah.)"/>
        <s v="Cadde Kebap &amp; Kokoreç, Talas (Mevlana Mah.)"/>
        <s v="Cafe Arka Bahçe, Kocasinan (Sahabiye Mah.)"/>
        <s v="Cafe Döner, Kocasinan (Ziya Gökalp Mah.)"/>
        <s v="Cajun Corner, Talas (Mevlana Mah.)"/>
        <s v="Camikebir Pidecisi, Melikgazi (Hürriyet Mah.)"/>
        <s v="Can &amp; Tantuni Künefe, Melikgazi (Fatih Mah.-İldem)"/>
        <s v="Can Döner, Talas (Mevlana Mah.)"/>
        <s v="Can Ocakbaşı, Melikgazi (Hunat Mah.)"/>
        <s v="Canım Ciğerim Tantuni &amp; Künefe, Kocasinan (Gevhernesibe Mah.)"/>
        <s v="Canım Ciğerim Tantuni &amp; Künefe, Kocasinan (Mevlana Mah.)"/>
        <s v="Canım Ciğerim Tantuni &amp; Künefe, Kocasinan (Şeker Mah.)"/>
        <s v="Canım Ciğerim Tantuni &amp; Künefe, Talas (Yenidoğan Mah.)"/>
        <s v="Canım Ciğerim, Kocasinan (Erciyesevler Mah.)"/>
        <s v="Capella Cafe, Kocasinan (Sahabiye Mah.)"/>
        <s v="Chef Fried Chicken"/>
        <s v="Chef Waffle, Talas (Kiçiköy Mah.)"/>
        <s v="Choco Bons Waffle, Melikgazi Mah. (İpeksaray)"/>
        <s v="Chocolabs Chocolate &amp; Coffee, Melikgazi (Alpaslan Mah.)"/>
        <s v="Ciğerci Bahattin, Kocasinan (Mevlana Mah.)"/>
        <s v="Ciğerci Mehmet, Kocasinan (Sahabiye Mah.)"/>
        <s v="Cihan Exclusive Talas (Mevlana Mah.)"/>
        <s v="Cihan Exclusive, Melikgazi (Alpaslan Mah.)"/>
        <s v="Cihan Exclusive, Melikgazi (Cumhuriyet Mah.)"/>
        <s v="Class Fast Food, Melikgazi (Bahçelievler Mah.)"/>
        <s v="Confurt Dondurma, Melikgazi (Alpaslan Mah.)"/>
        <s v="Confurt Dondurma, Melikgazi (Köşk Mah.)"/>
        <s v="Confurt Dondurma, Talas (Bahçelievler Mah.)"/>
        <s v="Çağlayan Kebap, Melikgazi (Cumhuriyet Mah.)"/>
        <s v="Çağlayan Kebap, Melikgazi (Gülük Mah.)"/>
        <s v="Çamburç Pastanesi, Melikgazi (Keykubat Mah.)"/>
        <s v="Çarşı Yoğunburç Serince Çiğ Köfte, Melikgazi(Tacettin Veli Mah.)"/>
        <s v="Çatlayana Kadar, Talas (Mevlana Mah.)"/>
        <s v="Çemen's, Melikgazi (Alpaslan Mah.)"/>
        <s v="Çıtır Chicken, Talas (Mevlana Mah.)"/>
        <s v="Çıtır Çıtır Unlu Mamülleri, Talas (Mevlana Mah.)"/>
        <s v="Çıtır Künefe &amp; Baklava, Talas (Bahçelievler Mah.)"/>
        <s v="Çıtır Pide &amp; Lahmacun, Melikgazi (Sakarya Mah.)"/>
        <s v="Çiftlik Kokoreç, Talas (Bahçelievler Mah.)"/>
        <s v="Çiğ Köfteci Ömer Usta, Melikgazi (Fatih Mah. - İldem)"/>
        <s v="Çiğköfteci Ömer Usta, Melikgazi (Hunat Mah.)"/>
        <s v="Çizmeli Develi Cıvıklısı, Talas (Mevlana Mah.)"/>
        <s v="Çorba da Mola, Talas (Mevlana Mah.)"/>
        <s v="Çorbacı Celal (Talas)"/>
        <s v="Dalyan Balıkçılık, Talas (Mevlana Mah.)"/>
        <s v="Daniş Et Sanatları Restoran, Talas (Yenidoğan Mah.)"/>
        <s v="Dedecan Ocakbaşı, Talas (Mevlana Mah.)"/>
        <s v="Defne Çiğ Köfte, Talas (Mevlana Mah.)"/>
        <s v="Divan Çorba &amp; Izgara, Melikgazi (Tacettin Veli Mah.)"/>
        <s v="Doğan Kaymaklı, Melikgazi (Gültepe Mah.)"/>
        <s v="Dois, Talas (Yenidoğan Mah.)"/>
        <s v="Dolmix Dürüm, Melikgazi (Alpaslan Mah.)"/>
        <s v="Donas, Kocasinan (Sahabiye Mah. - Sivas Cad.)"/>
        <s v="Donas, Kocasinan (Sahabiye Mah.)"/>
        <s v="Donas, Melikgazi (Alpaslan Mah.)"/>
        <s v="Donas, Melikgazi (Gülük Mah.)"/>
        <s v="Donas, Melikgazi (Hunat Mah.)"/>
        <s v="Donas, Talas (Bahçelievler Mah.)"/>
        <s v="Dorato Coffee, Talas (Bahçelievler Mah.)"/>
        <s v="Doymix, Kocasinan (Erkilet Ertuğrul Gazi Mah.)"/>
        <s v="Döner House, Melikgazi (Altınoluk Mah.)"/>
        <s v="Dönerci Baba, Melikgazi (Gültepe Mah.)"/>
        <s v="Dönercimmm, Melikgazi (Fatih Mah. - İldem)"/>
        <s v="Dört Döner, Melikgazi (Hürriyet Mah.)"/>
        <s v="Dünya Tantuni &amp; Döner, Merkez (Esentepe Mah.)"/>
        <s v="Efece Ev Yemekleri, Talas (Bahçelievler)"/>
        <s v="Ekler Pastanesi, Melikgazi (Demokrasi Mah. - Toki)"/>
        <s v="Ekol Baklava, Melikgazi (Cumhuriyet Mah.)"/>
        <s v="Ekrem Coşkun Döner, Melikgazi (Cumhuriyet Mah.)"/>
        <s v="Ekrem Coşkun Döner, Talas (Bahçelievler Mah.)"/>
        <s v="Ekrem Usta Adana Sofrası, Talas (Yenidoğan Mah.)"/>
        <s v="Elit 38 Lahmacun &amp; Pide Talas (Mevlana Mah.)"/>
        <s v="Elit Cafe, Kocasinan (Alsancak Mah.)"/>
        <s v="Emeyra Lezzetler, Kocasinan (Mevlana Mah.)"/>
        <s v="Eminönü Hatay Soslu Döner, Melikgazi (Şirintepe Mah.)"/>
        <s v="Emsi Malatya Pide &amp; Lahmacun, Melikgazi (Anafartalar Mah.)"/>
        <s v="Ender Restaurant, Talas (Kiçiköy Mah.)"/>
        <s v="Enfess Lahmacun &amp; Pide, Talas (Mevlana Mah.)"/>
        <s v="Erdem Malatya Pide Fırını, Kocasinan (Gevhernesibe Mah.)"/>
        <s v="Erdo Dondurma, Kocasinan (Fevzi Çakmak Mah.)"/>
        <s v="Erkilet Saray Kebap, Kocasinan (Erkilet Dere Mah.)"/>
        <s v="Ermir Döner, Kocasinan (Yakut Mah.)"/>
        <s v="Erol'ca Cafe, Talas (Yenidoğan Mah.)"/>
        <s v="Eski Tostum Talas(Mevlana Mah.)"/>
        <s v="Express 4 Döner, Kocasinan (Fevzi Çakmak Mah.)"/>
        <s v="Eylül Kebap &amp; Çorba, Kocasinan (Erkilet Dere Mah.)"/>
        <s v="Fatma Abla, Melikgazi (Esenyurt Mah.)"/>
        <s v="Fatma Abla, Talas (Mevlana Mah.)"/>
        <s v="Fazıloğlu Ata Sofrası, Kocasinan (Şeker Mah.)"/>
        <s v="Fors Beyaz Saray Kebap, Melikgazi (Cumhuriyet Mah.-İldem)"/>
        <s v="Fors Beyaz Saray Kebap, Melikgazi (Demokrasi Mah. - Toki)"/>
        <s v="Garden L'uva, Kocasinan (Ahi Evran Mah.)"/>
        <s v="Gazi Çiğ Köfte, Melikgazi (Alpaslan Mah.)"/>
        <s v="Gazi Çiğ Köfte, Melikgazi (Köşk Mah.)"/>
        <s v="Gazi Çiğ Köfte, Talas (Bahçelievler Mah.)"/>
        <s v="Gaziantep Fıstıklım Baklavaları, Melikgazi (Bahçelievler Mah.)"/>
        <s v="Gaziantep Osman Güllioğlu Baklavaları, (Erciyesevler Mah.)"/>
        <s v="Gaziayıntap Baklava &amp; Tatlı, Melikgazi (Yeşilyurt Mah.)"/>
        <s v="Gelateria Dondurma, Melikgazi (Köşk Mah.)"/>
        <s v="Germirlioğlu Et &amp; Pide, Talas (Yenidoğan Mah.)"/>
        <s v="Gizem Kahvaltı, Melikgazi (Yeniköy Mah.)"/>
        <s v="Gold Meat Restaurant, Talas (Mevlana Mah.)"/>
        <s v="Golden Pack Street Food, Talas (Mevlana Mah.)"/>
        <s v="Göksel Tantuni, Kocasinan (Mimarsinan Mah.)"/>
        <s v="Göksel Tantuni, Talas (Yenidoğan Mah.)"/>
        <s v="Görkem Fırın, Talas (Mevlana Mah.)"/>
        <s v="Green Flower Cafe, Kocasinan (Sahabiye Mah.)"/>
        <s v="Gurme Dondurma &amp; Cafe, Talas (Yenidoğan Mah.)"/>
        <s v="Gül Sofrası Develi Cıvıklısı &amp; Ev Yemekleri, (Bahçelievler Mah.)"/>
        <s v="Gümüş Sini, Talas (Harman Mah.)"/>
        <s v="Güneş Pide, Melikgazi (Kazımkarabekir Mah.)"/>
        <s v="Güneyce Etsiz Çiğ Köfte, Kocasinan (Mithat Paşa Mah.)"/>
        <s v="Güneyce Etsiz Çiğ Köfte, Kocasinan (Yenidoğan Mah.)"/>
        <s v="Güneyce Etsiz Çiğ Köfte, Talas (Mevlana Mah.)"/>
        <s v="Güneyce Etsiz Çiğköfte, Kocasinan (Turgutreis Mah.)"/>
        <s v="Hacer &amp; Musti Turşu Evi, Kocasinan (Fevzi Çakmak Mah.)"/>
        <s v="Hacı Sokakta, Talas (Yenidoğan Mah.)"/>
        <s v="Halil İbrahim Sofrası, Talas (Mevlana Mah.)"/>
        <s v="Halil Usta Adıyaman Çiğ Köftecisi, Talas (Mevlana)"/>
        <s v="Ham Burger, Talas (Mevlana Mah.)"/>
        <s v="Handem Cafe &amp; Bistro, Talas (Mevlana Mah.)"/>
        <s v="Has Pide &amp; Lahmacun, Talas (Mevlana Mah.)"/>
        <s v="Has Pide 2, Talas (Mevlana Mah.)"/>
        <s v="Hasan Usta Pizza &amp; Lahmacun, Melikgazi (Kılıçaslan Mah.)"/>
        <s v="Hatay Doy's Döner, Talas (Mevlana Mah.)"/>
        <s v="Hatay Soslu Döner, Melikgazi (Keykubat Mah.)"/>
        <s v="Hatso, Melikgazi (Cumhuriyet Mah.)"/>
        <s v="Helvacı Seyid Ahmed, Kocasinan (Sahabiye Mah.)"/>
        <s v="Helvacı Yakub Efendi, Melikgazi (Alpaslan Mah.)"/>
        <s v="Helvacı Yakub Efendi, Melikgazi (Köşk Mah.)"/>
        <s v="Hg Pizza &amp; Burger, Talas (Mevlana Mah.)"/>
        <s v="Hisar, Melikgazi (Kılıçaslan Mah.)"/>
        <s v="Hisar, Talas (Bahçelievler Mah.)"/>
        <s v="Hizmet Çorba Kebap, Kocasinan (Sahabiye Mah.)"/>
        <s v="Huzur Kebap, Talas (Mevlana Mah.)"/>
        <s v="İkinci Bahar Ev Yemekleri, Melikgazi (Cumhuriyet Mah.)"/>
        <s v="İldem İnegöl Köftecisi, Melikgazi (Cumhuriyet Mah. - İldem)"/>
        <s v="İldem Pide, Melikgazi (Cumhuriyet Mah. - İldem)"/>
        <s v="İnci Köşk, Kocasinan (Beyazşehir Mah.)"/>
        <s v="İstanbul Çiğ Köfte, Kocasinan (Argıncık Mah.)"/>
        <s v="İstanbul Çiğ Köfte, Kocasinan (Barbaros Mah.)"/>
        <s v="İstanbul Çiğ Köfte, Kocasinan (Erciyesevler Mah.)"/>
        <s v="İstanbul Çiğ Köfte, Kocasinan (Erkilet Osman Gazi Mah.)"/>
        <s v="İstanbul Çiğ Köfte, Kocasinan (Mithat Paşa Mah.)"/>
        <s v="İstanbul Çiğ Köfte, Kocasinan (Sahabiye Mah.)"/>
        <s v="İstanbul Çiğ Köfte, Melikgazi (Altınoluk Mah.)"/>
        <s v="İstanbul Çiğ Köfte, Melikgazi (Bahçelievler Mah.)"/>
        <s v="İstanbul Çiğ Köfte, Melikgazi (Esenyurt Mah.)"/>
        <s v="İstanbul Çiğ Köfte, Melikgazi (Germir Mah.)"/>
        <s v="İstanbul Çiğ Köfte, Melikgazi (Kılıçaslan Mah.)"/>
        <s v="İstanbul Çiğ Köfte, Melikgazi (Köşk Mah.)"/>
        <s v="İstanbul Çiğ Köfte, Melikgazi (Şirintepe Mah.)"/>
        <s v="İstanbul Çiğ Köfte, Melikgazi (Tacettin Veli Mah.)"/>
        <s v="İstanbul Çiğ Köfte, Melikgazi (Yeşilyurt Mah. - İldem)"/>
        <s v="İstanbul Çiğ Köfte, Talas (Bahçelievler)"/>
        <s v="İstanbul Çiğ Köfte, Talas (Kiçiköy Mah.)"/>
        <s v="İstanbul Çiğ Köfte, Talas (Mevlana Mah.-Yavuz Sultan Selim Cad.)"/>
        <s v="İstanbul Çiğ Köfte, Talas (Mevlana Mah.)"/>
        <s v="İşte Pilav, Kiçikapı"/>
        <s v="Jaguar Brasserie, Melikgazi (Alpaslan Mah.)"/>
        <s v="Jolly Waffles, Kocasinan (Yeni Mah.)"/>
        <s v="Just Coffee Love, Melikgazi (Cumhuriyet Mah.)"/>
        <s v="K.Maraş Seyfi Usta Dondurma, Melikgazi (Şirintepe Mah.)"/>
        <s v="Kadıköy Çorba &amp; Tantuni, Kocasinan (Erkilet Camiikebir Mah.)"/>
        <s v="Kafkas Mutfak, Kocasinan (Sahabiye Mah.)"/>
        <s v="Kahta Çiğ Köfte, Talas (Yenidoğan Mah.)"/>
        <s v="Kahvaltı Evi, Talas (Mevlana Mah.)"/>
        <s v="Kanatçı Bahadır, Talas (Yenidoğan Mah.)"/>
        <s v="Kanatçı Kara, Kocasinan (Erciyesevler Mah.)"/>
        <s v="Kapris Döner &amp; Çiğ Köfte, Melikgazi (Tınaztepe Mah.)"/>
        <s v="Kasap Döner Express, Talas (Mevlana Mah.)"/>
        <s v="Kaya Hatay Döner, Melikgazi (Bahçelievler Mah.)"/>
        <s v="Kaya Senem Dürüm, Kocasinan (Erkilet Osman Gazi Mah.)"/>
        <s v="Kaygısız Izgara, Kocasinan (Gevhernesibe Mah.)"/>
        <s v="Kaygısızlar 3, Kocasinan (Gevhernesibe Mah.)"/>
        <s v="Kayseri Tanzim Restoran, Melikgazi (Yıldırım Beyazıt Mah.)"/>
        <s v="Kebabistan, Melikgazi (Fatih Mah.-İldem)"/>
        <s v="Kebap 38, Melikgazi (Tacettin Veli Mah.)"/>
        <s v="Kebap Sarayı, Kocasinan (Erkilet Camiikebir Mah.)"/>
        <s v="Kebapçı Muhtar Usta, Kocasinan (Gevhernesibe Mah.)"/>
        <s v="Kebapçı Musa Usta, Melikgazi (Osman Kavuncu Mah.)"/>
        <s v="Kebapçı Mustafa, Kocasinan (Yeni Mah.)"/>
        <s v="Kebapçı Numan Baba Torun, Melikgazi (Cumhuriyet Mah.)"/>
        <s v="Kebapçı Şahin, Kocasinan (Alsancak Mah.)"/>
        <s v="Kebapçınız Bekir Usta, Melikgazi (Demokrasi Mah. - Toki)"/>
        <s v="Kebaphanem, Kocasinan (Oruçreis Mah.)"/>
        <s v="Keklik Pide Salonu, Melikgazi (Cumhuriyet Mah.)"/>
        <s v="Kemal Ataklı Restaurant, Kocasinan (Sümer Mah.)"/>
        <s v="Kemal Koçak Corner, Melikgazi (Alpaslan Mah.)"/>
        <s v="Kervan Maraş Paça &amp; Kebap, Kocasinan (Yıldızevler Mah.)"/>
        <s v="Keykubat Ocakbaşı, Melikgazi (Keykubat Mah.)"/>
        <s v="King Waffle, Kocasinan (Mimarsinan Mah.)"/>
        <s v="KKR Fast Food &amp; Cafe, Kocasinan (Sümer Mah.)"/>
        <s v="Konak Börek, Kocasinan (Argıncık Mah.)"/>
        <s v="Konyalı Hacı Ahmet, Melikgazi (Cumhuriyet Mah.)"/>
        <s v="Kop Gel Mantı &amp; Tantuni ,Kocasinan (Hoca Ahmet Yesevi Mah.)"/>
        <s v="Köftevizyon Express, Melikgazi (Cumhuriyet Mah.)"/>
        <s v="Köftevizyon, Kocasinan (Sanayi Mah.)"/>
        <s v="Köşem Dürüm Salonu, Melikgazi (Cumhuriyet Mah. - İldem)"/>
        <s v="Köşem Kebap, Kocasinan (Fevzi Çakmak Mah.)"/>
        <s v="Köşem Kebap, Melikgazi (Keykubat Mah.)"/>
        <s v="Köşk Izgara, Kocasinan (Gevhernesibe Mah.)"/>
        <s v="Kötü Gün Tostu, Talas (Tablakaya Mah.)"/>
        <s v="Kral Kokoreç &amp; Izgara &amp; Köfte, Kocasinan(Hoca Ahmet Yesevi Mah.)"/>
        <s v="Kral Köfte &amp; Izgara, Kocasinan(Hoca Ahmet Yesevi Mah.)"/>
        <s v="Kral Tantuni, Melikgazi (Yıldırım Beyazıt Mah.)"/>
        <s v="Kumpir Center, Talas (Yenidoğan Mah.)"/>
        <s v="Kumsall Fast Food, Talas (Mevlana Mah.)"/>
        <s v="Kumsall Patisserie, Talas (Mevlana Mah.)"/>
        <s v="Kuzzu Kokoreç &amp; Midye, Talas (Mevlana Mah.)"/>
        <s v="L'avenue Chocolatier, Talas (Yenidoğan Mah.)"/>
        <s v="La Casa De Pizza, Talas (Bahçelievler Mah.)"/>
        <s v="Lavantes, Melikgazi (Köşk Mah.)"/>
        <s v="Le Gelateria &amp; Magnum Dondurma, Talas (Yenidoğan Mah.)"/>
        <s v="Lezzet Ocakbaşı, Talas (Mevlana Mah.)"/>
        <s v="Lezzeti Harika Hatay Sofrası, Kocasinan (Sahabiye Mah.)"/>
        <s v="Loqma'çik, İldem (Fatih)"/>
        <s v="Lüx Sarıyer Börek, Melikgazi (Cumhuriyet Mah.)"/>
        <s v="Madame Boulangerie Patisserie, Talas (Yenidoğan Mah.)"/>
        <s v="Makarnamix, Talas (Mevlana Mah.)"/>
        <s v="Malatya Pide, Melikgazi (Keykubat Mah.)"/>
        <s v="Mangal Keyfi 2, Melikgazi (Yeşilyurt Mah. - İldem)"/>
        <s v="Mangalcı Paşa, Develi (Yeni Mah.)"/>
        <s v="Maraşlım Paça &amp; Çorba, Talas (Mevlana Mah.)"/>
        <s v="Mavera, Kocasinan (Sahabiye Mah.)"/>
        <s v="Mcs Cafe &amp; Bistro, Melikgazi (Altınoluk Mah.)"/>
        <s v="Mecburger, Kocasinan (Mevlana Mah.)"/>
        <s v="Mecburger, Melikgazi (Kılıçaslan Mah.)"/>
        <s v="Meg Piliç 2, Talas (Harman Mah.)"/>
        <s v="Meg Piliç, Talas (Mevlana Mah.)"/>
        <s v="Mehmet Coşkun Et Döner, Hunat"/>
        <s v="Mehmet Usta Döner, Kocasinan (Gevhernesibe Mah.)"/>
        <s v="Meram Lokantası, Melikgazi (Cumhuriyet Mah.)"/>
        <s v="Mersin Tantunicim, Sakarya"/>
        <s v="Mersinli Ciğerci İlhan, Kocasinan (Ahievran Mah.)"/>
        <s v="Meşhur Adıyaman Çiğ Köftecisi Ömer Aybak, Talas (Mevlana Mah.)"/>
        <s v="Meşhur Çelebi Baklava, Kocasinan (Yakut Mah.)"/>
        <s v="Meşhur Çiğ Köfteci Metin Usta, Kocasinan (Yeni Mah.)"/>
        <s v="Meşhur Ocakbaşı, Melikgazi (Şirintepe Mah.)"/>
        <s v="Meşhur Sivas Köftecisi, Talas (Yenidoğan Mah.)"/>
        <s v="Mevlana Ocakbaşı, Kocasinan (Mevlana Mah.)"/>
        <s v="Meydan Merkez Pide Salonu, Kocasinan (Serçeönü Mah.)"/>
        <s v="Mezevi Mutfak, Talas (Bahçelievler Mah.)"/>
        <s v="Midye Krallığı, Talas (Bahçelievler Mah.)"/>
        <s v="Migsokak Köfte &amp; Tost, Melikgazi (Yıldırım Beyazıt Mah.)"/>
        <s v="Mimsin Bol Kepçe Döner, Melikgazi (Şirintepe Mah.)"/>
        <s v="Miss Doy Döner, Kocasinan (Mithatpaşa Mah.)"/>
        <s v="Miss Döner &amp; Izgara, Melikgazi (Kazımkarabekir Mah.)"/>
        <s v="Miss Döner &amp; Kebap, Kocasinan (Fevzi Çakmak Mah.)"/>
        <s v="Miss Döner, Kocasinan (Beyazşehir Mah.)"/>
        <s v="Mix Baklava, Talas (Mevlana Mah.)"/>
        <s v="Mix Baklavacı, Melikgazi (Aydınlıkevler Mah.)"/>
        <s v="Mix Baklavacı, Melikgazi (Cumhuriyet Mah.)"/>
        <s v="Mix Doy Hatay Usulü Soslu Döner, Kocasinan (Yunusemre Mah.)"/>
        <s v="Mix Tatlı ve Helva, Melikgazi (Anafartalar Mah.)"/>
        <s v="Moda Fırın &amp; Patisserie, Kocasinan (Mithat Paşa Mah.)"/>
        <s v="Moon Waffle, Kocasinan (Erkilet Osman Gazi Mah.)"/>
        <s v="Moon's, Talas (Mevlana Mah.)"/>
        <s v="Mösyö Kokoreç &amp; Midye, Talas (Mevlana Mah.)"/>
        <s v="Mr. Pan Çikolata &amp; Pankek, Talas (Mevlana Mah.)"/>
        <s v="Mualla Tatlı Krallığı, Talas (Mevlana Mah.)"/>
        <s v="Muda Çikolata, Talas (Mevlana Mah.)"/>
        <s v="Mudurnu Piliç Restaurant, Kocasinan (Fevzi Çakmak Mah.)"/>
        <s v="Muhlis Bey Hatay Soslu Döner, Melikgazi (Fatih Mah. - İldem)"/>
        <s v="Mutfak Büfe, Melikgazi (Cumhuriyet Mah.)"/>
        <s v="Naim Usta Develi Cıvıklısı, Melikgazi (Camikebir Mah.)"/>
        <s v="Nar-ı Urfa Lahmacun, Kocasinan (Mevlana Mah.)"/>
        <s v="Nazlım Pastane &amp; Unlu Mamüller, Melikgazi (Şirintepe Mah.)"/>
        <s v="Neva-le Çiğ Köfte, Kocasinan (Mevlana Mah.)"/>
        <s v="Neva-le Çiğ Köfte, Kocasinan (Uğurevler Mah.)"/>
        <s v="Neva-le Çiğ Köfte, Melikgazi (30 Ağustos Mah.)"/>
        <s v="Neva-le Çiğ Köfte, Melikgazi (Keykubat Mah.)"/>
        <s v="Neva-le Çiğ Köfte, Talas (Mevlana Mah. - Kaya Sok.)"/>
        <s v="Nevale Çiğ Köfte, Melikgazi (Alpaslan Mah.)"/>
        <s v="Nimet Ana Unlu Mamülleri, Melikgazi (Çorakçılar Mah.)"/>
        <s v="No:121 Burger, Talas (Yenidoğan Mah.)"/>
        <s v="Nohut of Pilav's, Talas (Bahçelievler)"/>
        <s v="Nur Kebap, Kocasinan (Mevlana Mah.)"/>
        <s v="Obur Cubur Fast Food, Talas (Mevlana Mah.)"/>
        <s v="Oburger, Talas (Mevlana Mah.)"/>
        <s v="Oses Çiğ Köfte, Kocasinan (Beyazşehir Mah.)"/>
        <s v="Oses Çiğ Köfte, Kocasinan (Erkilet Dere Mah.)"/>
        <s v="Oses Çiğ Köfte, Kocasinan (Turgut Reis Mah.)"/>
        <s v="Oses Çiğ Köfte, Kocasinan (Yenişehir Mah.)"/>
        <s v="Oses Çiğ Köfte, Kocasinan (Ziya Gökalp Mah.)"/>
        <s v="Oses Çiğ Köfte, Melikgazi (Anafartalar Mah.)"/>
        <s v="Oses Çiğ Köfte, Melikgazi (Cumhuriyet)"/>
        <s v="Oses Çiğ Köfte, Melikgazi (Esenyurt Mah.)"/>
        <s v="Oses Çiğ Köfte, Melikgazi (Keykubat Mah.)"/>
        <s v="Oses Çiğ Köfte, Melikgazi (Kılıçaslan Mah.)"/>
        <s v="Oses Çiğ Köfte, Melikgazi (Kocatepe Mah.)"/>
        <s v="Oses Çiğ Köfte, Melikgazi (Yeniköy Mah.)"/>
        <s v="Oses Çiğ Köfte, Melikgazi (Yeşilyurt Mah.)"/>
        <s v="Oses Çiğ Köfte, Talas (Mevlana Mah.-Yavuz Sultan Selim Cad.)"/>
        <s v="Oses Çiğ Köfte, Talas (Mevlana Mah.)"/>
        <s v="Oses Helva &amp; Tatlı, Kocasinan (Yenişehir Mah.-Turgut Reis Cad.)"/>
        <s v="Oses Helva &amp; Tatlı, Talas (Mevlana Mah.)"/>
        <s v="Otantik Ocakbaşı, Kocasinan (Zümrüt Mah.)"/>
        <s v="Ozşef Profiterol, Talas (Mevlana Mah.)"/>
        <s v="Öz Malatya Pide, Kocasinan (Mimarsinan Mah.)"/>
        <s v="Öz Sivas As Döner, Talas (Kiçiköy Mah.)"/>
        <s v="Özçınar Pidecim, Talas (Mevlana Mah.)"/>
        <s v="Özdanacı Dondurma, Melikgazi (Gesi Fatih Mah.)"/>
        <s v="Özdanacı Dondurma, Talas (Mevlana Mah.)"/>
        <s v="Özdanacı Dondurma, Talas (Yenidoğan Mah.)"/>
        <s v="Özel Kebap, Melikgazi (Tacettin Veli Mah.)"/>
        <s v="Özer Döner &amp; Kebap, Melikgazi (Cumhuriyet Mah.-İldem)"/>
        <s v="Özlü Kebap, Melikgazi (Anbar Mah.)"/>
        <s v="Özmen Kıymalı Pide Salonu, Kocasinan (Oymaağaç Mah.)"/>
        <s v="Pac-man Pizza &amp; Burger, Kocasinan (Beyazşehir Mah.)"/>
        <s v="Pac-Man Waffle, Kocasinan (Beyazşehir Mah.)"/>
        <s v="Paçanga Kahvaltı Evi, Talas (Mevlana Mah.)"/>
        <s v="Pane Döner, Talas (Yenidoğan Mah.)"/>
        <s v="Pane'm Mangal, Talas (Yenidoğan Mah.)"/>
        <s v="Papillon Cafe &amp; Burger, Melikgazi (Alpaslan Mah.)"/>
        <s v="Park Cafe, Talas (Mevlana Mah.)"/>
        <s v="Park Malatya Pide, Kocasinan (Gevhernesibe Mah.)"/>
        <s v="Patron Burger &amp; Chicken, Talas (Mevlana Mah.)"/>
        <s v="Patso's, Talas (Mevlana Mah.)"/>
        <s v="Pattesçi, Talas (Mevlana Mah.)"/>
        <s v="Pedro Usta, Talas (Yenidoğan Mah.)"/>
        <s v="Pide King, Melikgazi (Fatih Mah.-İldem)"/>
        <s v="Pide Park, Melikgazi (Mimarsinan Mah.)"/>
        <s v="Pidecim Odun Ateşi, Melikgazi (Tacettin Veli Mah.)"/>
        <s v="Pidecim, Melikgazi (Cumhuriyet Mah.)"/>
        <s v="Pilav Acil, Talas (Mevlana Mah.)"/>
        <s v="Piliç Tavada, Kocasinan (Erciyesevler Mah.)"/>
        <s v="Pizza 38, Melikgazi (Bahçelievler Mah.-İldem)"/>
        <s v="Pizza 38, Talas (Bahçelievler Mah.)"/>
        <s v="Pizza Corner, Melikgazi (Alpaslan Mah.)"/>
        <s v="Pizza Evi, Talas (Yenidoğan Mah.)"/>
        <s v="Pizza Mida, Kocasinan (Argıncık Mah.)"/>
        <s v="Pizza Mix, Kocasinan (Şeker Mah.)"/>
        <s v="Pizza Pi, Kocasinan (Sahabiye Mah.)"/>
        <s v="Pizza Pi, Talas (Mevlana Mah.)"/>
        <s v="Pizza Think Talas (Mevlana Mah.)"/>
        <s v="Pizza Uno, Alpaslan"/>
        <s v="Pizza Uno, Kocasinan (Gevhernesibe Mah.)"/>
        <s v="Qümes, Kocasinan (Erciyesevler Mah.)"/>
        <s v="Qümes, Talas (Mevlana Mah.)"/>
        <s v="Rengim, Kocasinan (Gevhernesibe Mah.)"/>
        <s v="Resume Çiğ Köfte, Kocasinan (Erciyesevler Mah.)"/>
        <s v="Rıhtım Balık, Kocasinan (Hacısaki Mah.)"/>
        <s v="Rokka Pizza, Talas (Bahçelievler Mah.)"/>
        <s v="Rom Waffle, Melikgazi (Yıldırım Beyazıt Mah.)"/>
        <s v="Roma Pizzaria Pita &amp; Dürüm, Talas (Mevlana)"/>
        <s v="Romado Dondurma &amp; Cafe, Talas (Yenidoğan Mah.)"/>
        <s v="Rumeli Dönercisi &amp; Ocakbaşı, Melikgazi (Yeniköy Mah.)"/>
        <s v="S. Kaygısız Kebapcımm, Talas (Bahçelievler)"/>
        <s v="Sac Kebapcısı Matador, Melikgazi (Hürriyet Mah.)"/>
        <s v="Sade Dondurma, Kocasinan (Argıncık Mah.)"/>
        <s v="Sade Dondurma, Talas (Bahçelievler Mah.)"/>
        <s v="Saklıbahçe Pide, Melikgazi (Erciyes Üniversitesi Kampüsü)"/>
        <s v="Saray Lahmacun &amp; Pide, Kocasinan (Argıncık Mah.)"/>
        <s v="Saray Tatlıcısı, Melikgazi (Hürriyet Mah.)"/>
        <s v="Sarızlı Bolu Mangal, Melikgazi (Mimarsinan Mah.)"/>
        <s v="Savaş Usta Döner &amp; Tantuni &amp; Künefe, Kocasinan (Sahabiye Mah.)"/>
        <s v="SB Pasta Evi, Kocasinan (Erkilet Osman Gazi Mah.)"/>
        <s v="SDC İskender &amp; Develi Cıvıklısı, Melikgazi (Alpaslan Mah.)"/>
        <s v="SDC İskender, İldem (Fatih)"/>
        <s v="Sefa Pastaneleri, Talas (Mevlana Mah.)"/>
        <s v="Senem Kebap, Kocasinan (Argıncık Mah.)"/>
        <s v="Serince Çiğ Köfte &amp; Sütlü Tatlılar, Melikgazi (Köşk Mah.)"/>
        <s v="Serince Çiğ Köfte, Kocasinan (Erciyesevler Mah.)"/>
        <s v="Serince Çiğ Köfte, Kocasinan (Gevhernesibe Mah.)"/>
        <s v="Serince Çiğ Köfte, Kocasinan (Mevlana Mah.)"/>
        <s v="Serince Çiğ Köfte, Kocasinan (Yakut Mah.)"/>
        <s v="Serince Çiğ Köfte, Kocasinan (Yeşil Mah.)"/>
        <s v="Serince Çiğ Köfte, Melikgazi (Cumhuriyet Mah.-İldem)"/>
        <s v="Serince Çiğ Köfte, Melikgazi (Erciyes Üniversitesi Kampüsü)"/>
        <s v="Serince Çiğ Köfte, Melikgazi (Hisarcık Mah.)"/>
        <s v="Serince Çiğ Köfte, Melikgazi (Kazımkarabekir Mah.)"/>
        <s v="Serince Çiğ Köfte, Melikgazi (Kılıçaslan Mah. - Sivas Cad.)"/>
        <s v="Serince Çiğ Köfte, Melikgazi (Kocatepe Mah.)"/>
        <s v="Serince Çiğ Köfte, Melikgazi (Sakarya Mah.)"/>
        <s v="Serince Çiğ Köfte, Melikgazi (Yıldırım Beyazıt Mah.)"/>
        <s v="Serince Çiğ Köfte, Talas (Kiçiköy Mah.)"/>
        <s v="Serince Çiğ Köfte, Talas (Mevlana Mah.-Bademli Sok.)"/>
        <s v="Serince Çiğ Köfte, Talas (Mevlana Mah.-Halef Hoca Cad.)"/>
        <s v="Serince Çiğ Köfte, Talas (Mevlana Mah.-Zafer Bayburtluoğlu Cad.)"/>
        <s v="Serpil Abla, Talas (Mevlana Mah.)"/>
        <s v="Setenay Ev Yemekleri, Talas (Kiçiköy Mah.)"/>
        <s v="Seval Pide, Kocasinan (Beyazşehir Mah.)"/>
        <s v="Sevgi Bacı Unlu Mamülleri, Kocasinan (Sümer Mah.)"/>
        <s v="Sevgi Mutfak, Kocasinan (Gevhernesibe Mah.)"/>
        <s v="Seyir Döner &amp; Kebap, Melikgazi (Gülük Mah.)"/>
        <s v="Shakespeare Bistro, Melikgazi (Alpaslan Mah.-K.park)"/>
        <s v="Shakespeare Coffee &amp; Bistro, Melikgazi (Köşk Mah.)"/>
        <s v="Shish Shawerma, Kocasinan (Hacı Saki Mah.)"/>
        <s v="Shish Shawerma, Talas (Mevlana Mah.)"/>
        <s v="Sıcacık Meşhur Hatay Döneri, Talas (Mevlana Mah.)"/>
        <s v="Sıfır Bir Kebap &amp; Meze, Talas (Bahçelievler Mah.)"/>
        <s v="Sır Cafe, Kocasinan (Mimarsinan Mah.)"/>
        <s v="Simitçi Dünyası, Talas (Mevlana Mah.)"/>
        <s v="Sini Kebap, Kocasinan (Erciyesevler Mah.)"/>
        <s v="Sini Tavında, Talas (Bahçelievler Mah.)"/>
        <s v="Sivas Has Döner, Melikgazi (Köşk Mah.)"/>
        <s v="Sivas Köfteci Abdullah Usta, Melikgazi (Hunat Mah.)"/>
        <s v="Sivas Köftecisi Murat Usta, Melikgazi (Cumhuriyet Mah.)"/>
        <s v="So Fire House Street Food &amp; Grill, Talas (Mevlana Mah.)"/>
        <s v="So Fire House, Talas (Yenidoğan Mah.)"/>
        <s v="Sofra Lahmacun &amp; Pide, Kocasinan (Erkilet Osman Gazi Mah.)"/>
        <s v="Sokak Burger &amp; Fastfood, Talas (Mevlana Mah.)"/>
        <s v="Sokak Dönercisi, Melikgazi (Cumhuriyet Mah.)"/>
        <s v="Sonçare Dürüm, Talas (Mevlana Mah.)"/>
        <s v="Speedy Street Food, Talas (Mevlana Mah.)"/>
        <s v="Star Pastaneleri, Talas (Mevlana Mah.-15 Temmuz Cad.)"/>
        <s v="Star Pastaneleri, Talas (Mevlana Mah.)"/>
        <s v="Sultan Sofrası, Melikgazi (Hunat Mah.)"/>
        <s v="Sur Kebap Diyarı, Talas (Mevlana Mah.)"/>
        <s v="Şah Kebap, Melikgazi (Anafartalar Mah.)"/>
        <s v="Şahin Baba Çorba Izgara, Talas (Mevlana Mah.)"/>
        <s v="Şampiyon Kokoreç, Melikgazi (Hunat Mah.)"/>
        <s v="Şans Tantuni &amp; Künefe, Kocasinan (Beyazşehir Mah.)"/>
        <s v="Şehr-i Antep'ten Kebap &amp; Lahmacun, Melikgazi (Fatih Mah.-İldem)"/>
        <s v="Şekerpare Pasta ve Börek Evi, Kocasinan (Erciyesevler Mah.)"/>
        <s v="Şekerzade Antep Baklavacısı, Kocasinan (Turgut Reis Mah.)"/>
        <s v="Şip Şak Döner &amp; Kebap, Melikgazi (Fatih Mah. - İldem)"/>
        <s v="Tadımca Çiğ Köfte, Melikgazi (Kılıçaslan Mah.)"/>
        <s v="Tadıtam Çiğ Köfte, Talas (Mevlana Mah.)"/>
        <s v="Talas Köşk, Talas (Kiçiköy Mah.)"/>
        <s v="Talas Merkez Pide &amp; Izgara, Talas (Mevlana Mah.)"/>
        <s v="Tarihi Adana Kebapçısı, Melikgazi (Alpaslan Mah.)"/>
        <s v="Tarihi Adıyaman Çiğ Köftecisi, Kocasinan (Sahabiye Mah.)"/>
        <s v="Tarihi Antep Çiğ Köfte, Melikgazi (Yeşilyurt Mah. - İldem)"/>
        <s v="Tarihi Kayseri Kebapçısı, Melikgazi (Hunat Mah.)"/>
        <s v="Tarihi Kayseri Kelle Tava &amp; Pöç, Kocasinan (Erciyesevler Mah.)"/>
        <s v="Tat Bi Fast Food, Kocasinan (Mimarsinan Mah.)"/>
        <s v="Tat-Doy Express Döner &amp; Kebap, Talas (Yenidoğan Mah.)"/>
        <s v="Tatlıses Lahmacun, Talas (Mevlana Mah.)"/>
        <s v="Tavada Tavuk, Kocasinan (Şeker Mah.)"/>
        <s v="Tavada Tavuk, Melikgazi (Fatih Mah.-İldem)"/>
        <s v="Tavok, Kocasinan (Sahabiye Mah.)"/>
        <s v="Tavuk King, Talas (Yenidoğan Mah.)"/>
        <s v="Tavuk Rüyası, Kocasinan (Beyazşehir Mah.)"/>
        <s v="Tek Hatay Soslu Döner, Melikgazi (Anafartalar Mah.)"/>
        <s v="Teras Izgara &amp; Kahvaltı, Melikgazi (Yıldırım Beyazıt Mah.)"/>
        <s v="The 436, Kocasinan (Erkilet Osman Gazi Mah.)"/>
        <s v="Tire Kebap &amp; Izgara, Melikgazi (Hunat Mah.)"/>
        <s v="Toast Lovers, Talas (Mevlana Mah.)"/>
        <s v="Tok Yat, Melikgazi (Hunat Mah.)"/>
        <s v="Tombik Izgara &amp; Künefe &amp; Tantuni, (Keykubat Mah.)"/>
        <s v="Tombik Izgara &amp; Künefe &amp; Tantuni, Sanayi Mah."/>
        <s v="Tosbik Doy, Talas (Bahçelievler Mah.)"/>
        <s v="Tostbaa Waffle, Melikgazi (Alpaslan Mah.)"/>
        <s v="Tostbaa, Melikgazi (Alpaslan Mah.)"/>
        <s v="Tostçu Gökhan, Talas (Mevlana Mah.)"/>
        <s v="Tuna Çorbacısı, Kocasinan (Erciyesevler Mah.)"/>
        <s v="Uğur Usta Pide &amp; Izgara &amp; Lahmacun, Melikgazi (Alpaslan Mah.)"/>
        <s v="Umut Mantı Evi, Talas (Yenidoğan Mah.)"/>
        <s v="Unkur Akışkanlı Börek, Talas (Mevlana Mah.)"/>
        <s v="Usta Lahmacun, Melikgazi (Keykubat Mah.)"/>
        <s v="Ustaoğlu Baklavaları, Melikgazi (Cumhuriyet Mah.)"/>
        <s v="Üsküdar Börek &amp; Tost, Talas (Bahçelievler Mah.)"/>
        <s v="Vanilin Tost &amp; Sandviç, Talas (Mevlana Mah.)"/>
        <s v="Veranda Restaurant at Holiday Inn, Kocasinan (Hacı Saki Mah.)"/>
        <s v="Vitaminist, Melikgazi (Fatih Mah. - İldem)"/>
        <s v="Waffle Dünyası, Talas (Yenidoğan Mah.)"/>
        <s v="Waffle Love, Talas (Mevlana Mah.)"/>
        <s v="Yaba Pide &amp; Lahmacun, Melikgazi (Demokrasi Mah. - Toki)"/>
        <s v="Yamanbey Kebap &amp; Döner, Talas (Yenidoğan Mah.)"/>
        <s v="Yapar Kebap, Melikgazi (Kılıçaslan Mah.)"/>
        <s v="Yaprak Tantuni, Melikgazi (Hunat Mah.)"/>
        <s v="Yeni Ada Piknik Döner &amp; Kebap, Kocasinan (Mimarsinan Mah.)"/>
        <s v="Yeni Merkez Pide, Kocasinan (Gevhernesibe Mah.)"/>
        <s v="Yeni Merkez Pide, Kocasinan (Mevlana Mah.)"/>
        <s v="Yeni Şengül Bülent Usta Pide, Melikgazi (Tacettin Veli Mah.)"/>
        <s v="Yeşil Talas Pide &amp; Lahmacun, Talas (Yenidoğan Mah.)"/>
        <s v="Yeşilyol Pide &amp; Lahmacun, Kocasinan (Hacısaki Mah.)"/>
        <s v="Yeşilyol Pide &amp; Lahmacun, Melikgazi (Hürriyet Mah.)"/>
        <s v="Yeşim Baklava, Melikgazi (Esentepe Mah.)"/>
        <s v="Yöresel Tatlar, Melikgazi (Gültepe Mah.)"/>
        <s v="Zeki Paşa Antep Baklavacısı, Kocasinan (Sahabiye Mah.)"/>
        <s v="Zenburger, Melikgazi (Alpaslan Mah.)"/>
        <s v="Zenburger, Talas (Mevlana Mah.)"/>
        <s v="Zeyrekoğlu Baklava, Talas (Mevlana Mah.)"/>
        <s v="Zirve Döner &amp; Kebap, Kocasinan (Beyazşehir Mah.)"/>
        <s v="Zümrüt Köşk, Kocasinan (Mevlana Mah.)"/>
      </sharedItems>
    </cacheField>
    <cacheField name="Satışa&#10;Açık Mı?" numFmtId="0">
      <sharedItems>
        <s v="DOĞRU"/>
        <s v="YANLIŞ"/>
      </sharedItems>
    </cacheField>
    <cacheField name="Mutfak" numFmtId="0">
      <sharedItems>
        <s v="Burger"/>
        <s v="Sokak Lezzetleri"/>
        <s v="Pasta &amp; Tatlı"/>
        <s v="Tost &amp; Sandviç"/>
        <s v="Pizza"/>
        <s v="Çiğ Köfte"/>
        <s v="Pide"/>
        <s v="Döner"/>
        <s v="Kahvaltı"/>
        <s v="Kebap"/>
        <s v="Ev Yemekleri"/>
        <s v="Lahmacun"/>
        <s v="Tavuk"/>
        <s v="Dünya Mutfağı"/>
        <s v="Dondurma"/>
        <s v="Balık &amp; Deniz Ürünleri"/>
        <s v="Salata"/>
        <s v="Köfte"/>
        <s v="Börek"/>
        <s v="Mantı"/>
        <s v="Menü"/>
        <s v="Deniz Ürünleri"/>
        <s v="İçecek"/>
      </sharedItems>
    </cacheField>
    <cacheField name="TOPLAM&#10;SİPARİŞ" numFmtId="0">
      <sharedItems containsString="0" containsBlank="1" containsNumber="1" containsInteger="1">
        <n v="1899.0"/>
        <n v="919.0"/>
        <n v="57.0"/>
        <n v="1296.0"/>
        <n v="3685.0"/>
        <n v="85.0"/>
        <n v="88.0"/>
        <n v="2.0"/>
        <n v="140.0"/>
        <n v="67.0"/>
        <n v="5.0"/>
        <n v="296.0"/>
        <n v="426.0"/>
        <n v="10.0"/>
        <n v="11.0"/>
        <n v="252.0"/>
        <n v="910.0"/>
        <n v="105.0"/>
        <n v="1064.0"/>
        <n v="835.0"/>
        <n v="53.0"/>
        <n v="537.0"/>
        <n v="142.0"/>
        <m/>
        <n v="17.0"/>
        <n v="36.0"/>
        <n v="810.0"/>
        <n v="701.0"/>
        <n v="283.0"/>
        <n v="1.0"/>
        <n v="215.0"/>
        <n v="89.0"/>
        <n v="405.0"/>
        <n v="953.0"/>
        <n v="399.0"/>
        <n v="2248.0"/>
        <n v="86.0"/>
        <n v="115.0"/>
        <n v="1531.0"/>
        <n v="1258.0"/>
        <n v="273.0"/>
        <n v="4.0"/>
        <n v="82.0"/>
        <n v="167.0"/>
        <n v="126.0"/>
        <n v="16.0"/>
        <n v="828.0"/>
        <n v="258.0"/>
        <n v="27.0"/>
        <n v="485.0"/>
        <n v="80.0"/>
        <n v="124.0"/>
        <n v="1236.0"/>
        <n v="240.0"/>
        <n v="245.0"/>
        <n v="498.0"/>
        <n v="227.0"/>
        <n v="51.0"/>
        <n v="8.0"/>
        <n v="572.0"/>
        <n v="570.0"/>
        <n v="2044.0"/>
        <n v="155.0"/>
        <n v="1344.0"/>
        <n v="2647.0"/>
        <n v="6536.0"/>
        <n v="2113.0"/>
        <n v="529.0"/>
        <n v="433.0"/>
        <n v="50.0"/>
        <n v="249.0"/>
        <n v="746.0"/>
        <n v="1317.0"/>
        <n v="117.0"/>
        <n v="997.0"/>
        <n v="1395.0"/>
        <n v="12.0"/>
        <n v="305.0"/>
        <n v="2963.0"/>
        <n v="10604.0"/>
        <n v="359.0"/>
        <n v="331.0"/>
        <n v="1933.0"/>
        <n v="1070.0"/>
        <n v="1822.0"/>
        <n v="430.0"/>
        <n v="73.0"/>
        <n v="3428.0"/>
        <n v="1016.0"/>
        <n v="4133.0"/>
        <n v="2332.0"/>
        <n v="246.0"/>
        <n v="21.0"/>
        <n v="1167.0"/>
        <n v="257.0"/>
        <n v="516.0"/>
        <n v="388.0"/>
        <n v="787.0"/>
        <n v="3692.0"/>
        <n v="781.0"/>
        <n v="2155.0"/>
        <n v="793.0"/>
        <n v="1741.0"/>
        <n v="558.0"/>
        <n v="55.0"/>
        <n v="1072.0"/>
        <n v="697.0"/>
        <n v="3299.0"/>
        <n v="1712.0"/>
        <n v="15.0"/>
        <n v="1610.0"/>
        <n v="922.0"/>
        <n v="444.0"/>
        <n v="375.0"/>
        <n v="1162.0"/>
        <n v="32.0"/>
        <n v="2440.0"/>
        <n v="398.0"/>
        <n v="26036.0"/>
        <n v="1781.0"/>
        <n v="2054.0"/>
        <n v="742.0"/>
        <n v="161.0"/>
        <n v="24.0"/>
        <n v="49.0"/>
        <n v="179.0"/>
        <n v="1944.0"/>
        <n v="1482.0"/>
        <n v="659.0"/>
        <n v="339.0"/>
        <n v="2855.0"/>
        <n v="9695.0"/>
        <n v="9681.0"/>
        <n v="1067.0"/>
        <n v="68.0"/>
        <n v="26.0"/>
        <n v="90.0"/>
        <n v="544.0"/>
        <n v="153.0"/>
        <n v="65.0"/>
        <n v="528.0"/>
        <n v="4539.0"/>
        <n v="2084.0"/>
        <n v="2015.0"/>
        <n v="2904.0"/>
        <n v="199.0"/>
        <n v="936.0"/>
        <n v="217.0"/>
        <n v="2836.0"/>
        <n v="184.0"/>
        <n v="1303.0"/>
        <n v="343.0"/>
        <n v="20.0"/>
        <n v="355.0"/>
        <n v="447.0"/>
        <n v="223.0"/>
        <n v="892.0"/>
        <n v="550.0"/>
        <n v="4179.0"/>
        <n v="471.0"/>
        <n v="3249.0"/>
        <n v="312.0"/>
        <n v="4493.0"/>
        <n v="196.0"/>
        <n v="1329.0"/>
        <n v="3.0"/>
        <n v="5030.0"/>
        <n v="1304.0"/>
        <n v="190.0"/>
        <n v="54.0"/>
        <n v="369.0"/>
        <n v="1380.0"/>
        <n v="2846.0"/>
        <n v="119.0"/>
        <n v="47.0"/>
        <n v="762.0"/>
        <n v="788.0"/>
        <n v="2655.0"/>
        <n v="5661.0"/>
        <n v="206.0"/>
        <n v="45.0"/>
        <n v="4440.0"/>
        <n v="176.0"/>
        <n v="1391.0"/>
        <n v="708.0"/>
        <n v="1484.0"/>
        <n v="48.0"/>
        <n v="146.0"/>
        <n v="61.0"/>
        <n v="481.0"/>
        <n v="315.0"/>
        <n v="183.0"/>
        <n v="365.0"/>
        <n v="1494.0"/>
        <n v="97.0"/>
        <n v="939.0"/>
        <n v="423.0"/>
        <n v="130.0"/>
        <n v="2760.0"/>
        <n v="2053.0"/>
        <n v="306.0"/>
        <n v="6947.0"/>
        <n v="7273.0"/>
        <n v="3077.0"/>
        <n v="1942.0"/>
        <n v="763.0"/>
        <n v="38.0"/>
        <n v="780.0"/>
        <n v="347.0"/>
        <n v="113.0"/>
        <n v="551.0"/>
        <n v="2881.0"/>
        <n v="2075.0"/>
        <n v="333.0"/>
        <n v="100.0"/>
        <n v="195.0"/>
        <n v="889.0"/>
        <n v="689.0"/>
        <n v="209.0"/>
        <n v="679.0"/>
        <n v="58.0"/>
        <n v="2532.0"/>
        <n v="2200.0"/>
        <n v="19.0"/>
        <n v="511.0"/>
        <n v="152.0"/>
        <n v="4389.0"/>
        <n v="9.0"/>
        <n v="6.0"/>
        <n v="766.0"/>
        <n v="13.0"/>
        <n v="676.0"/>
        <n v="1597.0"/>
        <n v="1239.0"/>
        <n v="431.0"/>
        <n v="1602.0"/>
        <n v="619.0"/>
        <n v="4739.0"/>
        <n v="46.0"/>
        <n v="6045.0"/>
        <n v="1225.0"/>
        <n v="3679.0"/>
        <n v="260.0"/>
        <n v="2727.0"/>
        <n v="63.0"/>
        <n v="316.0"/>
        <n v="1611.0"/>
        <n v="128.0"/>
        <n v="29.0"/>
        <n v="672.0"/>
        <n v="1001.0"/>
        <n v="3589.0"/>
        <n v="7.0"/>
        <n v="1724.0"/>
        <n v="170.0"/>
        <n v="14.0"/>
        <n v="640.0"/>
        <n v="686.0"/>
        <n v="282.0"/>
        <n v="244.0"/>
        <n v="3429.0"/>
        <n v="288.0"/>
        <n v="218.0"/>
        <n v="328.0"/>
        <n v="329.0"/>
        <n v="34.0"/>
        <n v="40.0"/>
        <n v="3851.0"/>
        <n v="10172.0"/>
        <n v="1053.0"/>
        <n v="123.0"/>
        <n v="4760.0"/>
        <n v="1390.0"/>
        <n v="436.0"/>
        <n v="125.0"/>
        <n v="221.0"/>
        <n v="3308.0"/>
        <n v="181.0"/>
        <n v="22.0"/>
        <n v="1090.0"/>
        <n v="1095.0"/>
        <n v="31.0"/>
        <n v="843.0"/>
        <n v="158.0"/>
        <n v="504.0"/>
        <n v="442.0"/>
        <n v="104.0"/>
        <n v="417.0"/>
        <n v="1343.0"/>
        <n v="604.0"/>
        <n v="386.0"/>
        <n v="580.0"/>
        <n v="1693.0"/>
        <n v="1429.0"/>
        <n v="527.0"/>
        <n v="44.0"/>
        <n v="2857.0"/>
        <n v="1022.0"/>
        <n v="1547.0"/>
        <n v="92.0"/>
        <n v="1181.0"/>
        <n v="1141.0"/>
        <n v="438.0"/>
        <n v="286.0"/>
        <n v="489.0"/>
        <n v="280.0"/>
        <n v="191.0"/>
        <n v="75.0"/>
        <n v="709.0"/>
        <n v="6312.0"/>
        <n v="189.0"/>
        <n v="1111.0"/>
        <n v="6647.0"/>
        <n v="1082.0"/>
        <n v="460.0"/>
        <n v="103.0"/>
        <n v="555.0"/>
        <n v="1085.0"/>
        <n v="1071.0"/>
        <n v="648.0"/>
        <n v="1553.0"/>
        <n v="33.0"/>
        <n v="384.0"/>
        <n v="2478.0"/>
        <n v="76.0"/>
        <n v="1146.0"/>
        <n v="525.0"/>
        <n v="988.0"/>
        <n v="3710.0"/>
        <n v="162.0"/>
        <n v="11008.0"/>
        <n v="611.0"/>
        <n v="2690.0"/>
        <n v="107.0"/>
        <n v="871.0"/>
        <n v="4631.0"/>
        <n v="2652.0"/>
        <n v="2608.0"/>
        <n v="661.0"/>
        <n v="30.0"/>
        <n v="79.0"/>
        <n v="815.0"/>
        <n v="186.0"/>
        <n v="1449.0"/>
        <n v="340.0"/>
        <n v="1254.0"/>
        <n v="8738.0"/>
        <n v="1954.0"/>
        <n v="3598.0"/>
        <n v="1564.0"/>
        <n v="2353.0"/>
        <n v="1003.0"/>
        <n v="5011.0"/>
        <n v="2011.0"/>
        <n v="18.0"/>
        <n v="4195.0"/>
        <n v="739.0"/>
        <n v="8209.0"/>
        <n v="81.0"/>
        <n v="2223.0"/>
        <n v="844.0"/>
        <n v="455.0"/>
        <n v="1512.0"/>
        <n v="281.0"/>
        <n v="157.0"/>
        <n v="872.0"/>
        <n v="174.0"/>
        <n v="943.0"/>
        <n v="276.0"/>
        <n v="750.0"/>
        <n v="3045.0"/>
        <n v="1748.0"/>
        <n v="3836.0"/>
        <n v="2342.0"/>
        <n v="784.0"/>
        <n v="595.0"/>
        <n v="740.0"/>
        <n v="7424.0"/>
        <n v="775.0"/>
        <n v="404.0"/>
        <n v="790.0"/>
        <n v="733.0"/>
        <n v="4438.0"/>
        <n v="1614.0"/>
        <n v="865.0"/>
        <n v="1229.0"/>
        <n v="4048.0"/>
        <n v="3113.0"/>
        <n v="2051.0"/>
        <n v="160.0"/>
        <n v="458.0"/>
        <n v="66.0"/>
        <n v="7111.0"/>
        <n v="491.0"/>
        <n v="1638.0"/>
        <n v="876.0"/>
        <n v="823.0"/>
        <n v="521.0"/>
        <n v="10237.0"/>
        <n v="3714.0"/>
        <n v="1018.0"/>
        <n v="1129.0"/>
        <n v="3907.0"/>
        <n v="62.0"/>
        <n v="631.0"/>
        <n v="163.0"/>
        <n v="2028.0"/>
        <n v="982.0"/>
        <n v="1476.0"/>
        <n v="3165.0"/>
        <n v="3311.0"/>
        <n v="1488.0"/>
        <n v="656.0"/>
        <n v="2662.0"/>
        <n v="484.0"/>
        <n v="1164.0"/>
        <n v="1126.0"/>
        <n v="134.0"/>
        <n v="324.0"/>
        <n v="921.0"/>
        <n v="566.0"/>
        <n v="886.0"/>
        <n v="5033.0"/>
        <n v="1981.0"/>
        <n v="112.0"/>
        <n v="1052.0"/>
        <n v="320.0"/>
        <n v="114.0"/>
        <n v="200.0"/>
        <n v="7512.0"/>
        <n v="4688.0"/>
        <n v="3930.0"/>
      </sharedItems>
    </cacheField>
    <cacheField name="SON 2 &#10;HAFTA" numFmtId="0">
      <sharedItems containsString="0" containsBlank="1" containsNumber="1" containsInteger="1">
        <n v="25.0"/>
        <m/>
        <n v="3.0"/>
        <n v="1.0"/>
        <n v="85.0"/>
        <n v="10.0"/>
        <n v="32.0"/>
        <n v="5.0"/>
        <n v="22.0"/>
        <n v="6.0"/>
        <n v="14.0"/>
        <n v="2.0"/>
        <n v="7.0"/>
        <n v="17.0"/>
        <n v="4.0"/>
        <n v="27.0"/>
        <n v="390.0"/>
        <n v="47.0"/>
        <n v="51.0"/>
        <n v="9.0"/>
        <n v="46.0"/>
        <n v="15.0"/>
        <n v="125.0"/>
        <n v="20.0"/>
        <n v="11.0"/>
        <n v="97.0"/>
        <n v="13.0"/>
        <n v="45.0"/>
        <n v="59.0"/>
        <n v="36.0"/>
        <n v="40.0"/>
        <n v="95.0"/>
        <n v="30.0"/>
        <n v="8.0"/>
        <n v="65.0"/>
        <n v="109.0"/>
        <n v="12.0"/>
        <n v="593.0"/>
        <n v="279.0"/>
        <n v="55.0"/>
        <n v="24.0"/>
        <n v="39.0"/>
        <n v="137.0"/>
        <n v="101.0"/>
        <n v="89.0"/>
        <n v="163.0"/>
        <n v="35.0"/>
        <n v="171.0"/>
        <n v="29.0"/>
        <n v="44.0"/>
        <n v="88.0"/>
        <n v="26.0"/>
        <n v="104.0"/>
        <n v="81.0"/>
        <n v="21.0"/>
        <n v="1604.0"/>
        <n v="42.0"/>
        <n v="49.0"/>
        <n v="54.0"/>
        <n v="817.0"/>
        <n v="342.0"/>
        <n v="57.0"/>
        <n v="145.0"/>
        <n v="92.0"/>
        <n v="134.0"/>
        <n v="38.0"/>
        <n v="18.0"/>
        <n v="196.0"/>
        <n v="19.0"/>
        <n v="77.0"/>
        <n v="239.0"/>
        <n v="341.0"/>
        <n v="192.0"/>
        <n v="336.0"/>
        <n v="150.0"/>
        <n v="397.0"/>
        <n v="63.0"/>
        <n v="147.0"/>
        <n v="76.0"/>
        <n v="106.0"/>
        <n v="48.0"/>
        <n v="138.0"/>
        <n v="52.0"/>
        <n v="123.0"/>
        <n v="372.0"/>
        <n v="66.0"/>
        <n v="206.0"/>
        <n v="50.0"/>
        <n v="87.0"/>
        <n v="53.0"/>
        <n v="16.0"/>
        <n v="75.0"/>
        <n v="62.0"/>
        <n v="119.0"/>
        <n v="79.0"/>
        <n v="61.0"/>
        <n v="96.0"/>
        <n v="74.0"/>
        <n v="240.0"/>
        <n v="33.0"/>
        <n v="267.0"/>
        <n v="90.0"/>
        <n v="31.0"/>
        <n v="83.0"/>
        <n v="64.0"/>
        <n v="128.0"/>
        <n v="37.0"/>
        <n v="346.0"/>
        <n v="169.0"/>
        <n v="23.0"/>
        <n v="149.0"/>
        <n v="238.0"/>
        <n v="120.0"/>
        <n v="82.0"/>
        <n v="43.0"/>
        <n v="100.0"/>
        <n v="285.0"/>
        <n v="135.0"/>
        <n v="131.0"/>
        <n v="34.0"/>
        <n v="136.0"/>
        <n v="144.0"/>
        <n v="251.0"/>
        <n v="158.0"/>
        <n v="93.0"/>
        <n v="216.0"/>
        <n v="111.0"/>
        <n v="72.0"/>
        <n v="28.0"/>
        <n v="194.0"/>
        <n v="71.0"/>
        <n v="199.0"/>
        <n v="176.0"/>
        <n v="272.0"/>
        <n v="191.0"/>
        <n v="103.0"/>
      </sharedItems>
    </cacheField>
    <cacheField name="RESİMLİ&#10;ÜRÜN" numFmtId="0">
      <sharedItems containsSemiMixedTypes="0" containsString="0" containsNumber="1" containsInteger="1">
        <n v="21.0"/>
        <n v="0.0"/>
        <n v="5.0"/>
        <n v="15.0"/>
        <n v="11.0"/>
        <n v="4.0"/>
        <n v="9.0"/>
        <n v="6.0"/>
        <n v="13.0"/>
        <n v="19.0"/>
        <n v="7.0"/>
        <n v="8.0"/>
        <n v="27.0"/>
        <n v="17.0"/>
        <n v="35.0"/>
        <n v="2.0"/>
        <n v="16.0"/>
        <n v="12.0"/>
        <n v="3.0"/>
        <n v="14.0"/>
        <n v="31.0"/>
        <n v="37.0"/>
        <n v="45.0"/>
        <n v="33.0"/>
        <n v="10.0"/>
        <n v="30.0"/>
        <n v="25.0"/>
        <n v="24.0"/>
        <n v="107.0"/>
        <n v="36.0"/>
        <n v="62.0"/>
        <n v="28.0"/>
        <n v="18.0"/>
        <n v="22.0"/>
        <n v="23.0"/>
        <n v="41.0"/>
        <n v="1.0"/>
        <n v="32.0"/>
        <n v="79.0"/>
        <n v="26.0"/>
        <n v="20.0"/>
        <n v="38.0"/>
        <n v="67.0"/>
        <n v="97.0"/>
        <n v="61.0"/>
        <n v="40.0"/>
        <n v="46.0"/>
        <n v="77.0"/>
        <n v="76.0"/>
        <n v="29.0"/>
        <n v="65.0"/>
        <n v="74.0"/>
        <n v="66.0"/>
        <n v="39.0"/>
        <n v="44.0"/>
      </sharedItems>
    </cacheField>
    <cacheField name="RESİMSİZ&#10;ÜRÜN" numFmtId="0">
      <sharedItems containsSemiMixedTypes="0" containsString="0" containsNumber="1" containsInteger="1">
        <n v="22.0"/>
        <n v="11.0"/>
        <n v="3.0"/>
        <n v="17.0"/>
        <n v="41.0"/>
        <n v="1.0"/>
        <n v="10.0"/>
        <n v="9.0"/>
        <n v="2.0"/>
        <n v="7.0"/>
        <n v="13.0"/>
        <n v="21.0"/>
        <n v="19.0"/>
        <n v="6.0"/>
        <n v="4.0"/>
        <n v="5.0"/>
        <n v="18.0"/>
        <n v="26.0"/>
        <n v="24.0"/>
        <n v="12.0"/>
        <n v="31.0"/>
        <n v="16.0"/>
        <n v="25.0"/>
        <n v="39.0"/>
        <n v="8.0"/>
        <n v="14.0"/>
        <n v="67.0"/>
        <n v="29.0"/>
        <n v="15.0"/>
        <n v="34.0"/>
        <n v="38.0"/>
        <n v="69.0"/>
        <n v="55.0"/>
        <n v="20.0"/>
        <n v="54.0"/>
        <n v="63.0"/>
        <n v="0.0"/>
        <n v="59.0"/>
        <n v="43.0"/>
        <n v="28.0"/>
        <n v="27.0"/>
        <n v="33.0"/>
        <n v="23.0"/>
        <n v="30.0"/>
        <n v="32.0"/>
        <n v="114.0"/>
        <n v="164.0"/>
        <n v="153.0"/>
        <n v="46.0"/>
        <n v="37.0"/>
        <n v="51.0"/>
        <n v="75.0"/>
        <n v="50.0"/>
        <n v="44.0"/>
        <n v="42.0"/>
        <n v="35.0"/>
        <n v="36.0"/>
        <n v="52.0"/>
        <n v="145.0"/>
        <n v="56.0"/>
        <n v="144.0"/>
        <n v="90.0"/>
        <n v="104.0"/>
        <n v="177.0"/>
        <n v="45.0"/>
        <n v="47.0"/>
        <n v="92.0"/>
        <n v="64.0"/>
        <n v="187.0"/>
        <n v="85.0"/>
        <n v="86.0"/>
        <n v="61.0"/>
        <n v="40.0"/>
        <n v="68.0"/>
        <n v="74.0"/>
        <n v="49.0"/>
        <n v="80.0"/>
      </sharedItems>
    </cacheField>
    <cacheField name="TOPLAM&#10;ÜRÜN" numFmtId="0">
      <sharedItems containsSemiMixedTypes="0" containsString="0" containsNumber="1" containsInteger="1">
        <n v="43.0"/>
        <n v="11.0"/>
        <n v="8.0"/>
        <n v="17.0"/>
        <n v="56.0"/>
        <n v="12.0"/>
        <n v="14.0"/>
        <n v="9.0"/>
        <n v="15.0"/>
        <n v="7.0"/>
        <n v="10.0"/>
        <n v="13.0"/>
        <n v="32.0"/>
        <n v="19.0"/>
        <n v="6.0"/>
        <n v="24.0"/>
        <n v="18.0"/>
        <n v="26.0"/>
        <n v="4.0"/>
        <n v="31.0"/>
        <n v="16.0"/>
        <n v="20.0"/>
        <n v="22.0"/>
        <n v="25.0"/>
        <n v="28.0"/>
        <n v="29.0"/>
        <n v="66.0"/>
        <n v="102.0"/>
        <n v="5.0"/>
        <n v="34.0"/>
        <n v="47.0"/>
        <n v="69.0"/>
        <n v="55.0"/>
        <n v="23.0"/>
        <n v="68.0"/>
        <n v="63.0"/>
        <n v="30.0"/>
        <n v="33.0"/>
        <n v="3.0"/>
        <n v="59.0"/>
        <n v="74.0"/>
        <n v="58.0"/>
        <n v="50.0"/>
        <n v="38.0"/>
        <n v="46.0"/>
        <n v="41.0"/>
        <n v="35.0"/>
        <n v="21.0"/>
        <n v="67.0"/>
        <n v="221.0"/>
        <n v="200.0"/>
        <n v="153.0"/>
        <n v="37.0"/>
        <n v="51.0"/>
        <n v="86.0"/>
        <n v="84.0"/>
        <n v="60.0"/>
        <n v="44.0"/>
        <n v="36.0"/>
        <n v="27.0"/>
        <n v="52.0"/>
        <n v="49.0"/>
        <n v="72.0"/>
        <n v="145.0"/>
        <n v="53.0"/>
        <n v="144.0"/>
        <n v="39.0"/>
        <n v="90.0"/>
        <n v="104.0"/>
        <n v="256.0"/>
        <n v="45.0"/>
        <n v="101.0"/>
        <n v="40.0"/>
        <n v="2.0"/>
        <n v="42.0"/>
        <n v="189.0"/>
        <n v="106.0"/>
        <n v="76.0"/>
        <n v="94.0"/>
        <n v="64.0"/>
        <n v="187.0"/>
        <n v="91.0"/>
        <n v="85.0"/>
        <n v="61.0"/>
        <n v="65.0"/>
        <n v="88.0"/>
      </sharedItems>
    </cacheField>
    <cacheField name="Ratio" numFmtId="9">
      <sharedItems containsSemiMixedTypes="0" containsString="0" containsNumber="1">
        <n v="0.49"/>
        <n v="0.0"/>
        <n v="0.63"/>
        <n v="0.27"/>
        <n v="0.92"/>
        <n v="0.29"/>
        <n v="0.82"/>
        <n v="0.67"/>
        <n v="0.34"/>
        <n v="0.76"/>
        <n v="0.79"/>
        <n v="0.88"/>
        <n v="0.45"/>
        <n v="0.21"/>
        <n v="0.89"/>
        <n v="0.38"/>
        <n v="0.35"/>
        <n v="0.5"/>
        <n v="0.58"/>
        <n v="0.41"/>
        <n v="0.17"/>
        <n v="0.64"/>
        <n v="0.4"/>
        <n v="0.94"/>
        <n v="0.75"/>
        <n v="0.57"/>
        <n v="0.47"/>
        <n v="0.19"/>
        <n v="0.13"/>
        <n v="1.0"/>
        <n v="0.83"/>
        <n v="0.93"/>
        <n v="0.31"/>
        <n v="0.46"/>
        <n v="0.55"/>
        <n v="0.25"/>
        <n v="0.33"/>
        <n v="0.42"/>
        <n v="0.9"/>
        <n v="0.32"/>
        <n v="0.87"/>
        <n v="0.2"/>
        <n v="0.59"/>
        <n v="0.39"/>
        <n v="0.65"/>
        <n v="0.74"/>
        <n v="0.43"/>
        <n v="0.48"/>
        <n v="0.18"/>
        <n v="0.72"/>
        <n v="0.3"/>
        <n v="0.61"/>
        <n v="0.11"/>
        <n v="0.52"/>
        <n v="0.53"/>
        <n v="0.6"/>
        <n v="0.71"/>
        <n v="0.44"/>
        <n v="0.24"/>
        <n v="0.73"/>
        <n v="0.23"/>
        <n v="0.84"/>
        <n v="0.62"/>
        <n v="0.15"/>
        <n v="0.03"/>
        <n v="0.26"/>
        <n v="0.06"/>
        <n v="0.86"/>
        <n v="0.22"/>
        <n v="0.1"/>
        <n v="0.68"/>
        <n v="0.36"/>
        <n v="0.85"/>
        <n v="0.95"/>
        <n v="0.51"/>
        <n v="0.97"/>
        <n v="0.7"/>
        <n v="0.8"/>
        <n v="0.02"/>
        <n v="0.01"/>
        <n v="0.05"/>
        <n v="0.56"/>
        <n v="0.37"/>
        <n v="0.09"/>
        <n v="0.78"/>
        <n v="0.54"/>
        <n v="0.77"/>
      </sharedItems>
    </cacheField>
    <cacheField name="Yetkili" numFmtId="0">
      <sharedItems>
        <s v="Ahmet Tiryakioğlu"/>
        <s v="Muammer Efe Bayrakdar"/>
        <s v="Muhammed Mustafa Duman"/>
        <s v="Hatice Dirik"/>
        <s v="Yaşar Üsten"/>
        <s v="Abdulmenaf Mendi"/>
        <s v="Serdar Burak Karaca"/>
        <s v="Mehmet Eldaş"/>
        <s v="Turgut Aras"/>
        <s v="Ertuğrulhan Öztürkoğlu"/>
        <s v="Barış Arslan"/>
        <s v="MELİKE ŞULE ÖZMEN"/>
        <s v="Rukiye Yılmaz"/>
        <s v="Özgür Bektaş"/>
        <s v="Hülya Bayram"/>
        <s v="Mustafa Okan Demirci"/>
        <s v="Yasin Kösem"/>
        <s v="Ali Aktay"/>
        <s v="Ahmet Lütfullah Dirican"/>
        <s v="Mehmet Ali Çetin"/>
        <s v="Gökhan Derin"/>
        <s v="Serdar Yargı"/>
        <s v="Hikmet Karatepe"/>
        <s v="Abdullah Çakırbeyli"/>
        <s v="Orhan Tezcan"/>
        <s v="Mustafa Kaplan"/>
        <s v="Özlem arı"/>
        <s v="Büşra Tekmanlı"/>
        <s v="Ahmet Diri"/>
        <s v="Doğuş Bak"/>
        <s v="Ömer Faruk Demirkoparan"/>
        <s v="Berkay Kenan Çelik"/>
        <s v="BERAT BURHAN KÖSE"/>
        <s v="Yunus Emre Erdoğan"/>
        <s v="Bilal Sarıoğlu"/>
        <s v="Yasemin Karaca"/>
        <s v="Ersin Pugar"/>
        <s v="Hakan Yıldırım"/>
        <s v="Nazif Burak Kiraz"/>
        <s v="Servet Kartal"/>
        <s v="Yakup Emre Şahin"/>
        <s v="Özlem Sural"/>
        <s v="Emine Kılıç"/>
        <s v="Gökan Süslü"/>
        <s v="Yusuf Acar"/>
        <s v="Aygül Yıldız"/>
        <s v="Kadir Pınarbaşı"/>
        <s v="Neriman Çolak"/>
        <s v="MURAT CAN KAHRAMAN"/>
        <s v="Musa Tığ"/>
        <s v="Mehmet Atar"/>
        <s v="Yılmaz Ergin"/>
        <s v="Ali Şaş"/>
        <s v="Selim dirik"/>
        <s v="Ahmet Aksu"/>
        <s v="CANER İZGİ"/>
        <s v="Kaan Nart"/>
        <s v="Oğulcan Reyhan"/>
        <s v="Elif Tamer"/>
        <s v="Bayram Kurudirek"/>
        <s v="Teslime Orhan"/>
        <s v="Yıldıray Altıntaş"/>
        <s v="Meryem Çapar"/>
        <s v="Şaban Türkmen"/>
        <s v="Alim Akkoyun"/>
        <s v="Doğuş Vural"/>
        <s v="Mehmet Özdin"/>
        <s v="Emin Hançer"/>
        <s v="Serkan Adıyaman"/>
        <s v="Ahmet Can Arslan"/>
        <s v="Ümit Arslan"/>
        <s v="Hatice Gül Yıldız"/>
        <s v="Azizhan Şenen"/>
        <s v="MERVENUR AKIL"/>
        <s v="TEMEL KEPEZKAYA"/>
        <s v="Yakup Doğru"/>
        <s v="Özkan Dursun"/>
        <s v="Yaşar Ateş"/>
        <s v="Halil Bayram"/>
        <s v="Önder Can"/>
        <s v="Davut Çapan"/>
        <s v="Rıdvan Kefkir"/>
        <s v="Esma Diri"/>
        <s v="ALİ CAN AKPINAR"/>
        <s v="Tugay Gündüz"/>
        <s v="Yusuf Sapayer"/>
        <s v="Harun Karakaya"/>
        <s v="Suat Akbaba"/>
        <s v="Ahmet Konyalıoğlu"/>
        <s v="Abdullah Ensağ"/>
        <s v="Melisa Yeşil"/>
        <s v="Fevziye Güneş"/>
        <s v="Ayşegül Apaydın"/>
        <s v="Seher Yalınız"/>
        <s v="Mustafa Şahin"/>
        <s v="Gökhan Dönmez"/>
        <s v="Adem Kulluk"/>
        <s v="Şükrü Bayram"/>
        <s v="DOĞUKAN CIRDI"/>
        <s v="Cafer Nalbant"/>
        <s v="Hasan Albayrak"/>
        <s v="Rifat İslam Kılıç"/>
        <s v="Canan İlhan"/>
        <s v="Mustafa Bozdağ"/>
        <s v="Fatma Yılmaz"/>
        <s v="Murat Gürler"/>
        <s v="Bircan Kalkan"/>
        <s v="Ömer Faruk Kılıç"/>
        <s v="Ramazan Gençoğlu"/>
        <s v="MUSTAFA ÇINGI"/>
        <s v="Bahattin Aslan"/>
        <s v="AHMET ÜRPER"/>
        <s v="LÜTFİYE PINAR"/>
        <s v="Merve Şahin"/>
        <s v="Cüneyt Çetin"/>
        <s v="Yusuf Doğan"/>
        <s v="Erkan Ülkan"/>
        <s v="Gürkan Karakaya"/>
        <s v="Serkan Karadaş"/>
        <s v="Hülya Bozdemir"/>
        <s v="Ümit Yılmaz"/>
        <s v="İlhami Başer"/>
        <s v="Salim Altak"/>
        <s v="Erşad Başbağ"/>
        <s v="İsmail Doğu"/>
        <s v="Hayrullah Bilgin"/>
        <s v="ATAKAN ALİ BAŞ"/>
        <s v="Emre Topaklı"/>
        <s v="Ahmet Can Palancıoğlu"/>
        <s v="Erkan Üzüm"/>
        <s v="Saniye Dağlar"/>
        <s v="Mustafa Şencanlar"/>
        <s v="Yahya Aras"/>
        <s v="İbrahim Şencanlar"/>
        <s v="Mehmet Erdoğan"/>
        <s v="Yasemin Çelebi"/>
        <s v="Muhammed Saraç"/>
        <s v="Oktay Alkan"/>
        <s v="Gökhan Ünlühizarcı"/>
        <s v="JANBERK TÜRK"/>
        <s v="Yusuf Paşaoğlu"/>
        <s v="Metin Aybar"/>
        <s v="YAVUZ SELİM ZENGER"/>
        <s v="Şaban Zenger"/>
        <s v="Muhammed Salih Arslan"/>
        <s v="Bülent Şahin"/>
        <s v="Mehmet Aktaş"/>
        <s v="Selda Aktaş"/>
        <s v="Uğur Alan"/>
        <s v="Engin Can Çağlar"/>
        <s v="Hülya Tiritoğlu"/>
        <s v="Aykut Mustafa İzci"/>
        <s v="Mustafa Sağlam"/>
        <s v="Veysel Birol"/>
        <s v="Caner Toprak"/>
        <s v="ESRA KILIÇARSLAN"/>
        <s v="Şaban Sağıroğlu"/>
        <s v="Ufuk Saim"/>
        <s v="Emrah Çizmeli"/>
        <s v="Nuran Uysaler"/>
        <s v="Rıdvan Karaca"/>
        <s v="Burak Yılmaz"/>
        <s v="Orhan Kuruşcuoğlu"/>
        <s v="Mustafa Demirel"/>
        <s v="Muhammed Mustafa Uçankuş"/>
        <s v="YUNUS EREN"/>
        <s v="Aslıhan Bülbül"/>
        <s v="Züheyla Olgaç"/>
        <s v="Süleyman Höyüklüoğlu"/>
        <s v="Ayhan Höyüklüoğlu"/>
        <s v="Fatma Eser"/>
        <s v="Metin Höyüklüoğlu"/>
        <s v="Abdullah Aydoğan"/>
        <s v="Merve Güleç"/>
        <s v="Burhan Vural"/>
        <s v="Musa Dünya"/>
        <s v="Gülten Özmen"/>
        <s v="Nediret Sarıbaş"/>
        <s v="Resul Doğan"/>
        <s v="Necmettin Koç"/>
        <s v="Abdullah Toprak"/>
        <s v="Onur Karakoç"/>
        <s v="Kenan Karakoç"/>
        <s v="SELİM KAHRAMAN"/>
        <s v="Rabia Ergül"/>
        <s v="Nevzat Yalçın"/>
        <s v="Sinan Koçak"/>
        <s v="Serdar Çaparoğlu"/>
        <s v="Fadime Yıldırım"/>
        <s v="Volkan Demirci"/>
        <s v="Yüksel zaman"/>
        <s v="Fatma Arslan"/>
        <s v="Erdoğan Kanlıoğlu"/>
        <s v="Alev Gökoğuz"/>
        <s v="Sezai Aydın"/>
        <s v="FATMA KOÇ"/>
        <s v="Zahide Hasdemir"/>
        <s v="Muhammet Ata Çakmak"/>
        <s v="Coşkun Altıparmak"/>
        <s v="Fatma Aksu"/>
        <s v="Uğur Murat Dirim"/>
        <s v="Osman Dikici"/>
        <s v="Harun Ataş"/>
        <s v="Hürü Şahin"/>
        <s v="Hülya Germirlioğlu"/>
        <s v="FURKAN TEKİN"/>
        <s v="Nebahat Hopur"/>
        <s v="Berrin Şener"/>
        <s v="Nurettin Ünal"/>
        <s v="Ekrem Aras"/>
        <s v="Serkan Serçel"/>
        <s v="Duran Can"/>
        <s v="İsmail Tekgöz"/>
        <s v="Gülüzar Turhan"/>
        <s v="Süleyman Soydan"/>
        <s v="Fatih Süleyman Güneş"/>
        <s v="Suat Şahin"/>
        <s v="Fatih Kurt"/>
        <s v="Ahmet Eren Özsoy"/>
        <s v="Niyazi Bozkurt"/>
        <s v="Hacer Gözüküçük"/>
        <s v="Fatih Kılıçkaya"/>
        <s v="Sezer Karakaya"/>
        <s v="Yazgül Ertaş"/>
        <s v="HACI MURAT KILIÇ"/>
        <s v="Mustafa Emir Yılmaz"/>
        <s v="Osman Dağlı"/>
        <s v="Hakan Akkar"/>
        <s v="Hasan Salırlıoğlu"/>
        <s v="Sibel Sert"/>
        <s v="Dilek Kırtaş"/>
        <s v="Kürşad Gönül"/>
        <s v="Emre Demiröz"/>
        <s v="Selman Türkyılmaz"/>
        <s v="Fırat Kekeçoğlu"/>
        <s v="Hasan Gürpınar"/>
        <s v="Ercan Göktepe"/>
        <s v="Burak Göktepe"/>
        <s v="Mehmet Özen"/>
        <s v="Aydın Işık"/>
        <s v="Hatice Kaya"/>
        <s v="Bircan Özdemir"/>
        <s v="Bayram Aydemir"/>
        <s v="Gıyasettin Bozkaya"/>
        <s v="Murat Akkuş"/>
        <s v="Ünal Comart"/>
        <s v="MESUT ERDEM"/>
        <s v="Volkan Gice"/>
        <s v="Nizamettin Cengiz"/>
        <s v="Mustafa Özcan"/>
        <s v="Ali Deveci"/>
        <s v="Şura Yıldız"/>
        <s v="Recep Tayyip Özüdok"/>
        <s v="Nafiye Soyer"/>
        <s v="Yılmaz Hasoğlu"/>
        <s v="Hidayet Ördek"/>
        <s v="Hatice Çalış"/>
        <s v="Nejdet Burkay"/>
        <s v="Faruk Şahinkaya"/>
        <s v="Coşkun Kocakaya"/>
        <s v="Mustafa Bünyamin Şimşek"/>
        <s v="Gürkan Uğurlu"/>
        <s v="Ahmet Sert"/>
        <s v="Ertuğrul Çilsalar"/>
        <s v="Selahaddin Kitir"/>
        <s v="Yasemin Rüzgar"/>
        <s v="Fatih Nazlı"/>
        <s v="Seyfettin Sağırkaya"/>
        <s v="Cemil Aladağ"/>
        <s v="Cem Ceylan"/>
        <s v="Feride Tak"/>
        <s v="MİKAİL TAŞ"/>
        <s v="Hüseyin Bahadır Per"/>
        <s v="Kağan Kara"/>
        <s v="Bulut Erzurum"/>
        <s v="Ekrem Demirtaş"/>
        <s v="Mehmet Kaya"/>
        <s v="Serdar Koç"/>
        <s v="Sinan Kaygısız"/>
        <s v="Mustafa Çizmeli"/>
        <s v="Sultan Yıldız"/>
        <s v="Mehmet Samed Koşkan"/>
        <s v="Burhan Başboğa"/>
        <s v="Ayşe Yalçın"/>
        <s v="Türkan Başboğa"/>
        <s v="Kemal Yalnıztaş"/>
        <s v="Furkan Sancakçeken"/>
        <s v="Şahin Altuntop"/>
        <s v="Bekir Bozkurt"/>
        <s v="Gülizar Sezen"/>
        <s v="Melike Gören"/>
        <s v="Duran Ataklı"/>
        <s v="Serdal Duran"/>
        <s v="Yunus Erkul"/>
        <s v="Akın Yaroğlu"/>
        <s v="Aylin Köker"/>
        <s v="Ercan Yazıcı"/>
        <s v="Ramazan Gündüz"/>
        <s v="Kürşat Demir"/>
        <s v="Ahmet Demir"/>
        <s v="Keziban Toprak"/>
        <s v="Nursel Çakmak"/>
        <s v="Savaş Dağlı"/>
        <s v="Mukaddes Karacaoğlu"/>
        <s v="Fatih Kayaaltı"/>
        <s v="Hacı Karakuş"/>
        <s v="Yücel Şen"/>
        <s v="Emre Bayazıt"/>
        <s v="Burhanettin Yavuz"/>
        <s v="Osman Özdemir"/>
        <s v="Necmettin Bebütoğlu"/>
        <s v="Ahmet Nazif Tolunay"/>
        <s v="Ahmet Güler"/>
        <s v="Nurşen Sakallı"/>
        <s v="Cüneyt Battal Bayırbaşı"/>
        <s v="İsmail Özdemir"/>
        <s v="GÜLERDE YILMAZ"/>
        <s v="Erkan Karabey"/>
        <s v="Öznur Çetin"/>
        <s v="Seda Tarhan"/>
        <s v="Metin Tarhan"/>
        <s v="Bahar Atlı"/>
        <s v="Celal Önal"/>
        <s v="Mustafa Sönmez"/>
        <s v="Leyla Nur Ceylan"/>
        <s v="Murat Güleseroğlu"/>
        <s v="Sedat Çalışır"/>
        <s v="Yıldız Kumru"/>
        <s v="Mehmet Tahir Türkmen"/>
        <s v="Pelin Yayla"/>
        <s v="İlhan Taştan"/>
        <s v="Şevket Kaan"/>
        <s v="İsmail Furkan Çelebi"/>
        <s v="Emrah Kurt"/>
        <s v="Fehmi Tutar"/>
        <s v="Harun Taşdemir"/>
        <s v="Asım Yaşar"/>
        <s v="BÜŞRA KÖK"/>
        <s v="Samed Özer"/>
        <s v="Asım Şahin"/>
        <s v="Bilent Demiral"/>
        <s v="Aytaç Kadak"/>
        <s v="SEHER KIRBOĞA"/>
        <s v="Muammer Temiz"/>
        <s v="Muhammed Çetin"/>
        <s v="Ahmet Batuhan Şimşek"/>
        <s v="Ramazan Keskin"/>
        <s v="Nevzat Kocaman"/>
        <s v="Osman Yaşar"/>
        <s v="Gülpaşa Köse"/>
        <s v="Selami Arslan"/>
        <s v="Yakup Eldik"/>
        <s v="Barış Erdem"/>
        <s v="Oya Varlı"/>
        <s v="Yasin danaoğlu"/>
        <s v="Nuh Mehmet Gökşen"/>
        <s v="Recep Yeşilbaş"/>
        <s v="Ferhat Çıklakarakayalı"/>
        <s v="Naim Güneş"/>
        <s v="Nur Sima Dedecan"/>
        <s v="Aslıhan Türkoğlu"/>
        <s v="Zehra Oyarkılıçgil"/>
        <s v="Aysun tağma"/>
        <s v="Ahmet Karataş"/>
        <s v="Kübra Çabuk"/>
        <s v="Selim Çelik"/>
        <s v="Remziye Somyürek"/>
        <s v="Yasin İnal"/>
        <s v="Baki Uca"/>
        <s v="Fadime Koç"/>
        <s v="SELİM TANYELİ"/>
        <s v="Emre Kızıltepe"/>
        <s v="Hikmet Topdağ"/>
        <s v="ALPEREN ÜNLÜ"/>
        <s v="Abidin Bulut"/>
        <s v="Mutlu Taşçı"/>
        <s v="Uğur Çoban"/>
        <s v="Zeynep Alan"/>
        <s v="Emre Bozdağ"/>
        <s v="İsmet Durmuş"/>
        <s v="Muharrem Serkan Selvioğlu"/>
        <s v="Hacer Sezer"/>
        <s v="Kübra Kan"/>
        <s v="Ozan Yazıcı"/>
        <s v="Ali Gönültaş"/>
        <s v="Serdar Sefa Kuruçay"/>
        <s v="Çiçek Karaduman"/>
        <s v="HAYRİ DANACI"/>
        <s v="Döne Topaktaş"/>
        <s v="Abdullah Özel"/>
        <s v="MEHMET ÖZER"/>
        <s v="Ferhat Özlü"/>
        <s v="Neslihan Özmen"/>
        <s v="Şerife Şahin"/>
        <s v="Nuh Mehmet Gökçek"/>
        <s v="Yılmaz Kaplan"/>
        <s v="Mehmet Ali Ekinci"/>
        <s v="Serdar Tamer"/>
        <s v="Akif Büyükbahçeci"/>
        <s v="İLKNUR ŞENGÜL"/>
        <s v="Gül İleli"/>
        <s v="Eyyüp Karaoğlan"/>
        <s v="Turgut Erdoğan"/>
        <s v="Perihan Erciyas"/>
        <s v="İlker Bıyık"/>
        <s v="İLKER BIYIK"/>
        <s v="Abdullah Eren"/>
        <s v="Tuğba Göktaş"/>
        <s v="Fuat Şener"/>
        <s v="Meliha Erdoğan"/>
        <s v="Erkan Erdoğan"/>
        <s v="Özcan Yüceer"/>
        <s v="Ertan Yılmaz"/>
        <s v="Serdal Altınok"/>
        <s v="Hakan Taşdemir"/>
        <s v="EKREM BAHADIR"/>
        <s v="Hayrunnisa ER"/>
        <s v="Adem Bağcı"/>
        <s v="MERVE PEKİN"/>
        <s v="Derviş Akdeniz"/>
        <s v="Ömer Saraç"/>
        <s v="Gül Betül Kaygısız"/>
        <s v="Deniz Baştaş"/>
        <s v="ALPEREN ÇEKİÇ"/>
        <s v="Ahmet Güneş"/>
        <s v="Ahmet Durak"/>
        <s v="Derya İlhan"/>
        <s v="Yakup Avlukyarı"/>
        <s v="Hatun İtergen"/>
        <s v="Barış Akyar"/>
        <s v="Mustafa Şimşek"/>
        <s v="Alirıza Toprak"/>
        <s v="Recep Berk"/>
        <s v="YUSUF TANFER AKSOY"/>
        <s v="Gamze Hasçalık"/>
        <s v="Fatih Altınkaya"/>
        <s v="Ali Usluoğlu"/>
        <s v="Yasin Kenger"/>
        <s v="Tolunay Mert"/>
        <s v="MEHMET KILINÇKAYA"/>
        <s v="Osman Erdem"/>
        <s v="Fatih Berk"/>
        <s v="Basire Aras"/>
        <s v="Ramazan Söylemez"/>
        <s v="Hüseyin Kıraç"/>
        <s v="Akın Bayazıt"/>
        <s v="Muhammet Mert"/>
        <s v="Mustafa Özaşır"/>
        <s v="Setenay Polat"/>
        <s v="Ahmet Tüysüz"/>
        <s v="Ömer Hayarali"/>
        <s v="Erhan Günbay"/>
        <s v="Şeyhmus Ayık"/>
        <s v="Lefte Taze"/>
        <s v="Hatice Akbıyık"/>
        <s v="Davut Gökdemir"/>
        <s v="Emrullah Çelik"/>
        <s v="Faruk Erciyas"/>
        <s v="Burhanettin Erdoğan"/>
        <s v="Emre Zorba"/>
        <s v="Adem Taşdemir"/>
        <s v="Kadir Açobey"/>
        <s v="Recep Ergindoğan"/>
        <s v="Bekir Selvi"/>
        <s v="Yasin Gür"/>
        <s v="Zafer Pamuk"/>
        <s v="Mehmet Aksoy"/>
        <s v="Selami Gürbüz"/>
        <s v="Bayram Özer"/>
        <s v="Müjda Bozdemir"/>
        <s v="Mehmet Onur Çelik"/>
        <s v="Kübra Çankaya"/>
        <s v="Galip Öztürk"/>
        <s v="Ferhat Kara"/>
        <s v="ŞERİFE TÜRKAN"/>
        <s v="Selda Yavuz"/>
        <s v="PELİN KUZEY"/>
        <s v="Ümit Ulaş"/>
        <s v="Emre Öztürk"/>
        <s v="Mehmet Çiçek"/>
        <s v="Meral Çiftçi"/>
        <s v="Gülçin Koç"/>
        <s v="Hamza Dikmen"/>
        <s v="Dilara Okuducu"/>
        <s v="Hasan Çoban"/>
        <s v="Fatih Dağdelen"/>
        <s v="Önder Yamaç"/>
        <s v="Bilal Atuşoğlu"/>
        <s v="ÖZCAN TEK"/>
        <s v="Burak Erkan"/>
        <s v="Süleyman Aydemir"/>
        <s v="Oğuzhan Karabulut"/>
        <s v="Ferhat Güzey"/>
        <s v="Tuğçe Dağdelen"/>
        <s v="Yasemin Baydemir"/>
        <s v="SELDA KAYNAR"/>
        <s v="Ömer Basat"/>
        <s v="Umut Kurt"/>
        <s v="Ayfer altıntaş"/>
        <s v="Kenan Kumru"/>
        <s v="Eren Erel"/>
        <s v="Cemal Dutkun"/>
        <s v="Ali Sert"/>
        <s v="Kayacan koçak"/>
        <s v="Naci Tolgay"/>
        <s v="Tuğrul Babur"/>
        <s v="Mehmet Yılmaz Yücel"/>
        <s v="Abdurrahim Kırtaş"/>
        <s v="Ali Abaylı"/>
        <s v="Fatma Avcı"/>
        <s v="Ahmet Fırat"/>
        <s v="Muzaffer Çopur"/>
        <s v="Kenan Yılmaz"/>
        <s v="Suat Koçak"/>
        <s v="Sevda Tan"/>
        <s v="Fatih Şapcı"/>
        <s v="Zekeriya Daş"/>
        <s v="Murat Zenger"/>
        <s v="Gözde Zenger"/>
        <s v="MERVE BOZKIR"/>
        <s v="Zeliha Turgut"/>
        <s v="Ferdi Aydemir"/>
      </sharedItems>
    </cacheField>
    <cacheField name="Telefon" numFmtId="0">
      <sharedItems containsSemiMixedTypes="0" containsString="0" containsNumber="1" containsInteger="1">
        <n v="3.522473838E9"/>
        <n v="3.525045202E9"/>
        <n v="3.523395958E9"/>
        <n v="5.370444907E9"/>
        <n v="3.525037727E9"/>
        <n v="3.522311583E9"/>
        <n v="5.431064121E9"/>
        <n v="5.399793981E9"/>
        <n v="5.465063838E9"/>
        <n v="3.522350515E9"/>
        <n v="5.076881502E9"/>
        <n v="5.526300238E9"/>
        <n v="5.345604096E9"/>
        <n v="5.312730594E9"/>
        <n v="3.524378971E9"/>
        <n v="3.528883898E9"/>
        <n v="3.523201239E9"/>
        <n v="5.303839538E9"/>
        <n v="5.331429538E9"/>
        <n v="5.435740503E9"/>
        <n v="5.523557126E9"/>
        <n v="3.525043339E9"/>
        <n v="5.300329892E9"/>
        <n v="5.436649359E9"/>
        <n v="5.46694557E9"/>
        <n v="5.534434688E9"/>
        <n v="3.523380233E9"/>
        <n v="5.427253357E9"/>
        <n v="5.392978018E9"/>
        <n v="5.382683726E9"/>
        <n v="5.417382611E9"/>
        <n v="3.525013388E9"/>
        <n v="5.541120402E9"/>
        <n v="5.520655893E9"/>
        <n v="5.345200917E9"/>
        <n v="5.300651695E9"/>
        <n v="5.070934768E9"/>
        <n v="5.526383824E9"/>
        <n v="5.417138734E9"/>
        <n v="5.454249333E9"/>
        <n v="5.392215824E9"/>
        <n v="5.312840476E9"/>
        <n v="5.436176727E9"/>
        <n v="5.449090446E9"/>
        <n v="3.523550404E9"/>
        <n v="3.52437102E9"/>
        <n v="5.525342551E9"/>
        <n v="3.524374E9"/>
        <n v="5.454619844E9"/>
        <n v="3.523330222E9"/>
        <n v="3.52503304E9"/>
        <n v="3.52504309E9"/>
        <n v="5.417423195E9"/>
        <n v="8.502207022E9"/>
        <n v="5.466966569E9"/>
        <n v="5.073683307E9"/>
        <n v="3.525040144E9"/>
        <n v="3.522322034E9"/>
        <n v="3.522222736E9"/>
        <n v="3.526661238E9"/>
        <n v="3.523362538E9"/>
        <n v="5.32525914E9"/>
        <n v="3.522473033E9"/>
        <n v="3.522220414E9"/>
        <n v="3.523391313E9"/>
        <n v="3.52438035E9"/>
        <n v="3.522335931E9"/>
        <n v="3.525033404E9"/>
        <n v="3.525020306E9"/>
        <n v="5.51039605E9"/>
        <n v="5.495092224E9"/>
        <n v="5.418372177E9"/>
        <n v="5.418978731E9"/>
        <n v="5.372150556E9"/>
        <n v="5.45554196E9"/>
        <n v="3.523323221E9"/>
        <n v="3.52408863E9"/>
        <n v="5.345888618E9"/>
        <n v="3.522362727E9"/>
        <n v="3.522203827E9"/>
        <n v="3.529993872E9"/>
        <n v="3.528885355E9"/>
        <n v="3.525036099E9"/>
        <n v="3.525046718E9"/>
        <n v="3.5223344E9"/>
        <n v="3.523393904E9"/>
        <n v="5.457331993E9"/>
        <n v="5.316453973E9"/>
        <n v="5.433838887E9"/>
        <n v="5.41471638E9"/>
        <n v="3.524310061E9"/>
        <n v="5.550762538E9"/>
        <n v="5.06770227E9"/>
        <n v="5.355117812E9"/>
        <n v="5.383482466E9"/>
        <n v="3.523326837E9"/>
        <n v="8.503992727E9"/>
        <n v="5.525001007E9"/>
        <n v="5.050856626E9"/>
        <n v="5.354681338E9"/>
        <n v="3.522360121E9"/>
        <n v="3.52438222E9"/>
        <n v="3.522232601E9"/>
        <n v="5.5265243E9"/>
        <n v="5.412310534E9"/>
        <n v="5.528155238E9"/>
        <n v="5.304804817E9"/>
        <n v="3.524466767E9"/>
        <n v="3.524377744E9"/>
        <n v="3.525021252E9"/>
        <n v="5.413869E9"/>
        <n v="5.528954244E9"/>
        <n v="5.548739804E9"/>
        <n v="3.522242428E9"/>
        <n v="3.522200909E9"/>
        <n v="5.523862667E9"/>
        <n v="3.523331501E9"/>
        <n v="5.326778217E9"/>
        <n v="3.522230405E9"/>
        <n v="3.522206166E9"/>
        <n v="3.524370514E9"/>
        <n v="5.427990038E9"/>
        <n v="5.465961875E9"/>
        <n v="5.550556638E9"/>
        <n v="3.525036969E9"/>
        <n v="5.511954538E9"/>
        <n v="5.41520028E8"/>
        <n v="5.306240638E9"/>
        <n v="3.52232317E9"/>
        <n v="3.529993633E9"/>
        <n v="5.551721592E9"/>
        <n v="3.522221219E9"/>
        <n v="3.52232866E9"/>
        <n v="3.523395566E9"/>
        <n v="3.523265555E9"/>
        <n v="3.524370002E9"/>
        <n v="3.522352521E9"/>
        <n v="5.321713877E9"/>
        <n v="3.52738018E9"/>
        <n v="3.524382022E9"/>
        <n v="5.535423587E9"/>
        <n v="5.524404044E9"/>
        <n v="3.523371E9"/>
        <n v="3.522233838E9"/>
        <n v="5.323617738E9"/>
        <n v="3.522354242E9"/>
        <n v="3.522324426E9"/>
        <n v="5.530180244E9"/>
        <n v="3.522345668E9"/>
        <n v="3.52237001E9"/>
        <n v="3.524374047E9"/>
        <n v="3.522222298E9"/>
        <n v="3.523209555E9"/>
        <n v="3.523325138E9"/>
        <n v="5.063956745E9"/>
        <n v="3.523338282E9"/>
        <n v="3.525020949E9"/>
        <n v="3.52431305E9"/>
        <n v="3.525048887E9"/>
        <n v="3.52503807E9"/>
        <n v="3.52888201E9"/>
        <n v="3.525031908E9"/>
        <n v="5.417481713E9"/>
        <n v="3.522221971E9"/>
        <n v="5.358790838E9"/>
        <n v="5.307314246E9"/>
        <n v="5.309473345E9"/>
        <n v="3.5250323E9"/>
        <n v="3.524380123E9"/>
        <n v="5.318748668E9"/>
        <n v="3.522204848E9"/>
        <n v="3.52503E9"/>
        <n v="3.525131338E9"/>
        <n v="5.316830438E9"/>
        <n v="3.522324535E9"/>
        <n v="3.522212206E9"/>
        <n v="3.522333444E9"/>
        <n v="3.523202103E9"/>
        <n v="3.522224535E9"/>
        <n v="3.524376063E9"/>
        <n v="5.453498641E9"/>
        <n v="3.523383831E9"/>
        <n v="5.527003806E9"/>
        <n v="5.541147572E9"/>
        <n v="3.522227372E9"/>
        <n v="5.39785803E9"/>
        <n v="5.051469496E9"/>
        <n v="5.38511225E9"/>
        <n v="5.384353925E9"/>
        <n v="5.538156537E9"/>
        <n v="5.538156538E9"/>
        <n v="3.52502726E9"/>
        <n v="3.525046085E9"/>
        <n v="5.309223386E9"/>
        <n v="5.055315111E9"/>
        <n v="3.523384906E9"/>
        <n v="5.5220685E9"/>
        <n v="3.523270505E9"/>
        <n v="3.524380818E9"/>
        <n v="3.525048E9"/>
        <n v="3.522224726E9"/>
        <n v="5.324153716E9"/>
        <n v="3.52338383E9"/>
        <n v="5.323970961E9"/>
        <n v="3.522239041E9"/>
        <n v="3.523441915E9"/>
        <n v="3.522254246E9"/>
        <n v="5.51007477E9"/>
        <n v="3.525036722E9"/>
        <n v="5.528850938E9"/>
        <n v="3.5224813E9"/>
        <n v="5.525001308E9"/>
        <n v="5.365630093E9"/>
        <n v="3.522400374E9"/>
        <n v="5.32711598E9"/>
        <n v="5.302077898E9"/>
        <n v="3.522228848E9"/>
        <n v="3.525038081E9"/>
        <n v="5.535957876E9"/>
        <n v="3.522333338E9"/>
        <n v="3.525131333E9"/>
        <n v="5.541356933E9"/>
        <n v="5.312260995E9"/>
        <n v="5.52662101E9"/>
        <n v="5.462249443E9"/>
        <n v="5.426244399E9"/>
        <n v="5.522185725E9"/>
        <n v="5.528793898E9"/>
        <n v="5.528672438E9"/>
        <n v="5.394363923E9"/>
        <n v="8.503463846E9"/>
        <n v="3.522201507E9"/>
        <n v="5.495485111E9"/>
        <n v="3.525031737E9"/>
        <n v="5.333807802E9"/>
        <n v="5.553877078E9"/>
        <n v="3.524380747E9"/>
        <n v="3.524311818E9"/>
        <n v="3.524314249E9"/>
        <n v="3.523331002E9"/>
        <n v="3.524313333E9"/>
        <n v="3.52332212E9"/>
        <n v="3.523209428E9"/>
        <n v="5.432783838E9"/>
        <n v="5.466017778E9"/>
        <n v="5.411005838E9"/>
        <n v="5.5184333E9"/>
        <n v="5.321622262E9"/>
        <n v="5.412576294E9"/>
        <n v="3.522314019E9"/>
        <n v="3.524310505E9"/>
        <n v="5.52577697E9"/>
        <n v="5.013735338E9"/>
        <n v="5.368232993E9"/>
        <n v="3.522206868E9"/>
        <n v="3.5224E9"/>
        <n v="3.523399901E9"/>
        <n v="5.050121352E9"/>
        <n v="3.523440132E9"/>
        <n v="5.526043866E9"/>
        <n v="5.455929245E9"/>
        <n v="5.524500138E9"/>
        <n v="5.342437681E9"/>
        <n v="5.550640338E9"/>
        <n v="3.525047273E9"/>
        <n v="3.522350707E9"/>
        <n v="5.013331038E9"/>
        <n v="5.066082974E9"/>
        <n v="5.36352871E9"/>
        <n v="5.392228359E9"/>
        <n v="3.524374647E9"/>
        <n v="5.418573438E9"/>
        <n v="5.365137938E9"/>
        <n v="5.418563438E9"/>
        <n v="5.452811234E9"/>
        <n v="3.52333305E9"/>
        <n v="5.424328119E9"/>
        <n v="5.333843383E9"/>
        <n v="5.527997171E9"/>
        <n v="5.533629482E9"/>
        <n v="3.522312255E9"/>
        <n v="5.516443288E9"/>
        <n v="5.357024738E9"/>
        <n v="3.522204141E9"/>
        <n v="3.522233433E9"/>
        <n v="5.44640084E9"/>
        <n v="3.525040504E9"/>
        <n v="5.070143414E9"/>
        <n v="3.523441334E9"/>
        <n v="3.522310106E9"/>
        <n v="3.522220646E9"/>
        <n v="3.522244418E9"/>
        <n v="3.522220614E9"/>
        <n v="3.522229157E9"/>
        <n v="5.528421222E9"/>
        <n v="5.541874348E9"/>
        <n v="5.467385038E9"/>
        <n v="3.52339707E9"/>
        <n v="3.522229893E9"/>
        <n v="3.52240616E9"/>
        <n v="3.522481333E9"/>
        <n v="3.523511558E9"/>
        <n v="3.522321142E9"/>
        <n v="3.523399438E9"/>
        <n v="3.52502101E9"/>
        <n v="3.522402948E9"/>
        <n v="5.52681381E9"/>
        <n v="5.323276738E9"/>
        <n v="3.523367587E9"/>
        <n v="5.324601773E9"/>
        <n v="3.522213137E9"/>
        <n v="5.362666563E9"/>
        <n v="5.057643203E9"/>
        <n v="3.523362324E9"/>
        <n v="3.522474746E9"/>
        <n v="3.523334344E9"/>
        <n v="3.523322855E9"/>
        <n v="3.522220108E9"/>
        <n v="5.537061313E9"/>
        <n v="5.532365288E9"/>
        <n v="5.323913197E9"/>
        <n v="3.5222466E9"/>
        <n v="5.416974708E9"/>
        <n v="5.013665001E9"/>
        <n v="5.468828866E9"/>
        <n v="5.064313485E9"/>
        <n v="8.50218363E9"/>
        <n v="3.524441704E9"/>
        <n v="3.524376061E9"/>
        <n v="3.5243144E9"/>
        <n v="3.522321222E9"/>
        <n v="5.383447468E9"/>
        <n v="3.522222002E9"/>
        <n v="5.063295893E9"/>
        <n v="5.065985428E9"/>
        <n v="3.525022667E9"/>
        <n v="3.526210192E9"/>
        <n v="5.31457156E9"/>
        <n v="5.532481993E9"/>
        <n v="5.54456272E9"/>
        <n v="3.52503949E9"/>
        <n v="3.525049494E9"/>
        <n v="5.052930859E9"/>
        <n v="3.522315564E9"/>
        <n v="3.522312135E9"/>
        <n v="3.524313136E9"/>
        <n v="3.52241414E9"/>
        <n v="8.50840029E9"/>
        <n v="5.331583138E9"/>
        <n v="3.525035768E9"/>
        <n v="3.524383858E9"/>
        <n v="3.523388684E9"/>
        <n v="5.367764858E9"/>
        <n v="5.32563381E9"/>
        <n v="5.549470276E9"/>
        <n v="5.550688338E9"/>
        <n v="5.054725759E9"/>
        <n v="3.525030141E9"/>
        <n v="5.013201399E9"/>
        <n v="3.5222344E9"/>
        <n v="5.013280438E9"/>
        <n v="3.525039737E9"/>
        <n v="5.41352026E9"/>
        <n v="5.422553138E9"/>
        <n v="3.52338104E9"/>
        <n v="5.382853402E9"/>
        <n v="3.522226632E9"/>
        <n v="5.454363838E9"/>
        <n v="5.379353131E9"/>
        <n v="5.510798018E9"/>
        <n v="5.013687251E9"/>
        <n v="5.38951707E9"/>
        <n v="3.522233637E9"/>
        <n v="5.0134138E9"/>
        <n v="5.459360038E9"/>
        <n v="3.522200034E9"/>
        <n v="5.360612556E9"/>
        <n v="5.074086767E9"/>
        <n v="3.523390999E9"/>
        <n v="3.522454043E9"/>
        <n v="5.333437787E9"/>
        <n v="3.523318866E9"/>
        <n v="5.551855588E9"/>
        <n v="5.372469507E9"/>
        <n v="5.452494745E9"/>
        <n v="5.332940066E9"/>
        <n v="3.523388787E9"/>
        <n v="5.308296632E9"/>
        <n v="5.38376376E9"/>
        <n v="5.453503271E9"/>
        <n v="5.415538674E9"/>
        <n v="3.523373355E9"/>
        <n v="3.523384412E9"/>
        <n v="5.510677769E9"/>
        <n v="5.370629671E9"/>
        <n v="3.523325626E9"/>
        <n v="5.39217885E9"/>
        <n v="3.523391034E9"/>
        <n v="3.525033888E9"/>
        <n v="5.445446926E9"/>
        <n v="3.522355558E9"/>
        <n v="3.524373838E9"/>
        <n v="3.524310132E9"/>
        <n v="5.344626355E9"/>
        <n v="3.52503422E9"/>
        <n v="5.523525338E9"/>
        <n v="5.52721752E9"/>
        <n v="5.075646919E9"/>
        <n v="5.386273867E9"/>
        <n v="5.516395509E9"/>
        <n v="5.539025891E9"/>
        <n v="3.52437808E9"/>
        <n v="3.522309E9"/>
        <n v="3.522311418E9"/>
        <n v="5.05071383E9"/>
        <n v="3.525039503E9"/>
        <n v="3.525020259E9"/>
        <n v="5.061401513E9"/>
        <n v="3.523393339E9"/>
        <n v="3.522200021E9"/>
        <n v="3.522229316E9"/>
        <n v="3.522353435E9"/>
        <n v="5.369685344E9"/>
        <n v="5.530619319E9"/>
        <n v="3.522353597E9"/>
        <n v="3.524377979E9"/>
        <n v="3.522451501E9"/>
        <n v="5.32306238E9"/>
        <n v="3.522222266E9"/>
        <n v="3.524315555E9"/>
        <n v="3.525033334E9"/>
        <n v="3.522233434E9"/>
        <n v="3.522223443E9"/>
        <n v="5.330931196E9"/>
        <n v="3.525037473E9"/>
        <n v="3.5220202E9"/>
        <n v="3.522351565E9"/>
        <n v="3.523366575E9"/>
        <n v="3.524380333E9"/>
        <n v="5.558929456E9"/>
        <n v="3.525033886E9"/>
        <n v="5.413071083E9"/>
        <n v="5.446464165E9"/>
        <n v="5.412401825E9"/>
        <n v="5.397935044E9"/>
        <n v="3.524377125E9"/>
        <n v="3.522403849E9"/>
        <n v="3.523332023E9"/>
        <n v="3.529991039E9"/>
        <n v="3.522345007E9"/>
        <n v="3.522471199E9"/>
        <n v="5.53182943E9"/>
        <n v="3.522202538E9"/>
        <n v="3.529990924E9"/>
        <n v="3.522326066E9"/>
        <n v="5.524531138E9"/>
        <n v="5.526774138E9"/>
        <n v="3.525026E9"/>
        <n v="5.526139513E9"/>
        <n v="3.525013501E9"/>
        <n v="3.52233434E9"/>
        <n v="3.523263801E9"/>
        <n v="5.313722374E9"/>
        <n v="3.522280024E9"/>
        <n v="3.524371133E9"/>
        <n v="3.525038988E9"/>
        <n v="3.524314646E9"/>
        <n v="5.52595909E9"/>
        <n v="3.524376006E9"/>
        <n v="5.517152602E9"/>
        <n v="3.522511505E9"/>
        <n v="3.523383997E9"/>
        <n v="3.52330523E9"/>
        <n v="3.525033606E9"/>
        <n v="3.523360777E9"/>
        <n v="3.524313919E9"/>
        <n v="5.353385812E9"/>
        <n v="3.5250302E9"/>
        <n v="3.52666192E9"/>
        <n v="5.396403858E9"/>
        <n v="3.522227666E9"/>
        <n v="3.525022721E9"/>
        <n v="3.52431144E9"/>
        <n v="3.52231581E9"/>
        <n v="5.461308038E9"/>
        <n v="3.5243107E9"/>
        <n v="3.524313322E9"/>
        <n v="3.52222338E9"/>
        <n v="3.525020607E9"/>
        <n v="5.550121202E9"/>
        <n v="3.524383342E9"/>
        <n v="3.52333808E9"/>
        <n v="5.464053885E9"/>
        <n v="3.525043494E9"/>
        <n v="3.522335005E9"/>
        <n v="5.061669494E9"/>
        <n v="5.386183883E9"/>
        <n v="5.384357766E9"/>
        <n v="3.52437707E9"/>
        <n v="3.524376616E9"/>
        <n v="3.5250458E9"/>
        <n v="5.412577085E9"/>
        <n v="3.52502902E9"/>
        <n v="3.522208081E9"/>
        <n v="3.52235166E9"/>
        <n v="5.444823802E9"/>
        <n v="3.524372223E9"/>
        <n v="3.523335626E9"/>
        <n v="3.523269326E9"/>
        <n v="3.5222221E9"/>
        <n v="3.523261414E9"/>
        <n v="3.528881338E9"/>
        <n v="3.522325656E9"/>
        <n v="3.523311177E9"/>
        <n v="3.523366267E9"/>
        <n v="5.534083175E9"/>
        <n v="3.5243737E9"/>
        <n v="3.522355003E9"/>
        <n v="3.52234E9"/>
        <n v="5.529478818E9"/>
        <n v="5.411701979E9"/>
        <n v="3.522500999E9"/>
        <n v="5.357609391E9"/>
        <n v="5.057675508E9"/>
        <n v="3.523153E9"/>
        <n v="5.360340696E9"/>
        <n v="5.331366737E9"/>
        <n v="3.52502835E9"/>
        <n v="3.523333212E9"/>
        <n v="3.524080119E9"/>
        <n v="3.522312033E9"/>
        <n v="3.522302525E9"/>
        <n v="3.522211799E9"/>
        <n v="3.523387812E9"/>
        <n v="5.366032431E9"/>
        <n v="3.524383334E9"/>
        <n v="3.523201616E9"/>
        <n v="3.52320222E9"/>
        <n v="3.523322233E9"/>
        <n v="5.071635252E9"/>
        <n v="3.522352004E9"/>
        <n v="3.522334545E9"/>
        <n v="8.502274746E9"/>
        <n v="5.310822128E9"/>
        <n v="3.525130403E9"/>
        <n v="3.523374053E9"/>
      </sharedItems>
    </cacheField>
    <cacheField name="İLÇE" numFmtId="0">
      <sharedItems>
        <s v="Melikgazi"/>
        <s v="Talas"/>
        <s v="Kocasinan"/>
        <s v="Develi"/>
      </sharedItems>
    </cacheField>
    <cacheField name="MAHALLE">
      <sharedItems containsMixedTypes="1" containsNumber="1" containsInteger="1">
        <s v="Gesi Fatih"/>
        <s v="Mevlana"/>
        <s v="Yeşil"/>
        <s v="Serçeönü"/>
        <s v="Bahçelievler"/>
        <s v="Kılıçaslan"/>
        <s v="Köşk"/>
        <s v="Yeşilyurt"/>
        <s v="Yeniköy"/>
        <s v="Tablakaya"/>
        <s v="Hacı Saki"/>
        <s v="Plevne"/>
        <s v="Hoca Ahmet Yesevi"/>
        <s v="Dere"/>
        <s v="Osmangazi"/>
        <s v="Beyazşehir"/>
        <s v="Sümer"/>
        <s v="Yenidoğan"/>
        <s v="Esentepe"/>
        <s v="Fevzi Çakmak"/>
        <s v="Alpaslan"/>
        <s v="Keykubat"/>
        <s v="Ahi Evran"/>
        <s v="General Emir"/>
        <s v="Yavuz Selim"/>
        <s v="Cumhuriyet"/>
        <s v="Harman"/>
        <s v="Nurihas"/>
        <s v="Camikebir"/>
        <s v="Erkilet 100.yıl"/>
        <s v="Sanayi"/>
        <s v="Hunat"/>
        <s v="Çorakçılar"/>
        <s v="Hürriyet"/>
        <s v="Gevher Nesibe"/>
        <s v="Yunus Emre"/>
        <s v="Sakarya"/>
        <s v="Esenyurt"/>
        <s v="Kazımkarabekir"/>
        <s v="Kocatepe"/>
        <s v="İldem Cumhuriyet"/>
        <s v="Gültepe"/>
        <s v="Barbaros"/>
        <s v="Erkilet Mehmet Akif Ersoy"/>
        <s v="Turgut Reis"/>
        <s v="Mimarsinan"/>
        <s v="Altınoluk"/>
        <s v="Melikgazi"/>
        <s v="Yıldızevler"/>
        <s v="Sahabiye"/>
        <s v="İstasyon"/>
        <s v="Germir"/>
        <s v="Ziyagökalp"/>
        <s v="Şeker"/>
        <s v="Erciyesevler"/>
        <s v="Kiçiköy"/>
        <s v="Gülük"/>
        <s v="Tacettinveli"/>
        <s v="Yukarı"/>
        <s v="Kiçikapı"/>
        <s v="Şehit Nazımbey"/>
        <s v="Şirintepe"/>
        <s v="Anafartalar"/>
        <s v="Yakut"/>
        <s v="Battalgazi"/>
        <s v="Oymaağaç"/>
        <s v="Demokrasi"/>
        <s v="Mithatpaşa"/>
        <s v="Kocasinan"/>
        <s v="Kayabaşı"/>
        <s v="Fatih"/>
        <s v="Konaklar"/>
        <s v="Camiikebir"/>
        <s v="Tınaztepe"/>
        <s v="Yıldırım Beyazıt"/>
        <s v="Osman Kavuncu"/>
        <s v="Yeni"/>
        <s v="Alsancak"/>
        <s v="Oruçreis"/>
        <s v="Örnekevler"/>
        <s v="Cırgalan"/>
        <s v="Gaziosman Paşa"/>
        <s v="Uğurevler"/>
        <n v="44803.0"/>
        <s v="Yenişehir"/>
        <s v="Anbar 1. Bölge"/>
        <s v="Yenipervane"/>
        <s v="Cengiz Topel"/>
        <s v="Hisarcık İbrahim Tennuri"/>
        <s v="Şirinevler"/>
        <s v="Küçük Mustafa"/>
        <s v="Erciyes Üniversitesi - 15 Temmuz Yerleşkesi"/>
        <s v="Seyitgazi"/>
        <s v="Caferbey"/>
      </sharedItems>
    </cacheField>
    <cacheField name="ADRES" numFmtId="0">
      <sharedItems>
        <s v="İldem Fatih Mah. Günsazak Cad. No:65/109 Melikgazi/KAYSERİ"/>
        <s v="Mevlana Mah. Bilge Kağan Cad. No:40, 38280 Talas/Kayseri"/>
        <s v="Yeşil Mah. Erkilet Blv. No:182 Kocasinan/KAYSERİ"/>
        <s v="Mevlana Mah., Papatya Cad., No:44/C Talas/Kayseri"/>
        <s v="Mevlana, 6078. Sokak, 38250 Talas/Kayseri"/>
        <s v="Sahabiye Mah. Çankaya Cad. No:9/E Kocasinan/KAYSERİ"/>
        <s v="Bahçelievler Mah. Kocasinan 2. Cad. No:13/D Melikgazi/KAYSERİ"/>
        <s v="Gesi Fatih Mah. 2354. Sok. No:10/C Melikgazi/KAYSERİ"/>
        <s v="Gesi Fatih Mah. Uygar Sok. No:26/B Melikgazi/KAYSERİ"/>
        <s v="Kılıçaslan Mah. Sivas Blv. No:62/F Melikgazi/KAYSERİ"/>
        <s v="Köşk Mah. Çakır Sok. No:9/B Melikgazi/KAYSERİ"/>
        <s v="Yeşilyurt Mah.2776. Sok. A-Blok D25 Apt. No:47/B Melikgazi/KAYSERİ"/>
        <s v="Yeşilyurt Mah. 2776. Sok. No:47/B Melikgazi/KAYSERİ"/>
        <s v="Mevlana Mah. Halef Hoca Cad. No:70/D Talas/KAYSERİ"/>
        <s v="Yeniköy Mah. Bülbül Cad. No:8/A Melikgazi/KAYSERİ"/>
        <s v="Tablakaya mh talas kayseri"/>
        <s v="Mevlana Mah. Bademli Cad. No:2/A Talas/KAYSERİ"/>
        <s v="Hacı Saki Mah. Atatürk Blv. No:29/B Kocasinan/KAYSERİ"/>
        <s v="Mevlana Mah. Barış Manço Cad. No:8/B Kocasinan Kayseri"/>
        <s v="Kılıçaslan Mah. Şht. Ütğm. Mustafa Şimşek Blv. No:41/B Melikgazi/KAYSERİ"/>
        <s v="Mevlana, Fildişi Sk. No: 30/ A, 38280 Talas/Kayseri"/>
        <s v="Gesi Fatih Mah. 2351. Sok. No:5/A Melikgazi/KAYSERİ"/>
        <s v="Hoca Ahmet Yesevi Mah. Kaman 1. Sok. No:11/A Kocasinan/KAYSERİ"/>
        <s v="Ertuğrul Gazi Mah. Pusula Cad. No:8/C Kocasinan/KAYSERİ"/>
        <s v="Osmangazi Mah. 54. Sok. No:29/B Kocasinan/KAYSERİ"/>
        <s v="Yeşilyurt Mah. 2357. Cad. B Blok(D17) No:37/C Melikgazi/KAYSERİ"/>
        <s v="Beyazşehir Mah. 825. Sok. No:22/E Kocasinan/KAYSERİ"/>
        <s v="Sümer Mah. 11.Cad. No:4/B Kocasinan/KAYSERİ"/>
        <s v="Gesi Fatih Mah. İhlas Sok. No:16/B Melikgazi/KAYSERİ"/>
        <s v="Bahçelievler Mah. Kocasinan 2. Cad. No:8/F Melikgazi/KAYSERİ"/>
        <s v="Mevlana Mah. Taslak Sok. No:2/B Talas/KAYSERİ"/>
        <s v="Yenidoğan Mah. Çimenli Cad. No:35/C Talas/KAYSERİ"/>
        <s v="Köşk Mah. Kışla Cad. No:52 Sosyete Pazarı Melikgazi/KAYSERİ"/>
        <s v="Esentepe Mah. 981. Sok. No:3/B Melikgazi/KAYSERİ"/>
        <s v="Sivas bulvarı, defne apt., A Blok No:63 B"/>
        <s v="Mimar Sinan Mah., Sivas Bulvarı, No:165/A"/>
        <s v="Keykubat Mah. Anafartalar Cad. No:137/E Melikgazi/KAYSERİ"/>
        <s v="Mevlana mh. Halef Hoca cad. No: 72/E"/>
        <s v="Mevlana Mah Mehmet Timuçin CD PRS 553/1, NO 22/H/7 Tevfik Ziya Ap. Talas/Kayseri"/>
        <s v="Ahi Evran Mah. 410. Sok. No:19/B Kocasinan/KAYSERİ"/>
        <s v="Erkilet General Emir Mah. No:2/D Kocasinan/KAYSERİ"/>
        <s v="Yavuzselim Mah. 727.Sok. No:14/F Kocasinan/KAYSERİ"/>
        <s v="Cumhuriyet Mah. Ulu Camii Cad. No:1/D Melikgazi/KAYSERİ"/>
        <s v="Gesi Fatih Mah. Saffet Arıkan Bedük Cad. No:61/C Melikgazi/KAYSERİ"/>
        <s v="Yeniköy Mah. Zeren Cad. No:26/B Melikgazi/KAYSERİ"/>
        <s v="Harman Mah. Tepebağlar Cad. No:1/F Talas/KAYSERİ"/>
        <s v="Mevlana Mah. Turgut Özal Cad. No:43/F Talas/KAYSERİ"/>
        <s v="Yenidoğan Mah. Timuçin Cad. No:5/B Talas/KAYSERİ"/>
        <s v="Esenyurt Mah. Yavuz Cad. No:15/A Melikgazi/Kayseri"/>
        <s v="Camikebir mah. Zihniye Baykan Cad. No:5/C Kocasinan/KAYSERİ"/>
        <s v="Mevlana Mah. 15 Temmuz Cad. No:6/A Talas/KAYSERİ"/>
        <s v="Yenidoğan Mah. Atatürk Blv. No:15/C Talas/KAYSERİ"/>
        <s v="Ertuğrul Gazi Mah. 4341. Sok. No:19/C Kocasinan/KAYSERİ"/>
        <s v="Yenidoğan Mah. Atatürk Blv. No:9/D Talas/KAYSERİ"/>
        <s v="Mevlana Mah. Elçibey Cad. No: 18 B"/>
        <s v="Tablakaya Mah. 6181 Sok. No:18/A Talas/KAYSERİ"/>
        <s v="Mevlana Mah. Velioğlu Cad. Kaya 1 Sok. No:3/F TALAS/KAYSERİ"/>
        <s v="Sanayi Mah. 6011. Cad. No:7 Kocasinan/KAYSERİ"/>
        <s v="Hunat Mah. Zenneci Sok. No:27/A Melikgazi/KAYSERİ"/>
        <s v="İldem Cumhuriyet Mah. Saffet Arıkan Bedük Cad. No:42/B Melikgazi/KAYSERİ"/>
        <s v="Kemeraltı Mah. Sokullu Cad. İpek Apt. No:63/C Melikgazi/KAYSERİ"/>
        <s v="Aydınlıkevler Mah. Cengiz Topel Cad. No:40 Melikgazi/KAYSERİ"/>
        <s v="Gesi Fatih Mah. Gün Sazak Cad. No:47/A Melikgazi/KAYSERİ"/>
        <s v="Gevher Nesibe Mah. Gür Sok. No:9/A Kocasinan/KAYSERİ"/>
        <s v="Hoca Ahmet Yesevi Mah. Mustafa Kemal Paşa Blv. No:300/A Kocasinan/KAYSERİ"/>
        <s v="Mevlana Mah. Halef Hoca Cad. No:61/A Talas/KAYSERİ"/>
        <s v="Kılıçaslan Mah. Sivas Blv. No.86D Çınar Apt. Altı, 38030 Melikgazi/Kayseri"/>
        <s v="Yunus Emre Mah. Bağdat Cad. No:71/C Kocasinan/KAYSERİ"/>
        <s v="Keykubat Mah. Şht. Büyükelçi İsmail Erez Blv. No:20/C Melikgazi/KAYSERİ"/>
        <s v="Yenidoğan Mah. Deliçay 1. Sok. No:10/B Talas/KAYSERİ"/>
        <s v="Mevlana Mah. Papatya Cad. Np:41/C Talas/KAYSERİ"/>
        <s v="Beyazşehir Mah. 825. Sok. No:22 Kocasinan/KAYSERİ"/>
        <s v="Kayseri Kocasinan Mevlana mah. Barış Manço cad. Plevne sok. 16/b"/>
        <s v="Fevzi Çakmak Mah. Sivas Blv. No:89/B Kocasinan/KAYSERİ"/>
        <s v="Kazımkarabekir Mah. Balveren Sok. No:30/A Melikgazi/KAYSERİ"/>
        <s v="Keykubat Mah. İsmail Erez Blv. No:16/A Melikgazi/KAYSERİ"/>
        <s v="Sivas Blv. No:46 A Kılıçaslan Mah. Melikgazi/Kayseri"/>
        <s v="Kocatepe Mah., 3025 Sok., No:37/A, Melikgazi, Kayseri"/>
        <s v="Mevlana Mah., Papatya Cad., No:41, Talas, Kayseri, Türkiye,"/>
        <s v="Yenidoğan Mah. Timuçin Cad. No:23/B Talas/KAYSERİ"/>
        <s v="Sahabiye Mah. Ahmet Paşa Cad. 14/B Çiçek İş Merkezi Altı, 38100 Kocasinan/Kayseri"/>
        <s v="Mevlana, Yavuz Sultan Selim Cd. No:18 D:E, 38280 Talas/Kayseri"/>
        <s v="Mevlana Mah. Halef Hoca Cad. No:70 Talas/KAYSERİ"/>
        <s v="İldem Cumhuriyet Mah. Serdar 1. Sok. No:2/B Melikgazi/KAYSERİ"/>
        <s v="istanbul adalar"/>
        <s v="Gültepe Mah. Mustafa Şimşek Bulv. Zafer Apt. Altı, 38030 Melikgazi/Kayseri"/>
        <s v="Barbaros Mah. Hakimiyet Cad. No:55/D Kocasinan/Kayseri"/>
        <s v="Ertuğrul Gazi Mah. 4341. Sok. No:19/B Kocasinan/KAYSERİ"/>
        <s v="Yenidoğan Mah. Bilge Kağan Cad. Çiğdem Apt. No:5/A Talas/KAYSERİ"/>
        <s v="Mevlana Mah. Batuhan Sok. No:17/B Talas/KAYSERİ"/>
        <s v="Mevlana Mah. Fildişi Sok. No:30/C Talas/KAYSERİ"/>
        <s v="Mevlana, Mehmet Timuçin Cd. no:26\1, 38280 Talas/Kayseri"/>
        <s v="Mevlana Mah. Cemil Baba Cad. No: 22 G Talas/Kayseri"/>
        <s v="Turgut Reis Mah. Bağdat Cad. No:234/B Kocasinan/KAYSERİ"/>
        <s v="Mevlana Mah. Barış Manço Cad. No:70/C Kocasinan/ KAYSERİ"/>
        <s v="Mimarsinan Mah. Fuzuli Cad. No:60/A Kocasinan/KAYSERİ"/>
        <s v="Alpaslan, Kızılırmak Cd. 80/A, 38030 Melikgazi/Kayseri"/>
        <s v="Kılıçaslan Mah., Sivas Cad., No:50/D, Melikgazi, Kayseri"/>
        <s v="Mevlana Mah., Barış Manço Cad., No: 80, Kocasinan, Kayseri"/>
        <s v="Mevlana Mah. Mehmet Akif Ersoy Cad. No:28/C Talas/KAYSERİ"/>
        <s v="Mevlana Mah. 6078. Sok. No:12/D Talas/KAYSERİ"/>
        <s v="Gültepe Mah. Şehit Üstegmen Mustafa Şimşek Blv. No:6 Melikgazi/KAYSERİ"/>
        <s v="Yenidoğan Mah. Oğulcuklu 1. Sok. No:24/A Talas/KAYSERİ"/>
        <s v="Sahabiye Mah., Oğuz Cad., No:3, Kocasinan, Kayseri, Türkiye,"/>
        <s v="Mimarsinanbahçelievler Mah. Şht. Raşit Kılıç Sok. No:16/A Melikgazi/KAYSERİ"/>
        <s v="Serçeönü, Çankaya Cd. no: 17/d, 38010 Kocasinan/Kayseri"/>
        <s v="Hoca Ahmet Yesevi Mah. Bekir Yıldız Blv. No:130/C Kocasinan/KAYSERİ"/>
        <s v="Altınoluk Mah., Veysel Cad., No:14/D,Melikgazi, Kayseri"/>
        <s v="Gesi Fatih Mah. Gün Sazak Cad. No:65/103 Melikgazi/KAYSERİ"/>
        <s v="Yenidoğan Mah., Kayabağlar Cad., No:44/B Talas/Kayseri"/>
        <s v="Alpaslan Mah. Aşık Veysel Blv. No:22/Z07 Melikgazi/KAYSERİ"/>
        <s v="Gevher Nesibe Mah. Mehmet Akif Cad. No:8/C Kocasinan/KAYSERİ"/>
        <s v="Yeşil Mah. Erkilet Blv. No:242/A Kocasinan/KAYSERİ"/>
        <s v="Bahçelievler Mah. Atatürk Blv. No:48/B Talas/KAYSERİ"/>
        <s v="Germir Mah. Sivas Blv. Restorant No:242/C Melikgazi/KAYSERİ"/>
        <s v="Sahabiye Mah. Türkay Sok. No:4 Kocasinan/KAYSERİ"/>
        <s v="Bahçelievler Mah. Uğur Sok. No:3/B Talas/KAYSERİ"/>
        <s v="Kılıçaslan Mah. Şht. Ütğm. Mustafa Şimşek Blv. Beylerbeyi Apt. No:37/B Melikgazi/KAYSERİ"/>
        <s v="Kılıçaslan Mah., Mustafa Şimşek Blv., No:37/B, Melikgazi, Kayseri"/>
        <s v="Kiçiköy Mah. Halef Hoca Cad. No:9/J Talas/KAYSERİ"/>
        <s v="Barbaros Mah. Kaldırım Cad.No:17/A Kocasinan/KAYSERİ"/>
        <s v="Hunat Mah. Kalpaklıoğlu Cad. No:11/A Melikgazi/KAYSERİ"/>
        <s v="Bahçelievler Mah. Kardeşler Sok. No:4/B TALAS/KAYSERİ"/>
        <s v="Gevher Nesibe Mah. İstasyon Cad. No:65/B Kocasinan/KAYSERİ"/>
        <s v="Germir Mah. 1772. Sok. No:5 Melikgazi/KAYSERİ"/>
        <s v="Keykubat Mah., Osman Kavuncu Blv., Nejla Apt., No:295/C, Melikgazi, Kayseri"/>
        <s v="Mevlana Mah. 15 Temmuz Cad. No:12/C Talas/KAYSERİ"/>
        <s v="Sahabiye Mah. Mete Cad. No:7/5 Kocasinan/KAYSERİ"/>
        <s v="Ziya Gökalp Mah., Meral Sok., No:9/A, Kocasinan, Kayseri"/>
        <s v="Mevlana Mah. Elçibey Cad. No:41/B Talas/KAYSERİ"/>
        <s v="Hürriyet Mah. Cengiz Topel Cad. No:105/G Melikgazi/KAYSERİ"/>
        <s v="Gesi Fatih Mah. Gün Sazak Cad. No:32/A Melikgazi/KAYSERİ"/>
        <s v="Mevlana Mah. Anayurt Cad. No:10/A Talas/KAYSERİ"/>
        <s v="Hunat Mah., Uçak Sok., No:21/A, Melikgazi, Kayseri"/>
        <s v="Gevher Nesibe Mah., İstasyon Cad., Fazlıoğlu İş Merkezi, No:8/E, Kocasinan, Kayseri"/>
        <s v="Mevlana Mah., Barış Manço Cad., Kazım Yedekçioğlu Sok, No: 2/A, Kocasinan, Kayseri"/>
        <s v="Şeker Mah., Muhsin Yazıcıoğlu Blv., No:70/A, Kocasinan, Kayseri, Türkiye"/>
        <s v="Yenidoğan Mah., Atatürk Blv., No:23/B, Talas, Kayseri"/>
        <s v="Erciyesevler Mah., Tuna Cad., No:12/A, Kocasinan, Kayseri"/>
        <s v="Sahabiye Mah. Mete Cad. No:14/C Kocasinan/KAYSERİ"/>
        <s v="Sivas Bulvarı, No:201/A, Kocasinan"/>
        <s v="Kiçiköy Mah. Atatürk Blv. No:73/F Talas/KAYSERİ"/>
        <s v="Melikgazi Mah. Sivas Blv. İpek Saray No:182/204 Melikgazi/KAYSERİ"/>
        <s v="Alpaslan Mah. Kızılırmak Cad. No:85/B Melikgazi/KAYSERİ"/>
        <s v="Mevlana Mah. Barış Manço Cad. No:10/A Kocasinan/ KAYSERİ"/>
        <s v="Sahabiye, Saray Cd. No:6/A, 38015 Kocasinan/Kayseri"/>
        <s v="Mevlana Mah. 15 Temmuz Cad. No:17 Talas/KAYSERİ"/>
        <s v="Kızılırmak Cd., 110- 114, 38030, Melikgazi"/>
        <s v="Cumhuriyet Mah. Millet Cad. No:11 Melikgazi/KAYSERİ"/>
        <s v="Bahçelievler Mah. 2170. Sok. No:50/B Melikgazi/KAYSERİ"/>
        <s v="Alpaslan Mah. Kızılırmak Cad. Vakıf Yenipark Apt. No:118/B Melikgazi/KAYSERİ"/>
        <s v="Köşk Mah. Mustafa Şimşek Cad. Hisar Apt. No:56/E Melikgazi/KAYSERİ"/>
        <s v="Bahçelievler Mah. Mevlana Cad. Atalay Apt. No:35/A Talas/KAYSERİ"/>
        <s v="Cumhuriyet Mah. Tennuri Sok. No:25/B Melikgazi/KAYSERİ"/>
        <s v="Gülük Mah. Yiğit Sok. No:6/C Melikgazi/KAYSERİ"/>
        <s v="Keykubat Mah. Şehit İsmail Erez Blv. No:16/B Melikgazi/KAYSERİ"/>
        <s v="Tacettinveli Mah. Seyyid Burhaneddin Blv. No:16/A Melikgazi/KAYSERİ"/>
        <s v="Aşık Veysel Blv. No:22, 38030"/>
        <s v="Mevlana Mah. Halef Hoca Cad. No:42/A Talas/KAYSERİ"/>
        <s v="Mevlana, Akbülbül Cd., No:2 D:C, 38280 Talas"/>
        <s v="Bahçelievler Mah. Bahçelievler Cad. No:39/B Talas/ KAYSERİ"/>
        <s v="Sakarya Mah. Doğanyurt Cad. No:10/A Melikgazi/KAYSERİ"/>
        <s v="Bahçelievler Mah. Rüzgarlı Cad. No:5/A Talas/Kayseri"/>
        <s v="Gesi Fatih Mah. Hanedan Sok. No:11/C Melikgazi/KAYSERİ"/>
        <s v="Hunat Mah. Nuh Naci Yazgan Cad. No:33/A Melikgazi/KAYSERİ"/>
        <s v="Mevlana Mh. Mehmet Timuçin Cd. No:7/A/1"/>
        <s v="Mevlana Mah., 15 Temmuz Caddesi, Ermiş Sok., Güneş Apt., No:6/A Talas"/>
        <s v="Kiçiköy, Halef Hoca Cd. No:9 D:H, 38280 Talas/Kayseri"/>
        <s v="Mevlana Mah. Papatya Cad. No:40/A Talas/KAYSERİ"/>
        <s v="Yenidoğan Mah. Atatürk Blv. No:15/A Talas/KAYSERİ"/>
        <s v="Mevlana Mah., Halef Hoca Cad., 6076.Sok., B Blok, No:3/1, Talas, Kayseri"/>
        <s v="Mevlana Mah. Yavuz Sultan Selim Cad. No:16/B Talas/KAYSERİ"/>
        <s v="Tacettin Veli Mah. Seyyid Burhaneddin Blv. No:48/C Melikgazi/KAYSERİ"/>
        <s v="Gültepe Mah. Orgeneral Hulusi Akar Blv. No:20/B Melikgazi/KAYSERİ"/>
        <s v="Yenidoğan Mah., Atatürk Blv., No:21/C, Talas, Kayseri"/>
        <s v="Alpaslan Mah. Org. Eşref Bitlis Blv. No:5/A Melikgazi/KAYSERİ"/>
        <s v="Sahabiye Mah. Sivas Blv. No:21/E Kocasinan/KAYSERİ"/>
        <s v="Sahabiye Mah. İstasyon Cad. No:6/A Kocasinan/KAYSERİ"/>
        <s v="Alpaslan Mah. Eşref Bitlis Blv. No:5/B Melikgazi/KAYSERİ"/>
        <s v="Gülük Mah. Yiğit Sok. No:2/A Melikgazi/KAYSERİ"/>
        <s v="Hunat Mah. Sivas Cad. No:12/C Melikgazi/KAYSERİ"/>
        <s v="Bahçelievler Mah. Atatürk Blv. No:14 Talas/KAYSERİ"/>
        <s v="Bahçelievler Mah. Tepebağlar Cad. No:14/B Talas/KAYSERİ"/>
        <s v="Ertuğrul Gazi Mah. 4340. Sok. No:9/A Kocasinan/KAYSERİ"/>
        <s v="Altınoluk Mah., Veysel Cad., No:8/D,Melikgazi, Kayseri"/>
        <s v="Eski Hama İlerisi, Gültepe Mah. Mustafa Şimşek Bulv. Zafer Apt. Altı, 38030 Melikgazi/Kayseri"/>
        <s v="Gesi Fatih Mah., Hanedan Sok, No:24/C, Melikgazi, Kayseri"/>
        <s v="Çorakçılar Mah. Cengiz Topel Cad. No:33/B Melikgazi/KAYSERİ"/>
        <s v="Esentepe Mah., Ahmet Gazi Ayhan Blv., No:119/B, Melikgazi, Kayseri"/>
        <s v="Bahçelievler, Hacı Cemil 1. Sk. 25/A, 38280 Talas/Kayseri"/>
        <s v="Bahçelievler Mah, Kocasinan İkinci Cad., No:61/A, Melikgazi, Kayseri"/>
        <s v="Cumhuriyet Mah. İnönü Blv. No:27/E Melikgazi/KAYSERİ"/>
        <s v="Cumhuriyet Mah. İnönü Blv. No:65 Melikgazi/KAYSERİ"/>
        <s v="Bahçelievler Mah. Atatürk Blv. No:22/B Talas/KAYSERİ"/>
        <s v="Yenidoğan Mah. Timuçin Cad. No:23/A Talas/KAYSERİ"/>
        <s v="Mevlana Mh. Bilge Kağan Cd. B giriş No: 30/E"/>
        <s v="Mevlana Mah. Cemil Baba Cad. No:34/C Talas/KAYSERİ"/>
        <s v="Alsancak mah. Osmangazi cad. 91 Kocasinan/KAYSERİ"/>
        <s v="Mevlana Mah. Çalışkan Sok. N0:5/1 Kocasinan/KAYSERİ"/>
        <s v="Şirintepe Mah., Malazgirt Blv., No:26, Melikgazi, Kayseri"/>
        <s v="Anafartalar Mah. Postane Sok. No:4/F Melikgazi/KAYSERİ"/>
        <s v="Kiçiköy Mah. Atatürk Blv. No:93/B Talas/KAYSERİ"/>
        <s v="Mevlana Mah. Papatya Cad. No:21/A Talas/KAYSERİ"/>
        <s v="Gevhernesibe Mah. İstasyon Cad. No:19/B Kocasinan/KAYSERİ"/>
        <s v="Fevzi Çakmak Mah. Fevzi Çakmak Cad. No:1/B Kocasinan/KAYSERİ"/>
        <s v="Yakut Mah. 3845. Cad. No: 16/A Kocasinan/KAYSERİ"/>
        <s v="Yenidoğan Mah. Mehmet Akif Ersoy Cad. No:19/B Talas/KAYSERİ"/>
        <s v="Fevzi Çakmak Mah. Bozantı Cad. No:96/A Kocasinan/KAYSERİ"/>
        <s v="Erkilet Dere Mah. 4340.Sok. Rüveyda Konağı No:17/B Kocasinan/KAYSERİ"/>
        <s v="Esenyurt mah.Kartal Blv.33-D Melikgazi/KAYSERİ"/>
        <s v="Mevlana Mah. Turgut Özal Cad. No:8/A Talas/KAYSERİ"/>
        <s v="Oymaağaç Mah., 5062.Cad., 2.Blok, No:71/A, Kocasinan, Kayseri"/>
        <s v="İldem Cumhuriyet Mah. Gün Sazak Cad. No:98/A Melikgazi/KAYSERİ"/>
        <s v="Mimarsinan Demokrasi Mah. Adnan Menderes 1. Cad. No:7/2 Melikgazi/KAYSERİ"/>
        <s v="Ahi Evran Mah. 410. Sok. No:19 Kocasinan/KAYSERİ"/>
        <s v="Köşk Mah. Mustafa Şimşek Cad. Hisar Apt. No:56/D Melikgazi/KAYSERİ"/>
        <s v="Erciyesevler Mah. Tuna Cad. No:30/A Kocasinan/KAYSERİ"/>
        <s v="Yeşilyurt Mah. 2357.Cad. No:61/G Melikgazi/KAYSERİ"/>
        <s v="Köşk Mah. Köşk Cad. No:65/B Melikgazi/KAYSERİ"/>
        <s v="Yenidoğan Mah. Kayabağlar Cad. Hüner Sok. No:10/A Talas/KAYSERİ"/>
        <s v="Yeniköy mah.Seher blv. no:6 Melikgazi/KAYSERİ"/>
        <s v="Mevlana Mah. Zafer Bayburtluoğlu Cad. No:4/D Talas/KAYSERİ"/>
        <s v="Mevlana Mah. Metehan Sok. No:40/B Talas/KAYSERİ"/>
        <s v="Mimarsinan MAh., Sivas Blv., Ümit Apt., No:163/A, Melikgazi, Kayseri"/>
        <s v="Yenidoğan Mah., Atatürk Blv., No:15, Talas, Kayseri"/>
        <s v="Mevlana Mah., Gözde Sok., No:33/A, Talas/Kayseri"/>
        <s v="Sahabiye Mah., Otak Sok., No:10/A, Kocasinan, Kayseri"/>
        <s v="Yenidoğan, Bilge Kağan Cd, 38280 Talas/Kayseri"/>
        <s v="Bahçelievler Mah. Dedeoğlu 1. Sok. No:8/A Talas/KAYSERİ"/>
        <s v="Harman Mah., Tepebağlar Cad., No:1/E, Talas, Kayseri"/>
        <s v="Kazımkarabekir Mah. Toros Cad. No:36 Melikgazi/KAYSERİ"/>
        <s v="Mithat Paşa Mah. Erkilet Blv. No:181/B Kocasinan/KAYSERİ"/>
        <s v="Yenidoğan Mah. 3199.Sok. No:7 Kocasinan/KAYSERİ"/>
        <s v="Mevlana Mah. Şht. Fatih Duman Sok. No:18/B Talas/KAYSERİ"/>
        <s v="Turgut Reis Mah., Turgut Reis Cad., C2 Blok, No:13/C, Kocasinan, KAYSERİ"/>
        <s v="Fevzi Çakmak Mah. Sivas Blv. No:73/A Kocasinan/KAYSERİ"/>
        <s v="Yenidoğan Mah. Atatürk Blv. C Giriş No:11/A Talas/KAYSERİ"/>
        <s v="Mevlana Mah. Papatya Cad. No:43/C Talas/KAYSERİ"/>
        <s v="Mevlana Mah. Taslak Sok. No:26/D Talas/KAYSERİ"/>
        <s v="Mevlana Mah.15 Temmuz Cad No:18/C"/>
        <s v="Mevlana Mah. Yavuz Sultan Selim Cad. No:7/A Talas/KAYSERİ"/>
        <s v="Mevlana Mah. Halef Hoca Cad. No:69/A Talas/KAYSERİ"/>
        <s v="Mevlana Mah. Mehmet Timuçin Cad. No:26/B Talas/Kayseri"/>
        <s v="Kılıçaslan Mah. ŞHT.ÜTĞM. Mustafa Şimşek Blv. Candoğan Apt. No: 27 A MElikgazi/Kayseri"/>
        <s v="Mevlana Mah. Cemil Baba Cad. No:15/D Talas/KAYSERİ"/>
        <s v="Keykubat Mah. Yurt Cad. No:102/B Melikgazi/KAYSERİ"/>
        <s v="Gülük Mah., İnönü Bulv., No:22/D, Melikgazi, Kayseri"/>
        <s v="Sahabiye Mah. Sivas Blv. No:37/A Kocasinan/KAYSERİ"/>
        <s v="Melikgazi Mah. Org. Eşref Bitlis Blv. No:1/A Melikgazi/KAYSERİ"/>
        <s v="Mevlana Mah., Karasu Cad., No:54/C Talas / Kayseri"/>
        <s v="Kılıçaslan Mah., Şht. Ütğm. Mustafa Şimşek Blv., No:51, Melikgazi, Kayseri, Türkiye"/>
        <s v="Bahçelievler, Mevlana Cd. No:13 D:E, 38280 Talas/Kayseri"/>
        <s v="Sahabiye Mah. İstasyon Cad. Ak İş Merkezi No:14/A Kocasinan/KAYSERİ"/>
        <s v="Mevlana Mah. Cemil Baba Cad. No:40/A Talas/KAYSERİ"/>
        <s v="Camikebir Mah., Cumhuriyet Cad., No:30, Melikgazi, Kayseri"/>
        <s v="İldem Cumhuriyet Mah., Tekin Sok., No:146, Melikgazi, Kayseri"/>
        <s v="Gesi Cumhuriyet Mah. Gün Sazak Cad. No:70 Melikgazi/KAYSERİ"/>
        <s v="Kocasinan Mah. Marifet Cad. No:5/A Kocasinan/KAYSERİ"/>
        <s v="Argıncık Mah. Kocasinan Blv. No:359/B Kocasinan/KAYSERİ"/>
        <s v="Barbaros Mah. Külden Sok. No:5/A Kocasinan/KAYSERİ"/>
        <s v="Erciyesevler Mah. Tuna Cad. No:30/D Kocasinan/KAYSERİ"/>
        <s v="Erkilet Osmangazi Mah. Erkilet Blv. No:556/B Kocasinan/KAYSERİ"/>
        <s v="MİTHATPAŞA MAH ÖĞÜN CAD.İŞLER APT.23/B KOCASİNAN/KAYSERİ"/>
        <s v="Sahabiye Mah. Seher Sok. No:12/1A KOCASİNAN/KAYSERİ"/>
        <s v="Altınoluk Mah. Seher Blv. No:35/A Melikgazi/KAYSERİ"/>
        <s v="Bahçelievler Mah. Kocasinan 2. Cad. No:25/B Melikgazi/KAYSERİ"/>
        <s v="Esenyurt Mah. Erciyes Blv. No:146/A Melikgazi/KAYSERİ"/>
        <s v="Konaklar Mah. Konaklar Cad. No:120/B Melikgazi/KAYSERİ"/>
        <s v="Kılıçaslan Mah. Sivas Blv. No:50/E Melikgazi/KAYSERİ"/>
        <s v="Köşk Mah. Sırdar Geçidi Sok. No:2/D Melikgazi/KAYSERİ"/>
        <s v="Şirintepe Mah. Şht. Suat Hayri Dal Cad. No:5 Melikgazi/KAYSERİ"/>
        <s v="Tacettinveli Mah. Tacettin Veli Blv. No:5A Melikgazi/KAYSERİ"/>
        <s v="Yeşilyurt Mah. Şht. J. Onb. Hakan Türk Cad. No:101/C Melikgazi/KAYSERİ"/>
        <s v="Bahçelievler Mah., Atatürk Blv., No:16/D, Talas, Kayseri"/>
        <s v="Kiçiköy Mah. Kayabağlar 2. Sok. No:1/A Talas/KAYSERİ"/>
        <s v="Mevlana Mah. Yavuz Sultan Selim Cad. No:18/D Talas/KAYSERİ"/>
        <s v="Mevlana, mercan konağı, Turgut Özal Cd. 8/E, 38280 Talas/Kayseri"/>
        <s v="Cumhuriyet Mah., Serdar Cad., No:30/B, Melikgazi, Kayseri"/>
        <s v="Alpaslan Mah., Aşık Veysel Cad., Mix AVM Yaşam Merkezi, K:1, No:22/205, Melikgazi/Kayseri"/>
        <s v="Yeni Mah. Mustafa Kemal Paşa Blv. No:143/E Kocasinan/KAYSERİ"/>
        <s v="Cumhuriyet Mah., Serdar Cad., No:10, Melikgazi, Kayseri"/>
        <s v="Şehit Suat Hayridal Cad. Şirintepe Mah. No:10/A Melikgazi/KAYSERİ"/>
        <s v="Ertuğrul Gazi Mah. Pusula Cad. No:4/B Kocasinan/KAYSERİ"/>
        <s v="Sahabiye Mah. Ahmet Paşa Cad. No:25/A Kocasinan/KAYSERİ"/>
        <s v="Yenidoğan Mah. Boraevler Sok. No:19/D Talas/KAYSERİ"/>
        <s v="Mevlana Mah. Cemil Baba Cad. No:22/H Talas/KAYSERİ"/>
        <s v="mevlana mah. elçibey cad no:38Atalas/ kayseri"/>
        <s v="Erciyesevler Mah. Enginar Cad. No:7 Kocasinan/KAYSERİ"/>
        <s v="Tınaztepe Mah. Dereboyu Sok. No:1 Melikgazi/KAYSERİ"/>
        <s v="Mevlana Mah. 15 Temmuz Cad. No:12/D Talas/KAYSERİ"/>
        <s v="Bahçelievler Mah. 3187. Sok. No:1/A Melikgazi/KAYSERİ"/>
        <s v="Osmangazi Mah., Ahmet Arısoy Cad., No:41/A, Kocasinan, Kayseri"/>
        <s v="Gevhernesibe Mah. Kurşunlu Sok. 13/A Kocasinan, Kayseri"/>
        <s v="Gevhernesibe Mah., İstasyon Cad., incetan İş Merkezi, No:31/E, Kocasinan, Kayseri"/>
        <s v="Yıldırım Beyazıt Mah. Sivas Blv. No:183 Melikgazi/KAYSERİ"/>
        <s v="Gesi Fatih Mah. Gün Sazak Cad. No:32/C Melikgazi/KAYSERİ"/>
        <s v="Tacettin Veli Mah. Seyyid Burhaneddin Blv. No:34/C Melikgazi/KAYSERİ"/>
        <s v="Camikebir mah. Zihniye Baykan Cad. No:1/D Kocasinan/KAYSERİ"/>
        <s v="Gevher Nesibe Mah. İstasyon cad. No:75/A Kocasinan/Kayseri"/>
        <s v="Osman Kavuncu Mah. Kevser Cad. No:81 Melikgazi/KAYSERİ"/>
        <s v="Yeni Mah. Hayat Cad. No:9/H Kocasinan/KAYSERİ"/>
        <s v="Camikebir Mah. Karanlık Çarşı Sok. No:1 Melikgazi/KAYSERİ"/>
        <s v="Alsancak Mah. 5 Cad.No:8 İç Kapı No: B-C Kocasinan/KAYSERİ"/>
        <s v="Demokrasi Mah. Kadir Has Bulvarı No:83 / C Melikgazi/Kayseri"/>
        <s v="Oruçreis Mah. Ballıali Sok. No:10 Kocasinan/KAYSERİ"/>
        <s v="Cumhuriyet Mah. Park Blv. No:19/110 Melikgazi/KAYSERİ"/>
        <s v="Sümer Mah. Erkilet Blv. No:24/A Kocasinan/KAYSERİ"/>
        <s v="Melikgazi, Aşık Veysel Blv. No:22, 38030, 38030 Melikgazi/Kayseri"/>
        <s v="Yıldızevler Mah., Doğu Garajı, No:48/1, Kocasinan, Kayseri"/>
        <s v="Keykubat Mah. Ahmet Gazi Ayhan Blv. No:176/B Melikgazi/KAYSERİ"/>
        <s v="Mimarsinan Mah. Bozantı Cad. İnönü Parkı No:0 Kocasinan/KAYSERİ"/>
        <s v="Sümer Mah. 11. Cad. No:12/A Kocasinan/KAYSERİ"/>
        <s v="Argıncık Mah. Yavuz Sultan Selim Cad. No:144 Kocasinan/KAYSERİ"/>
        <s v="Cumhuriyet Mah. Turan Cad. No:10/A Melikgazi/KAYSERİ"/>
        <s v="Hoca Ahmet Yesevi Mah. Şht. J. Astsb. Suat Sarı Cad. No:4/B Kocasinan/KAYSERİ"/>
        <s v="Cumhuriyet Mah., İnönü Blv., No:75/C, Melikgazi, Kayseri"/>
        <s v="Sanayi Bölgesi, 6004 Cad., No:75/C, Kocasinan, Kayseri"/>
        <s v="İldem Cumhuriyet Mah. Gün Sazak Cad. No:101/A Melikgazi/KAYSERİ"/>
        <s v="Fevzi Çakmak Mah. Yeşilırmak Cad. No:23/A Kocasinan/KAYSERİ"/>
        <s v="Keykubat Mah. Çukur Sok. No:11/A Melikgazi/KAYSERİ"/>
        <s v="Fatih Mah. İstasyon Cad. No:46/B Kocasinan/KAYSERİ"/>
        <s v="Tablakaya Mh. Yahya Sk. No:8/B Talas/Kayseri"/>
        <s v="Hoca Ahmet Yesevi Mah. Kanuni Geçidi Sok. No:2/A Kocasinan/KAYSERİ"/>
        <s v="Yıldırım Beyazıt, Sırasöğütler Cd. No:13/c, 38030 Melikgazi/Kayseri"/>
        <s v="Yenidoğan mah Atatürk bulvarı Atatürk Bulvarı (Simit center, yanı) ödül yapı altı Talas, 38020 Talas/Kayseri"/>
        <s v="Mevlana Mah. Kaya 1. Sok. No:3/A Talas/KAYSERİ"/>
        <s v="Mevlana, Yavus, Yavuz Sultan Selim Cd. No:18/G, 38280 Talas/Kayseri"/>
        <s v="Yenidoğan Mah. Atatürk Blv. No:9/A Talas/KAYSERİ"/>
        <s v="Bahçelievler Mah. Mevlana Cad. No:4/A Talas/KAYSERİ"/>
        <s v="Köşk Mah., Kışla Cad., No:2/C, Melikgazi, Kayseri"/>
        <s v="Yenidoğan Mah. Bilge Kağan Cad. No:16/A Talas/KAYSERİ"/>
        <s v="Mevlana Mah. Cemil Baba Cad. No:40/G Talas/KAYSERİ"/>
        <s v="Sahabiye Mah. Ahmet Paşa Cad. No:14/A Kocasinan/KAYSERİ"/>
        <s v="Gesi Fatih mah. Gün sazak Cad. Kaysermall AVM"/>
        <s v="Cumhuriyet Mah. İnönü Blv. No:51 Melikgazi/KAYSERİ"/>
        <s v="Yenidoğan Mah. Mehmet Akif Ersoy Cad. No:7/B Talas/KAYSERİ"/>
        <s v="Keykubat Mah. Gazipaşa Cad. No:29/A Melikgazi/KAYSERİ"/>
        <s v="Yeşilyurt Mah. Şht. J. Onb. Hakan Türk Cad. No:101/F Melikgazi/KAYSERİ"/>
        <s v="Yeni Mah. Tekir Cad. No:9 Develi/KAYSERİ"/>
        <s v="Mevlana Mah. Tarif Sok. No:10/B Talas/KAYSERİ"/>
        <s v="Sahabiye Mah. Otak Sok. No:9/A Kocasinan/KAYSERİ"/>
        <s v="Altınoluk Mah. Neslihan Sok. No:8/A Melikgazi/KAYSERİ"/>
        <s v="Mevlana Mah. Barış Manço Cad. No:8/B Kocasinan/Kayseri"/>
        <s v="Harman Mah. Tepebağlar Cad. No:1/C Talas/KAYSERİ"/>
        <s v="Mevlana Mah. Papatya Cad. No:29/B Talas/KAYSERİ"/>
        <s v="Hunat Mah. Sivas Blv. No:16/C Melikgazi/KAYSERİ"/>
        <s v="Gevhernesibe Mah., Tuğcu Sok., No:3/C, Kocasinan/Kayseri"/>
        <s v="Cumhuriyet Mah. Bankalar Cad. No:8 Melikgazi/KAYSERİ"/>
        <s v="Sakarya Mah. Eren Yıldırım Blv. No:43/C Melikgazi/KAYSERİ"/>
        <s v="Ahi Evran Mah., Sivas Blv., 7.Km., No:370, Kocasinan, Kayseri"/>
        <s v="Yakut Mah. Elisevenler Cad. No:6/C Kocasinan/KAYSERİ"/>
        <s v="Yeni Mah. 3543. Sok. No:39/A Kocasinan/KAYSERİ"/>
        <s v="Şirintepe Mah. Şengül Sok. No:11/C Melikgazi/KAYSERİ"/>
        <s v="Yenidoğan mah. Deliçay 1 Sok. No:12/B Talas/KAYSERİ"/>
        <s v="Mevlana Mah. Mustafa Kemal Paşa Blv. No:123/B Kocasinan/KAYSERİ"/>
        <s v="Serçeönü Mah. Ahmet Paşa cad. No:13/C Kocasinan/KAYSERİ"/>
        <s v="Bahçelievler Mah. Gecebulutları Sok. No:2/B Talas/KAYSERİ"/>
        <s v="Bahçelievler mah. Mevlana cad. No:29/B Talas/KAYSERİ"/>
        <s v="Yıldırım Beyazıt Mah. Sivas Blv. No:228/A Melikgazi/KAYSERİ"/>
        <s v="Şirintepe Mah. Malazgirt Blv. No:26/E Melikgazi/KAYSERİ"/>
        <s v="Mithatpaşa Mah. Erkilet Blv. No:169/C Kocasinan/KAYSERİ"/>
        <s v="Kazım Karabekir Mah. Sürmene Sok. NO:2/A Melikgazi/KAYSERİ"/>
        <s v="Fevzi Çakmak Mah., Fuzuli Cad., No:3/E, Kocasinan, Kayseri"/>
        <s v="Beyazşehir Mah. 825.sokak No:22/G Kocasinan/Kayseri"/>
        <s v="Mevlana Mah. Tamer Cad. No:7/C Talas/KAYSERİ"/>
        <s v="Aydınlıkevler Mah. Sokullu Cad. No:7/B Melikgazi/KAYSERİ"/>
        <s v="Cumhuriyet Mah. İnönü Blv. No:53/B Melikgazi/KAYSERİ"/>
        <s v="Yunus Emre Mah. Bağdat Cad. No:63/A Kocasinan/KAYSERİ"/>
        <s v="Anafartalar Mah. Şht. Büyükelçi Hasan Esat Işık Bulvarı No:17/D Melikgazi/KAYSERİ"/>
        <s v="Mithatpaşa Mah., Erkilet Cad., No:161/B, Kocasinan, Kayseri"/>
        <s v="Erkilet Osman Gazi Mahallesi Seyyid Burhanettin Bulvarı Caddesi D:No5/A, 38050 Kocasinan/Kayseri"/>
        <s v="Mevlana Mah. Elçibey Cad. No:41/A Talas/KAYSERİ"/>
        <s v="Mevlana Mah. Yavuz Sultan Selim Cad. No:4/A Talas/KAYSERİ"/>
        <s v="Mevlana Mah. Elçibey Cad. No:39/B Talas/MEVLANA"/>
        <s v="Mevlana Mah. Bilge Kağan Cad. No:30/C Talas/KAYSERİ"/>
        <s v="FEvzi çakmak, sivas bulvarı No:109/B, 38020"/>
        <s v="Gesi Fatih Mah. Uygar Sok. No:28/B Melikgazi/KAYSERİ"/>
        <s v="Camikebir Mah. Erdil Sok. No:14/C Melikgazi/KAYSERİ"/>
        <s v="Camikebir Mah. Şekerciler Cad. No:18/C Melikgazi/KAYSERİ"/>
        <s v="Mevlana Mah. Şht. Savcı Mehmet Selim Kiraz Sok. No:14/B Kocasinan/KAYSERİ"/>
        <s v="Şirintepe Mah., Lalecik Sok., No:10/A, Melikgazi, Kayseri"/>
        <s v="Mevlana Mah. Barış Manço Cad. No:67/A Kocasinan/KAYSERİ"/>
        <s v="Uğurevler Mah. Niyazi Bahçecioğlu Cad. No:50/C Kocasinan/KAYSERİ"/>
        <s v="30 Ağustos Mah. Anamur Cad. No:13/A Melikgazi/KAYSERİ"/>
        <s v="Keykubat mah. Dilektaşı sok. 20/B"/>
        <s v="Alpaslan Mah., Sivas Cad., Kasseria AVM, No:94/B09, Melikgazi, Kayseri"/>
        <s v="Çorakçılar Mah. Mevlana Cad. No:13B Melikgazi/KAYSERİ"/>
        <s v="Yenidoğan Mah. Çimenli Cad. No:3/C Talas/KAYSERİ"/>
        <s v="Bahçelievler, Mevlana Cd. No:32 D:F, 38280 Talas/Kayseri"/>
        <s v="Mevlana Mah., Mustafa Kemal Paşa Bulv., Aslaner Apt., No:125/E, Kocasinan/Kayseri"/>
        <s v="Mevlana Mah. Cemil Baba Cad. No:22/M Talas/KAYSERİ"/>
        <s v="Mevlana Mah. Velioğlu Cad. No:22/B Talas/KAYSERİ"/>
        <s v="Beyazşehir Mah. 825. Sok. No:22/N Kocasinan/KAYSERİ"/>
        <s v="ERTUĞRULGAZİ MAHALLESİ 4340.SOKAK No:19/C KOCASİNAN/KAYSERİ"/>
        <s v="Turgut Reis Mah. Bağdat Cad. No:186/A Kocasinan/KAYSERİ"/>
        <s v="Yenişehir mah. İsabey Sok. No:2/B Kocasinan/KAYSERİ"/>
        <s v="Ziyagökalp Mah. Milli Egemenlik Cad. Uğur Apt. No:17/D Kocasinan/KAYSERİ"/>
        <s v="Keykubat Mah. Ahmet Gazi Ayhan Blv. No:164/B Melikgazi/KAYSERİ"/>
        <s v="Kocatepe Mah. 3025. Sok. No:37/A Melikgazi/KAYSERİ"/>
        <s v="Yeniköy Mah. Deniz Şafağı Cad. No:24/A Melikgazi/KAYSERİ"/>
        <s v="Yeşilyurt Mah. Şht. J. Onb. Hakan Türk Cad. No:107/C Melikgazi/KAYSERİ"/>
        <s v="Yenişehir Mah Turgut Reis Cad İsa Bey Sok 2/B Kocasinan Kayseri"/>
        <s v="Zümrüt Mah. Bekir Yıldız Blv. No:90/A Kocasinan/KAYSERİ"/>
        <s v="Mevlana mah, Kasrı Eylül Apart, Mehmet Timuçin Cd. 8/A, 38280 Talas/Kayseri"/>
        <s v="Mimarsinan Mah. Murat Cad. Aras Sok. No:27/A Kocasinan/KAYSERİ"/>
        <s v="Kiçiköy Mah. Atatürk Blv. No:53/G Talas/KAYSERİ"/>
        <s v="Mevlana Mah. Anayurt Cad. No:35/A Talas/KAYSERİ"/>
        <s v="Gesi Fatih Mah. Günsazak Cad. İldem Sena evleri B Blok No:32/E Melikgazi/Kayseri"/>
        <s v="Mevlana Mah. Papatya Cad. No:21/C Talas/KAYSERİ"/>
        <s v="YENİDOĞAN MAH. BİLGE KAĞAN CAD. NO:12/A TALAS / KAYSERİ"/>
        <s v="Tacettinveli Mah. Halit Narin Cad. No:7/G Melikgazi/KAYSERİ"/>
        <s v="İldem Cumhuriyet Mah. Umut Sok. No:3 Melikgazi/KAYSERİ"/>
        <s v="Anbar Mah. 31.Cad. No:5 Melikgazi/KAYSERİ"/>
        <s v="Oymaağaç Mah. 3121. Sok. No:7 Kocasinan/KAYSERİ"/>
        <s v="Beyazşehir Mah. 825.sokak No:22/C Kocasinan/Kayseri"/>
        <s v="Mevlana Mah. Papatya Cad. No:27/A Talas/KAYSERİ"/>
        <s v="Yenidoğan, Oğulcuklu Cd. 3 A, 38280 Talas/Kayseri"/>
        <s v="Alpaslan Mah. Gökçefidan Sk. No: 9/A Melikgazi/Kayseri"/>
        <s v="Mevlana, 15 Temmuz Cd, 38280 Talas/Kayseri"/>
        <s v="Gevher Nesibe Mah., Kurşunlu Sok., No: 5, Melikgazi, Kayseri"/>
        <s v="Mevlana Mah. Gözde Sok. No:30/A Talas/KAYSERİ"/>
        <s v="Mevlana Mah. Elçibey Cad. No:45/C Talas/KAYSERİ"/>
        <s v="Mevlana Mah., Gözde Sok., No:30, Talas, Kayseri, Türkiye,"/>
        <s v="yenidoğan mah.Şaban yılmaz cad.no:4 Talas/KAYSERİ"/>
        <s v="Gesi Fatih Mah. Gün Sazak Cad. No:65 Melikgazi/KAYSERİ"/>
        <s v="Tavlusun Mah. Gaffur Okkan Blv. No:14/A Melikgazi/KAYSERİ"/>
        <s v="Tacettinveli Mah. Lalezade Cad. No:15 Melikgazi/KAYSERİ"/>
        <s v="Cumhuriyet Mah. Ulu Camii Cad. No:18/E Melikgazi/KAYSERİ"/>
        <s v="Erciyesevler Mah. Tuna Cad. No:6"/>
        <s v="Bahçelievler Mah. Gesi Cad. No:28 Melikgazi/KAYSERİ"/>
        <s v="Bahçelievler Mah. Mevlana Cad. No:24/A Talas/KAYSERİ"/>
        <s v="Alpaslan Mah. Org Eşref Bitlis Blv. Kayseri Park No: 10 İç Kapı No: 301 Melikgazi/Kayseri"/>
        <s v="Argıncık Mah. Yavuz Sultan Selim Cad. No:85/D Kocasinan/KAYSERİ"/>
        <s v="Şeker Mah. Osman Kavuncu Blv. No:364/40 Kocasinan/Kayseri"/>
        <s v="Sahabiye Mh. Teoman Sk. No:9/1"/>
        <s v="Mevlana mh. Batuhan Sk. Öz Molu İş Merkezi No:12/D"/>
        <s v="Mevlana mh, 15 Temmuz Cd 6/B, 38280 Talas/Kayseri"/>
        <s v="Alpaslan Mah. Bahar Cad. No:39/A Melikgazi/KAYSERİ"/>
        <s v="Sahabiye Mah. İstasyon Cad. No:10/A Kocasinan/KAYSERİ"/>
        <s v="Erciyesevler Mah. Tuna Cad. No:12/C Kocasinan/KAYSERİ"/>
        <s v="mevlana mah atatürk bulvarı no:4 talas/kayseri"/>
        <s v="Gevher Nesibe Mah. Gür Sok. No:16/C Kocasinan/KAYSERİ"/>
        <s v="Erciyesevler Mah. Sivas Bulvarı No: 219/B Kocasinan/Kayseri"/>
        <s v="Hacı Saki Mah., Osman Kavuncu Cad.No:10, Kocasinan, Kayseri"/>
        <s v="Bahçelievler mah. Atatürk blv. Oğuzlar sit. no:2 Talas/KAYSERİ"/>
        <s v="Yıldırım Beyazıt Mah. Sırasöğütler Cad. No:209 Melikgazi/KAYSERİ"/>
        <s v="Mevlana Mah. Halef Hoca Cad. No:69/F Talas/KAYSERİ"/>
        <s v="Bahçelievler, Atatürk Blv. 56/b, 38280 Talas/Kayseri"/>
        <s v="Hürriyet Mah., Cengiz Topel Cad., No:83/D, Melikgazi, Kayseri"/>
        <s v="Argıncık Mah. 6215. Sok. No:13 Kocasinan/KAYSERİ"/>
        <s v="Bahçelievler Mah. Atatürk Blv. No:34/E Talas/KAYSERİ"/>
        <s v="Köşk Mah. Prof. Dr. Turhan Feyzioğlu Cad. No:27/F Melikgazi/KAYSERİ"/>
        <s v="Argıncık Mah. Yavuz Sultan Selim Cad. No:73 Kocasinan/KAYSERİ"/>
        <s v="Çorakçılar Mah. Cengiz Topel Cad. No:35/A Melikgazi/KAYSERİ"/>
        <s v="Tavlusun Mah., Gaffar Okan Blv., No:50/A, Melikgazi, Kayseri"/>
        <s v="Alpaslan Mah. Kızılırmak Cad. No:84/B Melikgazi/KAYSERİ"/>
        <s v="Gesi Fatih Mah. Gün Sazak Cad. No:65/104 Melikgazi/KAYSERİ"/>
        <s v="Mevlana Mah., Turgut Özal Cad., Doruk Apt., No:43/C, Talas/Kayseri"/>
        <s v="Argıncık Mah. Kocasinan Blv. No:363/B Kocasinan/KAYSERİ"/>
        <s v="Köşk Mah. Kışla Cad. Sırdar Geçidi Sok. No:2/D Melikgazi/KAYSERİ"/>
        <s v="Erciyesevler Mah. 30 Ağustos Blv. No:1/A Kocasinan/KAYSERİ"/>
        <s v="Örnekevler Mah. Atatürk Blv. No:106/A Kocasinan/KAYSERİ"/>
        <s v="Mevlana Mah. Barış Manço Cad. No:19/B Kocasinan/KAYSERİ"/>
        <s v="Yakut Mah., Akmescit Cad., No:17/D, Kocasinan, Kayseri"/>
        <s v="İldem Cumhuriyet Mah. Saffet Arıkan Bedük Cad. No:44/D Melikgazi/KAYSERİ"/>
        <s v="Hisarcık Mah. Erciyes Blv. No:467/1 Melikgazi/KAYSERİ"/>
        <s v="Kazımkarabekir Mah. Balveren Sok. No:32/A Melikgazi/KAYSERİ"/>
        <s v="Kılıçaslan Mah., Sivas Cad., No:52, Melikgazi, Kayseri"/>
        <s v="Kocatepe mah.3025 sok.mehmet Akif Ersoy Apt.altı no :34/A Melikgazi/KAYSERİ"/>
        <s v="Sakarya Mah. Şht. İsmail Erez Blv. No:13 Melikgazi/KAYSERİ"/>
        <s v="Kiçiköy Mah. Atatürk Blv. No:59/G Talas/KAYSERİ"/>
        <s v="Mevlana, Hakan Apt, Bademli Cd. No:3 D:B, 38280 Talas/Kayseri"/>
        <s v="Mevlana Mah. Halef Hoca Cad. 20 Talas, Kayseri"/>
        <s v="Mevlana Mah., Zafer Bayburtlu Cad., Armoni Sit., No:3.,Talas/Kayseri"/>
        <s v="Mevlana Mah. Halef Hoca Cad. No:39/A Talas/KAYSERİ"/>
        <s v="Kiçiköy, Halef Hoca Cd., 38280 Talas/Kayseri"/>
        <s v="Beyazşehir Mah. 4088.Sok. No:4 Kocasinan/KAYSERİ"/>
        <s v="Sümer Mah. 11.Cad. No:4/A Kocasinan/KAYSERİ"/>
        <s v="Gevher Nesibe Mah., Atatürk Blv. No:106/A Kocasinan/KAYSERİ"/>
        <s v="Gülük Mah., İnönü Blv., No:49/C, Melikgazi, Kayseri"/>
        <s v="Alpaslan Mah. Org. Eşref Bitlis Blv. No:10/301 Melikgazi/KAYSERİ"/>
        <s v="Hacı Saki, Osman Kavuncu Blv. D:No 12, 38010 Kocasinan/Kayseri"/>
        <s v="Mevlana Mah. Halef Hoca Cad. No:55/B Talas/KAYSERİ"/>
        <s v="Mevlana Mah. Papatya Cad. No:21/E Talas/KAYSERİ"/>
        <s v="Sivas caddesi, Akın apt., No:165/A, Alparslan tramvay durağı"/>
        <s v="Mevlana Mah. Melikşah Cad. No:18/D Talas/KAYSERİ"/>
        <s v="erciyesevler mah. tuna cad. no:6 A Kocasinan"/>
        <s v="Erciyesevler Mah. Tuna Cad. No:6 Kocasinan/KAYSERİ"/>
        <s v="Bahçelievler Mah., Atatürk Blv., AFM Newstar Sitesi, No:20/D, Talas, Kayseri"/>
        <s v="Köşk Mah., Kışla Cad., No:52, Melikgazi, Kayseri"/>
        <s v="Cumhuriyet Mah. Turan Cad. No:7/B Melikgazi/KAYSERİ"/>
        <s v="talas yenidoğan mh"/>
        <s v="Osmangazi Mah., Seyyid Burhanettin Cad., No:5/C, Kocasinan, Kayseri"/>
        <s v="Mevlana Mah., Karasu Cad., No:12/C Talas/Kayseri"/>
        <s v="Cumhuriyet Mah. Kızılay Cad. No:5 Melikgazi/KAYSERİ"/>
        <s v="Mevlana Mah. Taslak Sok. No:3/B Talas/KAYSERİ"/>
        <s v="Mevlana, 15 Temmuz Cd No:3/A, 38280 Talas/Kayseri"/>
        <s v="Mevlana Mah. Cemil Baba Cad. No:1/A Talas/KAYSERİ"/>
        <s v="Hunat Mah. Hoca Ahmed Yesevi Blv. No: 1 A Melikgazi, Kayseri"/>
        <s v="Mevlana Mah., Elçibey Cad., No: 34 A, Talas, Kayseri"/>
        <s v="Anafartalar mahallesi hasan esat ışık bulvarı no15 /b Melikgazi kayseri"/>
        <s v="Mevlana Mah. Yavuz Sultan Selim Cad. Mimoza Apt. No:1/A Talas/KAYSERİ"/>
        <s v="Hunat Mah. Sivas Blv. No:10 Melikgazi/KAYSERİ"/>
        <s v="Beyazşehir Mah. 825.sokak No:22/D Kocasinan/Kayseri"/>
        <s v="Gesi Fatih Mah. Gün Sazak Cad. No:39/B Melikgazi/KAYSERİ"/>
        <s v="Erciyesevler Mah. Güney Sok. No:22/B Kocasinan/KAYSERİ"/>
        <s v="Turgut Reis Mah. Turgut Reis Cad. No:11/C Kocasinan/KAYSERİ"/>
        <s v="Fatih Mahallesi, Gaffar Okkan Bulvarı 61/B, Melikgazi/Kayseri"/>
        <s v="Alpaslan Mah. Farabi Cad. No:31/D Melikgazi/KAYSERİ"/>
        <s v="Mevlana Mah., 15 Temmuz Cad., No:12/C, Talas, KAYSERİ"/>
        <s v="Kiçiköy, Hoca Ahmet Yesevi Cd. No:12, 38280 Talas/Kayseri"/>
        <s v="Mevlana Mah. Zafer Bayburtluoğlu Cad. No:5/A Talas/KAYSERİ"/>
        <s v="Köşk Mah. Köşk Cad. No:84/A Melikgazi/KAYSERİ"/>
        <s v="Sahabiye Mah. Teoman Sok. No:8/A Kocasinan/KAYSERİ"/>
        <s v="Yeşilyurt Mah. 3234. Sok. No:3/A Melikgazi/KAYSERİ"/>
        <s v="Hunat Mah. Kalpaklıoğlu Cad. No:1/D Melikgazi/KAYSERİ"/>
        <s v="Erciyesevler Mah. Tuna Cad. No:4/B Kocasinan/KAYSERİ"/>
        <s v="Mimarsinan Mah. Tarsus Sok. No:66/A Kocasinan/KAYSERİ"/>
        <s v="Yenidoğan Mah., Defne Sok., No:22/A Talas/Kayseri"/>
        <s v="Mevlana Mah. Melikşah Cad. 6 D TALAS / KAYSERİ"/>
        <s v="Şeker Mah. Osman Kavuncu Blv. No:364/46 Kocasinan/KAYSERİ"/>
        <s v="Sahabiye Mah., Sivas Cad., No:11, Kocasinan, Kayseri"/>
        <s v="Anafartalar Mah. Şht. Büyükelçi İsmail Erez Blv. No:41/A Melikgazi/KAYSERİ"/>
        <s v="Hunat Mah. Orhangazi Cad. No:13/A Melikgazi/KAYSERİ"/>
        <s v="Cumhuriyet Mah. Mevlevi Cad. No: 22 Melilgazi/Kayseri"/>
        <s v="Keykubat Mah. Güllübahçe Cad. No:106/A Melikgazi/KAYSERİ"/>
        <s v="Sanayi Mah. O.Kavuncu Cad. No:94/A Kocasinan/KAYSERİ"/>
        <s v="Alpaslan Mah. 1599. Sok. No:12/B Melikgazi/KAYSERİ"/>
        <s v="Mevlana Mah. Gözde Sok. No:22/A Talas/KAYSERİ"/>
        <s v="Erciyesevler Mah. Güney Sok. No:3/A Kocasinan/KAYSERİ"/>
        <s v="Alpaslan Mah. Mustafa Şimşek Cad. No: 99A Melikgazi/Kayseri"/>
        <s v="Yenidoğan Mah. Oğulcuklu 2. Sok. No:4/A Talas/KAYSERİ"/>
        <s v="Mevlana mahallesi Zafer bayburtluoğlu caddesi armoni sitesi altı No:5/A talas Kayseri"/>
        <s v="Keykubat Mah. Ahmet Gazi Ayhan Blv. No:178/B Melikgazi/KAYSERİ"/>
        <s v="Cumhuriyet Mah. İnönü Blv. No:63/B Melikgazi/KAYSERİ"/>
        <s v="Bahçelievler Mah. Bahçelievler Cad. No:2/B Talas/KAYSERİ"/>
        <s v="Hacı Saki Mah., Kenarcık Sok., No:2, Holiday Inn Hotel, Kocasinan, Kayseri"/>
        <s v="GESİ FATİH MAHALLESİ GÜN SAZAK CADDESİ NO:65 Melikgazi/KAYSERİ"/>
        <s v="Mevlana Mah. Umut Cad. No:16/C Talas/KAYSERİ"/>
        <s v="Gesi Fatih Mah. Kadir Has Blv. No:141/A Melikgazi/KAYSERİ"/>
        <s v="Yenidoğan mah. kayabağlar cad. fatih sitesi A blok 35/ Talas Kayseri"/>
        <s v="Kılıçaslan Mah. Yahya Kemal Cad. No:22/C Melikgazi/KAYSERİ"/>
        <s v="Hunat Mah. Sivas Blv. Kayseri Forum No:24/222 Melikgazi/KAYSERİ"/>
        <s v="Mimarsinan Mah. Sivas Blv. No:121/A Kocasinan/KAYSERİ"/>
        <s v="Gevher Nesibe Mah., Çiçek Sok:, No:9, Kocasinan, Kayseri"/>
        <s v="Mevlana Mah., 3.Cad., No:70/A, Kocasinan, Kayseri"/>
        <s v="Caferbey Mah. Bezirhane Cad. No:3/B Melikgazi/KAYSERİ"/>
        <s v="Yenidoğan Mah., Timuçin Cad., Defne Sok., No:2/B, Talas, Kayseri"/>
        <s v="Hacı Saki Mah., Osman Kavuncu Cad., No:8/B, Kocasinan, Kayseri"/>
        <s v="Hürriyet Mah., Hasan Tahsin Blv., Topaklı Geçidi, No:2, Melikgazi, Kayseri"/>
        <s v="Gültepe Mah. Şht. Ütğm. Mustafa Şimşek Blv. No:26/B Melikgazi/KAYSERİ"/>
        <s v="Sahabiye Mah., İstasyon Cad., No:48/C, Kocasinan, Kayseri"/>
        <s v="Alpaslan Mah. Kızılırmak Cad. No: 88 A Melikgazi/Kayseri"/>
        <s v="Mevlana Mah. Mehmet Akif Ersoy Cad. No:30/C Talas/KAYSERİ"/>
        <s v="Mevlana mah.Elçibey cad. no:42 Talas/KAYSERİ"/>
        <s v="Kocasinan Mah., Gesi Cad., No:2/2A, Kocasinan, Kayseri"/>
        <s v="mevlana mah., mustafa kemal paşa bulvarı., 38090, Kocasinan"/>
      </sharedItems>
    </cacheField>
    <cacheField name="Geleneksel&#10;Zincir" numFmtId="0">
      <sharedItems>
        <s v="Geleneksel"/>
        <s v="Key"/>
      </sharedItems>
    </cacheField>
    <cacheField name="FOTOĞRAF SEGMENT" numFmtId="0">
      <sharedItems containsBlank="1">
        <m/>
        <s v="Köşk Mah. Mustafa Şimşek Cad. Hisar Apt. No:56/E Melikgazi/KAYSERİ"/>
      </sharedItems>
    </cacheField>
    <cacheField name="Aradık Mı?" numFmtId="0">
      <sharedItems>
        <b v="1"/>
        <b v="0"/>
      </sharedItems>
    </cacheField>
    <cacheField name="Kendi Fotosu&#10;Var" numFmtId="0">
      <sharedItems containsBlank="1">
        <b v="0"/>
        <b v="1"/>
        <m/>
      </sharedItems>
    </cacheField>
    <cacheField name="Randevu &#10;Durumu" numFmtId="0">
      <sharedItems containsBlank="1">
        <s v="Franchise"/>
        <s v="Dönüş Yapacak"/>
        <s v="Randevu Alındı"/>
        <s v="Randevu İptal"/>
        <s v="Restoran Silindi"/>
        <s v="İleride Randevu Alınacak"/>
        <s v="Başka Şubeden Çekilecek"/>
        <s v="Sistemden Çıkmak İstiyor"/>
        <m/>
        <s v="Çekim İstemiyor"/>
        <s v="BlackList"/>
        <s v="Ulaşılamadı"/>
        <s v="Devir"/>
        <s v="Tadilat Var"/>
        <s v="Menü Güncellemesi Yapılacak"/>
      </sharedItems>
    </cacheField>
    <cacheField name="Randevu&#10;Alan" numFmtId="0">
      <sharedItems containsBlank="1">
        <m/>
        <s v="Ferhat Köksal"/>
        <s v="Zeliha Özer"/>
        <s v="Hatem Soyaslan"/>
        <s v="Selcan Topçu"/>
        <s v="Betül Demir"/>
        <s v="Sude Alkan"/>
        <s v="Senanur Çınar"/>
        <s v="Enes Günal"/>
        <s v="Emre Dalgıç"/>
        <s v="Ezgi Turan"/>
        <s v="Ayşegül Kır"/>
        <s v="Eylem Ünal"/>
        <s v="Nazmiye Yuka"/>
        <s v="Yurdagül Kulaksız"/>
        <s v="Özlem gümüş"/>
        <s v="Funda Ünlü"/>
        <s v="Simge Tüçay"/>
        <s v="Hatice Özer"/>
        <s v="Kübra Toprak"/>
        <s v="Serap Apaydın"/>
        <s v="Zahire Aydın"/>
      </sharedItems>
    </cacheField>
    <cacheField name="Fotoğrafçı">
      <sharedItems containsDate="1" containsBlank="1" containsMixedTypes="1">
        <s v="10 dk sonra// açmadı"/>
        <m/>
        <s v="Muzaffer Köprü"/>
        <s v="Feyza Yıldırım"/>
        <s v="Hacı Baba Lale"/>
        <s v="babası ile konuşup dönüş yapacak "/>
        <s v="Ahmet Demirdoğan"/>
        <s v="fotoğrafları var mail atacak "/>
        <s v="muzaffer"/>
        <d v="2022-02-19T00:00:00Z"/>
        <s v="muzaffer "/>
        <s v=" hanifi katı"/>
      </sharedItems>
    </cacheField>
    <cacheField name="Not">
      <sharedItems containsDate="1" containsBlank="1" containsMixedTypes="1">
        <s v="merkeze bağlı olduklarını belirtti"/>
        <s v="açmadılar//açmadılar/ulaşılamıyor// malzemeleri henüz tam değil 3 ürünü var elinde tamamlayınca geri dönüş yapacak / meşgul çalıyor"/>
        <s v="12.30 gibi ararsanız eğer sizlere çok yardımcı olurum dedi//6-6,5 gibi ara dedi/1 saat sonra aranılcsk"/>
        <s v="meşgule attı//yüzüme kapattı/açmadılar//aömadılar\ramazandan sonra aranacak//11 haziranda randevu oluşacak"/>
        <s v="açmadı/açmadılar/açmadılar\\açmıyor//ÜSTEKİYLE AYNI YETKİLİ"/>
        <n v="5.35276406E9"/>
        <s v="fotoğrafçı işten çıktığı için iptal oldu "/>
        <s v="restorantı kapatmışlar "/>
        <m/>
        <s v="daha sonra arancak / babası ameliyat olmuş daha sonra aranabilir / babası vefat etmiş daha sonra görüşelim dedi "/>
        <s v="perihan "/>
        <s v="sistemden çıkmak istediğini belirtti  "/>
        <s v="açmadı/düşünmüyolarmış"/>
        <s v="istemedi gerek yok dedi  "/>
        <n v="5.5319898E9"/>
        <s v="öğleden sonra 2 gibi arayın der / kendi fotoğrafları varmış mail atacak "/>
        <s v="dükkan devir aşamasında panelin açılmasını bekliyorum  - ramazan sonra yapalım "/>
        <s v="diğer şube ile randevu ayarlnamış ordan "/>
        <s v="bir daha alınmasın "/>
        <s v="devam çekimi alındı "/>
        <s v="Mesut Bey 5534434688"/>
        <s v="panelde fotoğrafları var "/>
        <s v="keykubat mah kuyu caddesi no 14/a"/>
        <s v="açmadı"/>
        <s v="yt yok akşam gelir dedi."/>
        <n v="5.07570142E9"/>
        <s v="frencheise"/>
        <s v="ben ustama sorup dönüş sağlarım dedi  - eşi talat beyden randevu alındı "/>
        <s v="büyük menderes caddesi no  41"/>
        <s v="mustafa bey 05322311551"/>
        <s v="yetkili yokmuş gelince dönecek"/>
        <s v="RANDEVU İSTİYOR- çekime gerek yok dedi /kendi fotoğraflarını iletecekler."/>
        <s v="istemiyorum sağolun dedi "/>
        <s v="TEYİT İÇİN ARANDI MÜSAİT DEĞİLİM DEDİ"/>
        <s v="mail atıcak - devir etme durumum var dedi / işletme kapanmış "/>
        <s v="şu anda böyle bir hazırlık yapamayız dedi"/>
        <s v="sahabiye mah. mete cad. no:3 öğretmenevi ilerisi"/>
        <s v="henüz getiri kullanmaya başlamamış.//açmadı// biz çekime gerek duymuyoruz yoğunuz der"/>
        <s v="yogunuz dedi kapatı"/>
        <s v="ürünü çıkarmam çok mailyetli olu dedi ben çekerim dedi "/>
        <s v="fotografcı işten cıktıgı ıcın ıptal oldu/MUSAIT DEGILLER"/>
        <s v="TEYİT İÇİN ARANDI GERÇEKLEŞTİ"/>
        <s v="ramazan ayının 2. haftası istiyor / bayramdan sonra istedi "/>
        <s v="açmadılar//açmadılar\\açmıyorr\açmadı/randevu alındı//TEYİT İÇİN ARANDI YET YOK"/>
        <s v="iptalin yerine alındı//TEYİT İÇİN ARANDI GERÇEKLEŞTİ"/>
        <s v="Fotoğrafçı Hanifi KAtı//TEYİT İÇİN ARANDI GERÇEKLEŞMİŞ"/>
        <s v="5074527870 / fotoğrafları varmış "/>
        <s v="kalan ürünleri çıkarmıyorum dedi"/>
        <s v="ulaşılamadı "/>
        <s v="istemiyorum diyor / tşekkür ederim istemiyorum dedi "/>
        <s v="3 gibi ara / numarayı aradım geçici süreliğine kapalı/istemiyormuş gerek yok sağolun dedi/haftaya randevu oluşturulacak"/>
        <s v="05434088633 özkan bey /oses çiğköfteci antep baklavacısı"/>
        <s v="merkeze bağlılarmış"/>
        <s v="tatlıları mevcut değilöiş şu an 2 hafta sonra aranacak/dükkanı devredicem dedi."/>
        <s v="ökkeş/5061251825"/>
        <s v="5305950999 furkan"/>
        <s v="5527496099-  Ali bey no :05550403827"/>
        <s v="5076106944 tugay bey açmadı\"/>
        <s v="çekilmeyen ürünler için perşembe günü randevu verilmiş//İLERde randevu istiyor 3kez gidilmemiş / geliyoruz diyorsunuz gelmiyorsunuz gelmeyin de aramayın da dedi "/>
        <s v="TEYİT İÇİN ARANDI GERÇEKLEŞTİ-AKŞAM ÜZERİ TEKRAR ARANACAK"/>
        <s v="Ahmet bey / ramazandan sonra yapaılm dedi "/>
        <s v="istemiyormuş nedenini sorunca isteğim yok gerek yok dedi."/>
        <s v="şuan için gerek yok dedi\\3-4 gibi ara"/>
        <s v="mail atacak - zafer bey no : 05454363333"/>
        <s v="alparslan şubeden çekim yapılmış "/>
        <s v="no servis dışı"/>
        <s v="bı kac hafta musaıt degılız"/>
        <s v="devam çekimi"/>
        <s v="kendi fotoğraflarının kontrolünü sağlayıp var ise gönderecek yoksa dönüş yapacak/5326177111 kendi fotoğraflarını yollayacak olıursa eklersiniz olmazsa çekime gerek yok dedi"/>
        <s v="yetkili 11 gibi gelecek "/>
        <s v="burası dağıtım şubesi "/>
        <s v="TEYİT İÇİN ARANDI GERÇEKLEŞMİŞ"/>
        <s v="15 dk sonra ara "/>
        <s v="size dönüş yaparım dedi\\mail verildi"/>
        <s v="foto/ feyza yıldırım//TEYİT İÇİN ARANDI DEVAM ÇEKİMİ İSTEMİYOR"/>
        <s v="el degişikliği olabilirmiş ilerde aranacak"/>
        <s v="ulaşılamadı / ortağı ile de görüşüp dönecek "/>
        <s v="açmadı "/>
        <s v="ÇEKİMLER YAPILMIŞ"/>
        <s v="Tam ürün çıkaramadığından dolayı 10 gün sonra tekrar aranacak/açmadı/randevu tekrar alındı//TEYİT İÇİN ARANDI RANDEVU İSTİYOR GİDİLMEMİŞ/5376670505"/>
        <s v="ramazan dolayısıyla döneri takılı değil bayramdan sonra "/>
        <s v="fiyat konusunda sıkıntılıymış "/>
        <s v="5304564519/menü güncellemesi yapacaklarmış 1 ay sonra iletişime geçmek istiyorlar"/>
        <s v="numara hatalı "/>
        <s v="getiri kapattım kuryem konumu bulamıyor siz de müşterinin numarasını vermiyorsunuz dedi."/>
        <s v="YETKİLİ YOK//30DK GELİR / çekim yapılmamış şuan da işletmeyi taşıdığı için çki olamazmış "/>
        <s v="gerek duymuyorum der"/>
        <s v="bayramdan sonra alınabilir "/>
        <s v="öğleden sonra gelir "/>
        <s v="öğleden sonra yetkili gelir dedi "/>
        <s v="yetkili 4 gibi gelir "/>
        <s v="gerek yok dedi  "/>
        <s v="mailden atacak"/>
        <s v="bizden de daha önce çekilmiş fotoğrafların örneklerini istediler eğer daha iyiyse çektirebilirlermiş"/>
        <s v="Yusuf Bey 5533104377 / Şuan kayseride değilmiş 1 aya kadar yapılacak - paket servis yok o yüzden gere yok dedi"/>
        <s v="mail atacak / mail adresi iletildi "/>
        <s v="oğlu yavuz selim zengerden randevu alındı "/>
        <s v="alparslan şubesini arayarak yetkili ile görüşülebilir"/>
        <s v="şuan için uygunluğum yok istemiyorum olursa dönerim size der"/>
        <s v="Fotoğrafçı Ahmet//TEYİT İÇİN ARANDI GERÇEKLEŞMİŞ / çekim yapılmış ama panelde ekle değil "/>
        <s v="istemiyor"/>
        <s v="10DK///AÇMADI- hat meşgul"/>
        <n v="5.468911561E9"/>
        <s v="6 dan sonra aranılcak - 05530643871 - devam çekimi alındı "/>
        <s v="TEYİT İÇİN ARANDI GERÇEKLEŞMİŞ AMA FOTOĞRAFLAR YÜKLENMEMİŞ - devam çekimi alındı "/>
        <s v="öğleden sonra ara //açmadı//açmadı/açmadılar/açmadı//şuan müsait değil daha sonra ara//1 2 saat sonra ara//yetkili yok / paekte servise uygun ürünler yapmadıkları için getiri kapatmışlar "/>
        <s v="5333281136 / ramazandan sonra "/>
        <s v="yetkili 12 gibi gelirmiş.\\ramazandan sonra//5326201201-fotoğraflar yüklensin ona göre konuşalım dedi"/>
        <s v="KENDİ FOTOĞRAFLARI VAR"/>
        <s v="kurye sıkıntısından dolayı şuan paneli açamıyormuş "/>
        <s v="haftaya tekrar arayın"/>
        <s v="TEYİT İÇİN ARANDI MÜSAİT OLAMADIK TEKRAR RANDEVU İSTİYOR"/>
        <s v="şuan yoğunluk var eşim ilgileniyor öğleden sonra ben sizi aratırırım dedi / şuan ürünlerim yo bayramdan sonra yapaılm dedi "/>
        <s v="5443034205 rıdvan"/>
        <s v="dinlemeden kapattı  "/>
        <s v="İşletme numarası yanlış  / bayramdan sonra "/>
        <s v="mail atacak"/>
        <s v="YUSUF BEY 5413527352 - Ulaşılamadı "/>
        <s v="yetkili erdem beyden randevu alındı 5387368405 "/>
        <s v="devam çekımı --5537354856"/>
        <s v="6228a106776ec6174363cbd0 bu işletmesinde çekilen ürünler kullanılacak "/>
        <s v="merkezle görüşün der"/>
        <s v="Ahmet Bey 5386028117 öğle molasından gelince aranacak"/>
        <s v="ramazan sonra olabilir dedi "/>
        <s v="devam çekimi eksik ürünler için istedi//TEYİT İÇİN ARANDI GİDİLMEMİŞ İSTİYOR / istemiyor "/>
        <s v="hiç gerek yok dedi "/>
        <s v="Aydınlıkevler mah olarak değişmiş."/>
        <s v="şuan olmaz ramazandan sonra dedi "/>
        <s v="getir yemeği kapattım kullanmıyorum dedi"/>
        <s v="Enes/ 5059721737"/>
        <n v="5.432792703E9"/>
        <s v="Cenazesi varmış tekrar randevu 5309223386 onur beyle iletişime geçilecek // ramazandan dolayı ürün sayım az o yüzden ileri tarih daha iyi olur der//yetkili yarım saat sonra gelir dedi//7 e doğru aranacak//TEYİT İÇİN ARANDI YET YOK"/>
        <s v="bayramdan sonra "/>
        <s v="ancak bayramdan sonra olabilir dedi "/>
        <s v="0352 338 49 09 / Gamze Hanım 5424536897 / Saat 2 gibi aranacak"/>
        <s v="getiri kullanamıyorlarmış şifre vermemiş getir "/>
        <s v="panelde görsel istemiyo"/>
        <n v="5.078193939E9"/>
        <s v="Kendim sizi aramak istiyorum hazırlık yapmam gerek der//hazırlık yapmam gerek ben istediğimde sizlere dönüş yaparım der / sezonu daha açılmamış "/>
        <s v="fotoğraflarıvarmış mail adresine atacak "/>
        <s v="ileride istiyo - ulaşılamadı "/>
        <s v="5548608802/ sabah saatlerinde ara//fotoğrafları kontrol edecek mail verildi - eşi mesut beyden randevu alındı "/>
        <n v="5.426981842E9"/>
        <s v="yetkili öğleden sonra gelecek "/>
        <s v="beni 4 gibi arayın dedi "/>
        <s v="fatma hanım yokmuş daha sonra aranacak // yarın ara//açmadılar/açmadılar/açmadılar/açmadı/ytk yoktu //yarım saat sonra ara//tabelasını değiştirecekmiş 2 hafta sonra arayın randevu oluşturulabilir./ kuryesi yokmuş şuan çekim düşünmüyor "/>
        <s v="3-4 şubesi varmış//getiri kullanmıyormuş"/>
        <s v="çekim gerçekleşmiş ama yüklenmemiş henüz"/>
        <s v="açmadılar// yetkili yok köşk şubesinde dedi"/>
        <s v="devam cekımı"/>
        <s v="şuan müsait değilim dedi yüzüme kapattı"/>
        <s v="5387257052 cep numarası bu ama açmıyor"/>
        <s v="devir aşamasındalarmış"/>
        <s v="ramazan dolayısıyla ürün sayımız az bayramdan sonra gelin dedi "/>
        <s v="öğlen saat 15.00 gibi gelir yetkili dedi  - yetkili şermin hanımdan randevu alındı 05524398892 "/>
        <s v="ne zaman yoğun olacağım belli değil 2-3 tane ürün çıkartırım anca  ben sizlere dedi / yok teşekkür ederim dedi kapattı"/>
        <s v="1AY SONRA arancak- ulaşılamadı "/>
        <s v="1 hafta  sonra aranacak elemanı korona olmuş aynı zamanda menü de değişiklik yapacak  - fırını daha yapılmamış ramazan dan sonra randevu alınabilir / ramazanda kapalı "/>
        <s v="OĞLU SERKAN BEYDEN RANDEVU ALINDI "/>
        <s v="mail atacak "/>
        <s v="60b8fbc42d25bfe8ef11b846 - bu işletmesindeki fotoğrafları kullanmak istiyor "/>
        <s v="haftaya aranacak - ulaşılamadı "/>
        <s v="Hürmet Hanım/yarın arayın ortaklarımla görüşmem lazım dedi\\meşgul//ulaşılmıyor//ben bi konuşuyum yarın yine ara/Fatih Bey 5052920985 bu nodan aranacak "/>
        <s v="yetkili yokmuş daha sonra aranabilri/daha sonra tekrar aranacak"/>
        <s v="Hamdullah bey"/>
        <s v="Şule Hanım"/>
        <s v="tadilat durumumuz var daha sonrası için görüşelim derler. / osman bey gece gelirmiş no da vermediler "/>
        <s v="yetkili yok mart ayında gelirmiş yetkili yurtdışındaymış - 4 gibi arayın dedi "/>
        <s v="açmadı05346678022 aranacak // çekimi yapılmış// devam çekimi için şuan çok yoğunuz 1 ay sonra tekrar arayabilirsiniz."/>
        <s v="20 dk ya arayın gelir dedi - 15 E - OĞLU EMRE BEYDEN RANDEVU ALINDI "/>
        <s v="Burası Cemal Kuşak Corner  omuş randevu alındı "/>
        <s v="12/C"/>
        <s v="Talas/Bahçelievler mahallesinde çekim sağlanacak hedef listede bulamadım randevusu oluşturuldu/3524374422"/>
        <s v="3524374422 / ramazandab bir ay önce gelip çekim yepıldı dedi "/>
        <s v="fotoğrafcı/ feyza yıldırım"/>
        <s v="alındı/TEYİT İÇİN ARANDI GERÇEKLEŞTİ"/>
        <s v="saat 5 gibi ara "/>
        <s v="5425032650-fotoğrafcı hanifi/daha sonrarandv. istedi//yet yok//İLERDE RANDEVU İSTİYOR - ramazanda olabilir dedi / ramazandan sonra dedi "/>
        <s v="yetkili 4 de gelecek "/>
        <s v="15 20 dk sonra"/>
        <s v="5320599603/"/>
        <s v="yarın müsaitlik durumuna göre dönecek bana / haftaya alınabilir "/>
        <s v="Keyifsizim hastayım o yüzden der ileri tarih için de aranmak istemiyor/5449146472göksel/getir yemekten memnun değil istemiyor"/>
        <s v="kendisi çekecekmiş//MÜSAİT DEĞİLMİŞ GEREKTE DUYMUYORMUŞ"/>
        <s v="tadilat var iki işletmede 1 ay sonra tekrardan iletişime geçilecek "/>
        <s v="5fde39ef2a802bc980fc9588 İstanbul Çiğ Köfte, Talas (Mevlana Mah.)"/>
        <s v="alındı//TEYİT İÇİN ARANDI GERÇEKLEŞTİ AMA BEĞENMEMİŞ YETKİLİ BİRİSİİYLE GÖRÜŞMEK İSTİYOR"/>
        <s v="şuan kapalıyım bayramdan sonra dedi "/>
        <n v="5.352380553E9"/>
        <s v="yoğun vakit yok sonra dedi"/>
        <s v="ramazanda kapalıyız diğer ay için tekrar görüşelim"/>
        <s v="meşgul"/>
        <s v="TEYİT İÇİN ARANDI DEVAM ÇEKİMİ  İSTİYOR / 5060658707 Şuan şehir dışındaymış kayseriye geldiğinde arayacak beni devam çekimi randevusu istiyor"/>
        <s v="ramazandan sonra aranacak//şuan   ustası yok daha sonra/yetkili yok okuldaymış- yetkili şehir dışına çıkmış diğer hafta gelir o zaman arayın dedi "/>
        <s v="yetkili yok. - 05326580919"/>
        <s v="biz çok fazla yoğun oluyoruz vakit ayıramayız der"/>
        <n v="5.387603683E9"/>
        <s v="5 ürün çıkarabilirim sadece dedi"/>
        <s v="ahmet bey /5336022597"/>
        <s v="sabah saatlerinde aranacak 10-11 arası "/>
        <s v="mail adresine fotoğrafları atacak - mail adresi verildi tekrardan "/>
        <s v="yetkili yok daha sonra aranacak  / herşeyi anlattım ama istemedi zaten kaba bir adamdı "/>
        <s v="devir etmiş kemal bey "/>
        <n v="5.419716907E9"/>
        <s v="5066990917//akşam vakti/rndvsu 8 ine ertelendi//GERÇEKLEŞMİŞ"/>
        <s v="kardeşi abdullah beyden randevu alındı "/>
        <s v="açmıyor//5370296577verildi randevu istiyor.ama sabah saatlerinde 12den önce  - yoğun olduğum bir vakit yok resinler için ürün çıkartmam dedi / ramazandan sonra istedi "/>
        <s v="eşi nurdane hanım ben sizlere dönüş sağlayacağım dedi / ramazandan sonra istedi "/>
        <s v="sesin gelmiyo diyip yüzüme kapattı//istemiyorlarmış mailden atacaklar"/>
        <s v="ulaşılamadı"/>
        <s v="çalışanı kürşat bey askere gitti nasıl kullanılıyor bu sistem bilmiyorum genel merkezin numarası verildi yarın tekrardan iletişime geçelim dedi "/>
        <s v="numara kullnılmmakta "/>
        <n v="5.385536418E9"/>
        <s v="çekim istemiyor 2 kez erteledi//vaktim yok hemde istemiyorum der//İLERDE ARANIP RANDEVU OLUŞTURULCAK / ramazanda kapalı "/>
        <s v="bayram bey yoğunum sonra arayın dedi"/>
        <s v="1Ay sonra aranacak - 11/ a"/>
        <s v="şuan değil ben sizleri ararım dedi / devir etmiş aranmasın "/>
        <s v="bu numara başkasına ait aranmasın "/>
        <s v="teyit için arandı yet yok"/>
        <s v="5317425685// ürün çıkaramam dedi  "/>
        <s v="yenidoğan mah.timuçin cad no: 14/ C"/>
        <s v="tuğba hnaım b paneli kapattık başka panel üzerinden devam ediyoruz der"/>
        <s v="ulaşılamıyor\\ulaşılamıyor/açmadı - ulaşılamadı "/>
        <s v="getiri kullanmıyormuş "/>
        <s v="yetkili yok"/>
        <s v="TEYİT İÇİN ARANDI 5062352900 VERİDİ AÇMADI//MEŞGÜLE ATTI"/>
        <s v="5071748962 ismail bey //GERÇEKLEMİŞ Devam çekimi alındı"/>
        <s v="öğleden sonra tekrardan iletişime geçilecek "/>
        <s v="yarın tekrar aranacak//mail atacak"/>
        <s v="açmadı  "/>
        <s v="kesıntılerden dolayı getırden cıkmak ıstıyorlar"/>
        <s v="oratağı ile konuşup dönüş sağlayacak  / zaten yoğun çalışıyorum çekimi gerekli görmüyorum dedi "/>
        <s v="meşgul//getirden baktım fotosu var"/>
        <s v="ben kesinlikle çekim istemiyorum dedi "/>
        <s v="dükkan devir aşamasında panelin açılmasını bekliyorum / 2 hafta sonra / o kadar ürünü ben kime satayım ramzandan sonra yapalım dedi "/>
        <s v="leyla 5374006379"/>
        <s v="mail atacak/teyit amaçlı arandı açmadı"/>
        <s v="yetkili gelince dönüş sağlayacak / GÖRÜŞÜP SAAT SÖYLEYECEKLER "/>
        <s v="GERÇEKLEŞMİŞ"/>
        <s v="no çalmıyor"/>
        <s v="fotoğrafcı/ feyza yıldırım - mahalle ismi değişmiş doğru isim takvime yazıldı"/>
        <s v="tarık "/>
        <s v="ramazandan sonra çünkü kapalı / restoran kapanmış "/>
        <s v="tekrar aranacak /fotoğraf çekimi ile ilgilenmiyormuş. / saat 5 gibi tekrar aranacak "/>
        <d v="2022-02-21T00:00:00Z"/>
        <s v="ben o kadar ürünü sizin için çıkaramam dedi "/>
        <s v="sadece dürüm var ramazan sonra hepsini çıkarıp çekersiniz dedi "/>
        <n v="5.551604786E9"/>
        <s v="kardeşi vedat bey sistemde fotoğrafları m var gerek yok çekime dedi "/>
        <s v="şuan elinde tatlı çeşitlerine dair bir şey yokmuş / tatlı satışına haftaya başlıyormuş haftaya gelebilirsiniz dedi "/>
        <s v="nevzat bey : 05061437230"/>
        <s v="selami bey : 05303272195"/>
        <s v="gimat4 sitesi altı "/>
        <s v="çekim düşünmüyoruz dedi çünkü biz başka gönderiyoruz fotoğraf başka oluyor insanlar yanlış anlıyor dedi. sonra biz bi düşünelim ilerde beilki dönüş sağlarız dedi.//açmadı"/>
        <s v="mail atacak - yetkili yok 1 saat sonra gelir o zman tekrardan arayın dedi "/>
        <s v="ben ayarlayıp dönerim dedi / dönüş yapana kadar kesinlikle aranmasın "/>
        <s v="Mehmet Bey 5360612556"/>
        <s v="alındı/GERÇEKLEŞMİŞ"/>
        <s v="sonra aranacak "/>
        <s v="numara çalmıyor"/>
        <s v="butik işletmeyim yoğun olsun istemiyorum,personelim de eksik dedi.Düşünürse dönecek."/>
        <s v="TEYİT İÇİN ARANDI GİDİLMEMİŞ TEKRAR RANDEVU İSTİYOR"/>
        <s v="Yetkili eymen beyden randevu alındı 5375933536"/>
        <s v="demet hanım yetkiliymiş aile restoranı olduğu için hep beraber bi görüşme sağlamam gerek der dönecek gün içinde - biz dönüş sağlıyacağız dedi  / açmadılar / biz gece çalışıyoruz dedi"/>
        <s v="çekimleri gerçekleşmiş "/>
        <s v="franchaise"/>
        <s v="yetkili bu işletme için de randevu talep etti "/>
        <s v="sisteme yüklenmemmiş olabilir ama fotoğraflarım mevcut saolun dedi "/>
        <s v="ali bey : 05528962653"/>
        <s v="müsait değilim öğleden sonra arayın dedi\\fotoğrafları kendi alamadığı için istemiyor kaba davrandı//açmadı"/>
        <s v="Mustafa Bey / Ancak pazar günü sabah müsait olabilirim dedi"/>
        <s v="Sefa Bey 5075557049 "/>
        <s v="sezonu değil dedi / kendi fotoğraflarını göndermiş "/>
        <s v="numara kullanılmıyor"/>
        <s v="zatem yeterince müşterim var gerek yok fotoğrafa dedi "/>
        <s v="ramazandan sonra yapalım dedi "/>
        <s v="Çağatay Bey 5539025891"/>
        <s v="3524378080 ali bey mehmet bey ayrılmış "/>
        <s v="dönecek - tadilat hala sürmekte ben sizlere dönüş sağlarım  dedi "/>
        <s v="mail atcak// teyit amaçlı aradım fotoğrafların gönderimi sağlanacak"/>
        <s v="bayramdan sonra randevulaşalım der//açmadı"/>
        <s v="fotoğrafçı arkadaşımız işten ayrıldığından dolayı çekim sağlanmadı ilerde tekrardan iletişime geçilecek "/>
        <s v="Volkan Bey 5455131866 / devrolmuş artık volkan bey işletiyor"/>
        <n v="5.076106944E9"/>
        <s v="şuan tadilatı var bayramdan sonraya biter "/>
        <s v="fotoğraf/ feyza yıldırım"/>
        <s v="05324536260 eyyüp bey"/>
        <s v="şehir dışındaymış geldiği zaman da getr ile devam etmeyeceklermiş "/>
        <s v="yetkili onur bey : 05539878287 30 dk ya tekrardan aranacak "/>
        <s v="şuan böyle bir talebimiz yok dedi "/>
        <s v="ramazandan sonra randevu oluşturalım dedi//fotoğraf istemiyorum işler yoğun değil şu ara o yüzden dedi//işler daha aÇILMadı o yüzden istemiyorum ilerleyen zamanlarda olur"/>
        <s v="açmadı//açmadı/acmıyor"/>
        <s v="bize dönüş yapacak "/>
        <s v="2-3 gibi aranacak//numara ve mail adresi verildi"/>
        <s v="açmıyor\\açmıyor// açmadı"/>
        <s v="kendisi çekim yapıcak mail adresi verildi gönderşm sağlayacak - gerek kardeşim saol dedi "/>
        <s v="5360351256 salı çarşamba ararsanız iyi olur dedi// fotoğraflarımız var dedi mail atıldı."/>
        <s v="Alpaslan ŞUBESİNDE ÇEKİLECEK"/>
        <s v="elinde ki fotoları atacak kabulo edilmezse tekrar aranıp randevu alınacak"/>
        <s v="fotoğraflar bana verilmiyorsa bende istemiyorum dedi aramayın.//maile atacak"/>
        <s v="yetkili yok öğlden sonra gelir "/>
        <s v="ramazandan sonra olursa dah iyi dedi "/>
        <s v="şuan ürünleri eksik istemiyorlat / menü güncellemsi yapıyorlar "/>
        <s v="ramazandan sonra// Çok ürün çıkaramam elimde kalır 3-4 ürün çekebilirsiniz dedi elindeki fotoğrafları atacak"/>
        <s v="paket servisineağırlık vermek istemiyorum siparişim benim için yeterli "/>
        <s v="meşgul\\açmıyor//açmıyor//açmadı"/>
        <s v="kayıtlı numara yok "/>
        <s v="TEYİT İÇİN ARANDI GERÇEKLEŞMİŞ SİSTEME YÜKLENMEMİŞ"/>
        <s v="hafta pazartesi aransın "/>
        <s v="kampüs içerisi Savaş bey / işletme kapalı kalabilir kendisi dönüş sağlayacak / RAMAZANDAN SONRA "/>
        <s v="numara yanlış"/>
        <s v="ilgilenmiyoruz dedi - patronlarım istemiyorum dedi "/>
        <s v="mailden gönderecek "/>
        <s v="kardeşi büşra hanım  05439571570 RANDEVU ALINDI "/>
        <s v="yetkili müsait değişmiş / yetkili gelince dönüş sağlayacak /05397373871/ ramazandan dolayı paneli kapalı "/>
        <s v="ben sizi ararım dedi / ramazan dolayısıyla getiri açmıyorlar"/>
        <s v="bahattin "/>
        <s v="franchise bir şubeyiz dedi."/>
        <s v="kampüs içerisi Savaş bey"/>
        <s v="size gerek yok ben çeker yüklemesini sağlarım dedi "/>
        <s v="frencheise/ şehzade market karşısı muhammet beyden randevu alındı./1 saat sonra"/>
        <s v="5545778282 emre bey ilgileniyor dedi meşgule attı - çıkacağım diğer hafta tekrardan iletişimre geçelim dah rahat olur dedi  - yetkili babaannem / ramazandan sonra "/>
        <s v="ramazandan sonra//eleman sıkıntısı çekiyor o yüzden istemiyor ben sizle ilerde iletişime geçerim dedi.//taşınma ihtimali varmış daha sonra"/>
        <s v="50 dk sonra arancak/yarın ara//5326930475//elinde mevcut fotoları var ama yine de istedi//GERÇEKLEŞMİŞ"/>
        <s v="aktif değilim ramazandan dolayı ramazandan sonra yapalım dedi "/>
        <s v="05444097295 abdullah bey//mailden atacak//TEYİT AMAÇLI ARANDI ÇOK YOĞUNUM TOPARLANDIĞIM VAKİT ATICAM DEDİ"/>
        <s v="ömer bey çekime gerek yok dedi "/>
        <s v="İptal ettirmek istyormuş Çekim istemiyormuş//kurban bayramından sonra istiyor Necmettin bey / şuan eleman çalıştırmıyorlarmış 2 kişi çalışıyoruz gelirlerse ilgilenemeyiz dedi daha sonra yapalım dedi / daha sonra yapalım dedi "/>
        <s v="açmadı - ulaşılamadı "/>
        <s v="Oğuzhan Özdemir / 5465568908"/>
        <s v="ramazansdan sonra devam çekimi istiyor//öğleden sonra ara müsait değil/açıp kapattı.//GERÇEKLEŞMİŞ"/>
        <s v="yok istemiyoruz onlarla mı uğraşacağız dedi//teyit için arandı yet yok"/>
        <s v="saat 3 gibi arayın yetkili gelir dedi / yetkili şehir dışında "/>
        <s v="hatalı numara "/>
        <s v="yetkili zübeyde hanımdan randevu alındı "/>
        <s v="ramazanda kapalıyız bayramdan sonra dedi "/>
        <s v="9 hazirana ertelendi randevusu//GERÇEKLEŞMİŞ FOTOĞRAFLAR YÜKLENMEMİŞ"/>
        <s v="yetkili ayhan bey yokmuş gelince dönecek - 12 gibi arayın dedi  - yetkili 14.30 da gelir o zman arayın dedi   - işletme müdürü ergül hanım diğer şubesinde ki yetkili selim bey 03525043090 selim beyle görüşebilirsiniz dedi "/>
        <s v="diğer haftaya randevuyu erteletmek istiyor.// taşıma işlemleri var numara verildi kendisi geri dönüş yapacak"/>
        <s v="farklı bir şubesi daha varmış ama menü güncelliyormuş numaramı da zaten kaydetmiş güncelleyince dönecek"/>
        <s v="işletme kısa süreli aktif değil bi süre açılmayacak"/>
        <s v="5061133755 / devam çekimi alındı "/>
        <s v="3524315002/5395435508"/>
        <s v="yetk. gelnce arayacak/ açmadı//3 4 gibi gelir/açmadılar\\2-3 ara/numara verilde geri dönüş yapacaklar//2-3 saat sonra geliler dedi//4-5 gib gelir dedi"/>
        <s v="pazartesi uygun değilim başka gün dedi / ramaandan sonra olabilir dedi "/>
        <s v="unun için tüm ürünleri çıkarmam lazım dedi daha sonra bir görüşelim dedi "/>
        <s v="fotoğrafları var mı kontrol edecek yoksa  dönecek//mail verildi foto var / bayramdan sonra "/>
        <s v="Hakan Bey "/>
        <s v="Kübra Hanım 1 saat sonra aranacak/panallerı kapalı"/>
        <s v="kendi fotoğrafım var dedi mail adresi verildi "/>
        <s v="devam çekimi//devam çekimi 14 nisanda oluşturulmuş fakat çekim yapılmamış yeniden randevu oluşturuldu//TEYİT İÇİN ARANDI GİDİLMEMİŞ İLERDE İSTİYOR"/>
        <s v="ben sizlere dönüş sağlıyacağım dedi "/>
        <s v="TEYİT İÇİN ARANDI GERÇEKLEŞTİ EKSİK ÜRÜNLER VAR ÜMİT BEYLE TEKRARDA GÖRÜŞÜN"/>
        <s v="1 saat sonra arancak  "/>
        <s v="TEYİT İÇİN ARANDI AÇMADI//AÇMADI / 1 saat sonra araesanız net cevap veririm dedi /çekım ıstemıyoruz dedı"/>
        <s v="eşi oktay beyden randevu alındı "/>
        <s v="Numara çalmıyor "/>
        <s v="kendisi döncek/05447184737 dilara hanım cep ama açmadı//babası yılmaz beyle görüşüldü fotoğrafların olduğunu söyledi sistemde çıkmadığı için kontrol sağlayamadım"/>
        <s v="donus saglıycaklr getırı fazla kullanmıorlar - getiri kullanacağım zaman ben sizlere dönüş sağlarım "/>
        <s v="ramazandan sonre "/>
        <s v="mail atacak//yetkili yok - mail adresi verildi ben kendim yüklerim çekim istemiyorum dedi "/>
        <s v="SUAN ICIN CEKIM ISTEMIORUZ DEDI"/>
        <s v="numara yanlış "/>
        <s v="Randevu sadece ramazandan sonra olsun istiyorum israf edemem diyor./3 hafta sonra aranacak yeni açıldk dediler"/>
        <s v="müsait değilmiş 7 patronla göüşüp dönüş yapacaklar / bayramdan sonra istedi "/>
        <s v="burası market mustafa beyin olduğu şube nosunu ve cep no sunu bilmiyorlar "/>
        <s v="TEYİT İÇİN ARANDI GİDİLMEMİŞ İSTEMİYOR"/>
        <s v="şu anda tostları tek tek hazırlayamayız diyor"/>
        <n v="5.303965008E9"/>
        <s v="öğleden sonra dönüş sağlayın dedi yoğunuz dedi//FOTOLAR PAYLAŞILMADIĞI İÇİN KONUŞUP KARAR VERCEKLER///tekrar aranacak ilerleyen zamanda"/>
        <s v="Görkem - ürünleri sabit olmadığı için kendi prof. kamerasından çekip gönderecek"/>
        <n v="5.301173304E9"/>
        <s v="mail atacak//mail adresini kontrol etcek beş dakika sonra arancak- yetkili bugün izinli yarın arayın dedi "/>
        <s v="alındı.//YET YOK 1GİBİ GELİR/panelde fotograflar var"/>
        <s v="1 hafta sonra arayın burda olmayacağım dedi -ne zaman müsait olurum belli değil ürün hazırlıyorum şuan müsait değilim dedi / ramazandan sonra istedi "/>
        <s v="ben sizlere dönüş sağlarım dedi "/>
        <s v="kendisi isterse dönecek  - paket servise ağırlık vermiyoruz bu şekilde iyi dedi "/>
        <n v="5.378905143E9"/>
        <s v="açmadılar\\yetkili 11.30 gibi gelirmiş./ramazandan sonra arayın/2 hafta sonra arayın dediler - kendisi gelince ben arattırırım dedi "/>
        <s v="yetk.yok//açmadı//açmadı/bayramdan sonra arayın dedi\açmıyor/ açmadı//5dak//5-10 dak// müsait değilim ne zaman müsait olcağım da belli olmaz dedi. / şuan çok yoğunum elemanım da yok o kadar ürünü çıkaramam dedi "/>
        <s v="TEKRAR ARADIM GETİRDEN SİPARİŞ GELMİYOR ÇEKİM İSTEMİYOR/komisyon fazla alınıyomuş gerek yok dedi//GETİRDEN SİPARİŞ GELMİYOR ÇEKİM İSTEMİYOR/5549622469"/>
        <s v="mail atacak//GÖNDERMİŞ"/>
        <s v="yarın arayın kendisi burda olur dedi / 5333767915 yahya bey "/>
        <s v="mail atacakmış "/>
        <n v="5.309566464E9"/>
        <s v="hat meşgul "/>
        <s v="eşinin numarası : 5330356904"/>
        <s v="yarın gün içinde arancak murat bey yokmuş.//meşgul/05313954747 yetkili kişi kendi çektiği fotografları mail atmış"/>
        <s v="merkezden çekim istiyorlar "/>
        <s v="5527520299/ salim bey /Fotoğrafçı Hanifi KAtı //12 den sonra gelir yetkili//TEYİT İÇİN ARANDI YET YOK 12GİBİ GELİR / daha önce iki kere randevu alınmış gidilmemiş şuan da istemiyor "/>
      </sharedItems>
    </cacheField>
    <cacheField name="Randevu Alma &#10;Tarihi" numFmtId="0">
      <sharedItems containsDate="1" containsString="0" containsBlank="1">
        <m/>
        <d v="2022-03-07T00:00:00Z"/>
        <d v="2021-06-02T00:00:00Z"/>
        <d v="2022-02-17T00:00:00Z"/>
        <d v="2022-02-11T00:00:00Z"/>
        <d v="2022-01-10T00:00:00Z"/>
        <d v="2022-02-22T00:00:00Z"/>
        <d v="2022-01-27T00:00:00Z"/>
        <d v="2022-02-14T00:00:00Z"/>
        <d v="2021-04-01T00:00:00Z"/>
        <d v="2022-02-04T00:00:00Z"/>
        <d v="2022-03-01T00:00:00Z"/>
        <d v="2022-01-25T00:00:00Z"/>
        <d v="2022-03-25T00:00:00Z"/>
        <d v="2022-02-07T00:00:00Z"/>
        <d v="2022-02-25T00:00:00Z"/>
        <d v="2021-04-15T00:00:00Z"/>
        <d v="2021-06-08T00:00:00Z"/>
        <d v="2022-02-02T00:00:00Z"/>
        <d v="2022-02-19T00:00:00Z"/>
        <d v="2021-04-07T00:00:00Z"/>
        <d v="2021-10-11T00:00:00Z"/>
        <d v="2021-06-15T00:00:00Z"/>
        <d v="2022-03-21T00:00:00Z"/>
        <d v="2022-03-23T00:00:00Z"/>
        <d v="2021-06-11T00:00:00Z"/>
        <d v="2021-05-28T00:00:00Z"/>
        <d v="2022-02-01T00:00:00Z"/>
        <d v="2022-03-03T00:00:00Z"/>
        <d v="2022-03-28T00:00:00Z"/>
        <d v="2022-02-03T00:00:00Z"/>
        <d v="2022-04-25T00:00:00Z"/>
        <d v="2022-03-15T00:00:00Z"/>
        <d v="2022-04-18T00:00:00Z"/>
        <d v="2022-03-18T00:00:00Z"/>
        <d v="2021-04-06T00:00:00Z"/>
        <d v="2022-03-09T00:00:00Z"/>
        <d v="2022-01-17T00:00:00Z"/>
        <d v="2021-04-19T00:00:00Z"/>
        <d v="2022-02-18T00:00:00Z"/>
        <d v="2022-02-28T00:00:00Z"/>
        <d v="2022-03-30T00:00:00Z"/>
        <d v="2022-02-09T00:00:00Z"/>
        <d v="2021-03-30T00:00:00Z"/>
        <d v="2022-02-08T00:00:00Z"/>
        <d v="2021-06-23T00:00:00Z"/>
        <d v="2022-02-26T00:00:00Z"/>
        <d v="2021-04-14T00:00:00Z"/>
        <d v="2021-05-11T00:00:00Z"/>
        <d v="2022-03-24T00:00:00Z"/>
        <d v="2022-03-22T00:00:00Z"/>
        <d v="2021-06-14T00:00:00Z"/>
        <d v="2022-01-26T00:00:00Z"/>
        <d v="2022-03-08T00:00:00Z"/>
        <d v="2021-06-07T00:00:00Z"/>
        <d v="2022-04-11T00:00:00Z"/>
        <d v="2021-04-20T00:00:00Z"/>
        <d v="2022-02-16T00:00:00Z"/>
        <d v="2022-04-22T00:00:00Z"/>
        <d v="2022-04-28T00:00:00Z"/>
        <d v="2022-03-04T00:00:00Z"/>
        <d v="2022-01-18T00:00:00Z"/>
        <d v="2022-04-15T00:00:00Z"/>
        <d v="2022-03-14T00:00:00Z"/>
        <d v="2021-03-29T00:00:00Z"/>
        <d v="2022-03-29T00:00:00Z"/>
        <d v="2022-02-21T00:00:00Z"/>
        <d v="2022-03-12T00:00:00Z"/>
        <d v="2022-04-27T00:00:00Z"/>
        <d v="2022-04-19T00:00:00Z"/>
        <d v="2022-03-16T00:00:00Z"/>
        <d v="2021-04-16T00:00:00Z"/>
        <d v="2022-03-02T00:00:00Z"/>
        <d v="2021-03-12T00:00:00Z"/>
        <d v="2022-01-29T00:00:00Z"/>
        <d v="2021-06-04T00:00:00Z"/>
        <d v="2022-01-28T00:00:00Z"/>
        <d v="2022-02-23T00:00:00Z"/>
        <d v="2021-04-09T00:00:00Z"/>
        <d v="2022-02-15T00:00:00Z"/>
        <d v="2022-03-17T00:00:00Z"/>
        <d v="2021-05-31T00:00:00Z"/>
        <d v="2022-03-11T00:00:00Z"/>
        <d v="2021-04-22T00:00:00Z"/>
        <d v="2021-06-01T00:00:00Z"/>
        <d v="2021-04-13T00:00:00Z"/>
        <d v="2022-04-12T00:00:00Z"/>
        <d v="2021-06-03T00:00:00Z"/>
        <d v="2022-01-11T00:00:00Z"/>
        <d v="2021-06-18T00:00:00Z"/>
        <d v="2022-01-31T00:00:00Z"/>
        <d v="2021-04-26T00:00:00Z"/>
      </sharedItems>
    </cacheField>
    <cacheField name="Randevu &#10;Tarihi" numFmtId="0">
      <sharedItems containsDate="1" containsString="0" containsBlank="1">
        <m/>
        <d v="2022-03-07T00:00:00Z"/>
        <d v="2021-06-04T00:00:00Z"/>
        <d v="2022-02-18T00:00:00Z"/>
        <d v="2022-02-14T00:00:00Z"/>
        <d v="2022-01-11T00:00:00Z"/>
        <d v="2022-02-23T00:00:00Z"/>
        <d v="2022-01-28T00:00:00Z"/>
        <d v="2022-03-08T00:00:00Z"/>
        <d v="2021-04-06T00:00:00Z"/>
        <d v="2022-02-10T00:00:00Z"/>
        <d v="2022-03-28T00:00:00Z"/>
        <d v="2022-02-25T00:00:00Z"/>
        <d v="2022-01-26T00:00:00Z"/>
        <d v="2022-02-07T00:00:00Z"/>
        <d v="2022-02-28T00:00:00Z"/>
        <d v="2021-04-21T00:00:00Z"/>
        <d v="2021-06-10T00:00:00Z"/>
        <d v="2022-02-03T00:00:00Z"/>
        <d v="2022-02-21T00:00:00Z"/>
        <d v="2022-02-11T00:00:00Z"/>
        <d v="2021-04-09T00:00:00Z"/>
        <d v="2021-10-12T00:00:00Z"/>
        <d v="2021-06-18T00:00:00Z"/>
        <d v="2022-03-22T00:00:00Z"/>
        <d v="2022-03-25T00:00:00Z"/>
        <d v="2021-06-14T00:00:00Z"/>
        <d v="2021-06-01T00:00:00Z"/>
        <d v="2022-02-02T00:00:00Z"/>
        <d v="2022-03-04T00:00:00Z"/>
        <d v="2022-04-01T00:00:00Z"/>
        <d v="2022-04-27T00:00:00Z"/>
        <d v="2022-03-21T00:00:00Z"/>
        <d v="2022-04-18T00:00:00Z"/>
        <d v="2021-04-08T00:00:00Z"/>
        <d v="2022-03-10T00:00:00Z"/>
        <d v="2021-04-20T00:00:00Z"/>
        <d v="2022-01-18T00:00:00Z"/>
        <d v="2021-04-23T00:00:00Z"/>
        <d v="2022-02-15T00:00:00Z"/>
        <d v="2022-02-22T00:00:00Z"/>
        <d v="2022-04-13T00:00:00Z"/>
        <d v="2022-03-03T00:00:00Z"/>
        <d v="2022-03-01T00:00:00Z"/>
        <d v="2021-04-16T00:00:00Z"/>
        <d v="2022-02-08T00:00:00Z"/>
        <d v="2021-04-01T00:00:00Z"/>
        <d v="2021-05-31T00:00:00Z"/>
        <d v="2022-02-09T00:00:00Z"/>
        <d v="2021-06-25T00:00:00Z"/>
        <d v="2022-03-15T00:00:00Z"/>
        <d v="2021-05-17T00:00:00Z"/>
        <d v="2022-03-23T00:00:00Z"/>
        <d v="2021-06-15T00:00:00Z"/>
        <d v="2022-01-27T00:00:00Z"/>
        <d v="2022-03-29T00:00:00Z"/>
        <d v="2022-03-09T00:00:00Z"/>
        <d v="2021-06-09T00:00:00Z"/>
        <d v="2022-04-12T00:00:00Z"/>
        <d v="2021-04-22T00:00:00Z"/>
        <d v="2022-02-17T00:00:00Z"/>
        <d v="2022-02-24T00:00:00Z"/>
        <d v="2022-02-04T00:00:00Z"/>
        <d v="2022-04-25T00:00:00Z"/>
        <d v="2022-04-29T00:00:00Z"/>
        <d v="2022-04-26T00:00:00Z"/>
        <d v="2021-06-16T00:00:00Z"/>
        <d v="2022-03-02T00:00:00Z"/>
        <d v="2022-04-24T00:00:00Z"/>
        <d v="2021-03-30T00:00:00Z"/>
        <d v="2022-03-14T00:00:00Z"/>
        <d v="2022-04-28T00:00:00Z"/>
        <d v="2022-04-20T00:00:00Z"/>
        <d v="2022-03-17T00:00:00Z"/>
        <d v="2022-03-24T00:00:00Z"/>
        <d v="2022-02-01T00:00:00Z"/>
        <d v="2021-06-08T00:00:00Z"/>
        <d v="2022-01-31T00:00:00Z"/>
        <d v="2022-01-04T00:00:00Z"/>
        <d v="2021-04-05T00:00:00Z"/>
        <d v="2022-01-20T00:00:00Z"/>
        <d v="2021-04-13T00:00:00Z"/>
        <d v="2022-02-16T00:00:00Z"/>
        <d v="2022-03-18T00:00:00Z"/>
        <d v="2021-06-03T00:00:00Z"/>
        <d v="2022-03-16T00:00:00Z"/>
        <d v="2021-04-28T00:00:00Z"/>
        <d v="2021-03-31T00:00:00Z"/>
        <d v="2021-04-07T00:00:00Z"/>
        <d v="2021-04-15T00:00:00Z"/>
        <d v="2021-06-07T00:00:00Z"/>
        <d v="2021-04-19T00:00:00Z"/>
        <d v="2022-04-23T00:00:00Z"/>
        <d v="2021-06-24T00:00:00Z"/>
        <d v="2022-03-11T00:00:00Z"/>
        <d v="2021-04-29T00:00:00Z"/>
      </sharedItems>
    </cacheField>
    <cacheField name="Anket&#10;Durum" numFmtId="0">
      <sharedItems containsBlank="1">
        <m/>
        <s v="Hemen Randevu İstiyorum"/>
        <s v="Fotoğraflarım Var"/>
        <s v="İleride Randevu İstiyorum"/>
      </sharedItems>
    </cacheField>
    <cacheField name="1. Arama" numFmtId="0">
      <sharedItems containsBlank="1">
        <s v="Ulaşılamadı"/>
        <s v="Dönüş Yapacak"/>
        <s v="Görüşüldü"/>
        <m/>
        <s v="Tekrar Aranacak"/>
        <s v="Yetkili Yok"/>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279" sheet="Hedef Liste"/>
  </cacheSource>
  <cacheFields>
    <cacheField name="Restaurant ID" numFmtId="0">
      <sharedItems>
        <s v="5ff2f522e5886ade7f95c664"/>
        <s v="60476b283ca27400207fbf26"/>
        <s v="609523a9cdfc10ad229f0016"/>
        <s v="5fdc980a677179fbcebca723"/>
        <s v="5fd2434c74b885204e058ea7"/>
        <s v="61e903e12f86de2d69cd7435"/>
        <s v="60e4210f3dc05857257bd751"/>
        <s v="61b8d603e492d21fa9d22c12"/>
        <s v="61bc76b2cfa49e2f7163db46"/>
        <s v="620bd78cdf3d594c19d20b28"/>
        <s v="6130c94e1e3f4b837f22a193"/>
        <s v="6110430691aca476a6279eb4"/>
        <s v="61a8d5d02c33a9fb4f2e0b8e"/>
        <s v="61e14231e2b19c723200d4aa"/>
        <s v="61f8203ce7f2725c65d56b31"/>
        <s v="5fdb9cf9521daf8d68679514"/>
        <s v="6166e31190a1b0c4cdd796d7"/>
        <s v="61cc7a6ed0f64b3ca7a85762"/>
        <s v="5fda06ff8e3739fd3a13204a"/>
        <s v="60e5b7c557031a248f0d2c1c"/>
        <s v="6227a4948eff0032b06d42b7"/>
        <s v="5fda0d214a5aa19b40da7467"/>
        <s v="6192251d4e902f570f793b74"/>
        <s v="623e17df82283e1aa18ccb06"/>
        <s v="61f822875bb75953ca722175"/>
        <s v="614a1fd8ade6451dc4787606"/>
        <s v="6006a6da3c42003af6bef424"/>
        <s v="614a1ab51cc882677b63dd31"/>
        <s v="60422696b826f0d63b306be6"/>
        <s v="61bc6fe34ae455c0386d1bf4"/>
        <s v="61fc2d91b572d22bc0a6acfe"/>
        <s v="61a8dcde392c8abc8fb07615"/>
        <s v="6242271b4adec638e6f07a11"/>
        <s v="618a7701adfb063b750bb16a"/>
        <s v="61d53a98874a59f37ed67c4c"/>
        <s v="610d27657ea705a07e2d4b6c"/>
        <s v="5fdb2adb1e128f82cb8143c9"/>
        <s v="5fda33ef2eff062b2f202ec3"/>
        <s v="61a8d8e82c7e5b4d44e5e19f"/>
        <s v="5fd3687e373158a727a55d19"/>
        <s v="5fd62e55e1bbde69651130d5"/>
        <s v="6040a80fa64e330bc44e2965"/>
        <s v="62276346c6158d1ea0c8f1f4"/>
        <s v="5ff32040ee0f721a2ea8e2c2"/>
        <s v="617fb86313c1432da8d083af"/>
        <s v="607eea6f5d6f24b7c39d97ad"/>
        <s v="61c4f43a8fa144fc1c51e4e7"/>
        <s v="60e4616f013efed83d8a3623"/>
        <s v="60ec00a213140085b57b3e85"/>
        <s v="6156dc7ce1feb74499d69501"/>
        <s v="61d563a0b2d3e01f4016aa8a"/>
        <s v="5ff49fd7f0267c0c9c146509"/>
        <s v="61c9c23fd8a7637c2329c94d"/>
        <s v="5fd22d23da5e216be008e307"/>
        <s v="616007115e2ddfecae83e3f7"/>
        <s v="607d9ab041375f5f5dd89094"/>
        <s v="5fd35e75d0cd4b74a1538d1a"/>
        <s v="61caf53dab56abfc5c9ff680"/>
        <s v="61bde2ce8cdd9479f51c8d2b"/>
        <s v="61e90a900dd67f91d7076e54"/>
        <s v="61f2d139e82b61735e4c6282"/>
        <s v="5ffc3779f11235c874af955c"/>
        <s v="5feae4334f55ab51149d0c40"/>
        <s v="60c4d7641c70c80e683d063c"/>
        <s v="60e41b0a12b96a79c9478889"/>
        <s v="60b912e01a727901c7f1ebd0"/>
        <s v="622f51e84d8a31861996c467"/>
        <s v="5fe5ae8f8d4d71316bae18bc"/>
        <s v="5fd9ce23a908bd05347a38a3"/>
        <s v="60a658460328fd47f789e62f"/>
        <s v="60e5d8d54a0c29934b6d658f"/>
        <s v="61c1c391e2ed2feb24ca6538"/>
        <s v="62306320bbd66e817d8d1a9d"/>
        <s v="6113fa315c3a357bd2e9a2be"/>
        <s v="6228fa0f5405c88c6ce4d2e1"/>
        <s v="614a34058e1b3e1c5aa6ae65"/>
        <s v="603c90f487fccf3820d4f8d6"/>
        <s v="611b756be8611e47b811b7da"/>
        <s v="6042129a27aa2008ce59b5fd"/>
        <s v="6094e834ddbd4462ce8d91bf"/>
        <s v="623100b1c321a81edff22787"/>
        <s v="60cae32bcbd319155babfccb"/>
        <s v="61c46e95b77575039df5c095"/>
        <s v="5fdb614589603399c7eea587"/>
        <s v="5fde26cf3587c378d752ded5"/>
        <s v="61e679ffb6b550161120e288"/>
        <s v="6110352fc45dd7a3a64c34e9"/>
        <s v="5fd0f9fbe4047ebc90fd04fb"/>
        <s v="6050762ddee5d7669530ece5"/>
        <s v="618258fdf5a47d6029f8ca78"/>
        <s v="6156d9cc14c72121121df298"/>
        <s v="5ff33c7fe5886a195295edc8"/>
        <s v="624df837082708cf65bb813b"/>
        <s v="612256ed7c71942690d4ac79"/>
        <s v="5fe47960d4987a7f7dfbd969"/>
        <s v="5fe0aee324561e4ad095f57a"/>
        <s v="61b75528ace1b18965e175e4"/>
        <s v="6166928399ad5ecd1c9d19c0"/>
        <s v="61fac54e5f067722ca188bd1"/>
        <s v="5fdb71965504790fd0da52a7"/>
        <s v="623b93df4473ae35e6fb39b3"/>
        <s v="6221d580207163759893531f"/>
        <s v="62179bc13f4f3bf18f196992"/>
        <s v="6189275b420dd38d85f34f31"/>
        <s v="5feb2ebb0e63fedc83cb0eec"/>
        <s v="5feb2b2d87a63b21c8326d81"/>
        <s v="5fe369c30345d26c817fe449"/>
        <s v="603cce4e1e5134cdd033d250"/>
        <s v="5fe1e2add3f42b18b3af05f9"/>
        <s v="611bbce500756403183648d6"/>
        <s v="622fb7e25b3d4a31a21fda02"/>
        <s v="61b9e35c7baa1012960acf4c"/>
        <s v="623e09016a101873c684e4b3"/>
        <s v="5fdcd225afe7b1b94ed2ecaf"/>
        <s v="61efe72d7185bb44d441ecb3"/>
        <s v="6198ff3f836d44c668b8c8c7"/>
        <s v="6113b7eb4fd7ef49dde24021"/>
        <s v="6048ba6a118621c60bc39af6"/>
        <s v="5ffc0bdcf11235d0feaf8a5c"/>
        <s v="602d3736c20d04e6675030ca"/>
        <s v="6166ce9b567bc34ba4641825"/>
        <s v="60019a4fd0f3ba0272100f9f"/>
        <s v="624697f53f7f082be9f10786"/>
        <s v="61102d97ef593b2b59dda807"/>
        <s v="607d7c1ede7ecf2fc7a531b6"/>
        <s v="604be1a11bdb7fb44820b0be"/>
        <s v="61f11ea7593bfcc345b88d63"/>
        <s v="61e90f3379045e78971984ee"/>
        <s v="625163fb302e12731445a7ad"/>
        <s v="6231046ec789917bfb412e12"/>
        <s v="60e5c1c26ce46d2ac41405f2"/>
        <s v="60f00e7e9b2a2c36bfddc821"/>
        <s v="62310da72d88d03040a40570"/>
        <s v="60c86bb0f07269c7992f0467"/>
        <s v="604b567f93656d42c8b6924c"/>
        <s v="60081426f5c83e4e6791142f"/>
        <s v="61d534b85e55ea3ebd885f0f"/>
        <s v="6231888595feff3252d94ea9"/>
        <s v="6253345fcdcc3477eda1a6bf"/>
        <s v="6234ed4ea93c3db47441fea2"/>
        <s v="62486cdf3a20a93829c09a48"/>
        <s v="6252af035d104623e86c0235"/>
        <s v="6252c3051cfdec228a710421"/>
        <s v="61de993390c39bd0edd1cbf0"/>
        <s v="5fda2b5c700b9be9df4950a6"/>
        <s v="615bfc3c91ce4235d8aec47b"/>
        <s v="604370f11e89a9128d665864"/>
        <s v="60a63dfd07150696af332ad2"/>
        <s v="619627f8836d444fb7528395"/>
        <s v="5fe2fa620345d282cc7fd2d5"/>
        <s v="61102fa21d32018d57df116d"/>
        <s v="5fdb4a83b62a1d4aa38182e9"/>
        <s v="5ff731f3bb116173ba759981"/>
        <s v="61b281ebb212cb2568928392"/>
        <s v="5fd88b8f4304e6a50bca03b8"/>
        <s v="5fd888eb4d587052641b84f8"/>
        <s v="5fd88ce34d58709ff41b8589"/>
        <s v="6065b2013fba85dfdc2c193d"/>
        <s v="61bdaf49edd604b108c4cba5"/>
        <s v="61e9077694bbb724ccfe1d18"/>
        <s v="614ce39769ae304a46a08c7c"/>
        <s v="5fe5ee78ad8a38103124db30"/>
        <s v="5fdb39278960330c8ceea394"/>
        <s v="5ffc7a5e937d1b9078bd54a7"/>
        <s v="5fdb15dd03d1e67e93e0600e"/>
        <s v="60069d335e157f504ed866e4"/>
        <s v="6207a3387b919d6755b914e3"/>
        <s v="607ebf7a58e435a36e986b72"/>
        <s v="61bc6a5db9af94342346ed52"/>
        <s v="617fafa30941d28381502b51"/>
        <s v="5fd38a6114bd88195baa95ec"/>
        <s v="6220ab5a1c94713e4fac66c1"/>
        <s v="5fd0924b16bc584b48db4e98"/>
        <s v="617005ea2b05cb2d0aef02cf"/>
        <s v="61ba0ad927cfce11874fcdb2"/>
        <s v="6223a7c10067fda63c3dbfef"/>
        <s v="6048c4c027aa2031315b8e93"/>
        <s v="61150b912d648c8effdd0210"/>
        <s v="620795f422f881779b40534c"/>
        <s v="62533f22164c070fa0696101"/>
        <s v="61b8de46b9af94c8c4ae7636"/>
        <s v="6228a106776ec6174363cbd0"/>
        <s v="61b73f50c352a1f4c5bca83c"/>
        <s v="6228a59177bf6aca6a983162"/>
        <s v="61b73b29c352a1c182bb96b1"/>
        <s v="6228a8674670d9757c9621d8"/>
        <s v="61b73caa307ae554dad244aa"/>
        <s v="6196614e2b421d3fbde1d0b8"/>
        <s v="61c445796ad39c8085a33420"/>
        <s v="622fad7d86911f6481164b46"/>
        <s v="5fe1c0b56ce3dd9f37cfd74d"/>
        <s v="6233900c8cfe1e7c68d57c60"/>
        <s v="5feaf45adc26c732aad052c0"/>
        <s v="623efe4fee9d439f3d670376"/>
        <s v="5fcfd64e40fbdb8962745940"/>
        <s v="62338d248ae6262839d64241"/>
        <s v="617001f241c58959fc76d760"/>
        <s v="6177cfe5e69f8b6e96608384"/>
        <s v="6177d13cad67cfdae628e600"/>
        <s v="61be02cdab91f507233807f1"/>
        <s v="5fd5e388cba35d420dd1898e"/>
        <s v="623240e8a018803c5e12a2f5"/>
        <s v="625ac89f3987772e723f3209"/>
        <s v="61f2cf6a0c08b5659373c751"/>
        <s v="6231849de64f28ea2d727f96"/>
        <s v="61c1a9e0683d374090f0c09a"/>
        <s v="61e680ee2d69d30b2b933ff9"/>
        <s v="5fea19c5e97c0d573cd0f99e"/>
        <s v="5ff72602e348f64d26a1cde3"/>
        <s v="608016cba1b8bed169d62760"/>
        <s v="6227614b45c0dc2135c244ef"/>
        <s v="624b32d790f7c3ea21b06625"/>
        <s v="621793a4f6a8cabdecc9e78b"/>
        <s v="5fd62ba19685d478b8ef41ff"/>
        <s v="5ff9b9d9b765dd641db09ab1"/>
        <s v="5ff478dcce622f8f63cd4b60"/>
        <s v="624bfdcdb9d1df3812d1c5e5"/>
        <s v="620bdcf587b2af72789c83fc"/>
        <s v="6254854a13747771da526820"/>
        <s v="6019637aa9c5cf9665c50d65"/>
        <s v="5fec84f1333ef59d50af42eb"/>
        <s v="6156d69a3f7ee81e0f44f3f3"/>
        <s v="5fd892204d8cc04fbb7f3fae"/>
        <s v="5fd88f8043e70230231acefd"/>
        <s v="5fd893afd92b42038db945c8"/>
        <s v="60e423824c4404836a677c6e"/>
        <s v="603e1a51bd73dd8c09e659d1"/>
        <s v="6108ffc2ca892c6f147c61e4"/>
        <s v="624b264b18048df4d7acb977"/>
        <s v="61b9fc813b26a224b120d224"/>
        <s v="625189c0fd90594ce43e9da4"/>
        <s v="6196581b0b5c73f036cc88e4"/>
        <s v="60b6530f8d4a686d59845387"/>
        <s v="6252b5c6df13af24f1c81211"/>
        <s v="624870e0b1916d6dfccc54d0"/>
        <s v="6220c26a86b42d7213d2b11d"/>
        <s v="6254881f9d7cd3a4906d74ee"/>
        <s v="5fddfc12fdea333ff4dec27b"/>
        <s v="607eb8b5d384d4a611d37047"/>
        <s v="625489eb164c07e77d98574d"/>
        <s v="61d566bc0e3cdd36fd5e240d"/>
        <s v="60b8fbc42d25bfe8ef11b846"/>
        <s v="619a39df8ba522fe788fcdb2"/>
        <s v="62324ed08fc9bb5cdc9380fd"/>
        <s v="6238d1d9f3920243e967ec30"/>
        <s v="617159c388c63b1606443529"/>
        <s v="5ff348fe3458677f85478293"/>
        <s v="60f004239808020427fe55ae"/>
        <s v="61bca70d381129e96f95cb24"/>
        <s v="60e2ca0165e5e1fe12ccf762"/>
        <s v="61bcaf426d012a2324cb49fc"/>
        <s v="60a8e5abf15cb1d6b1717ac7"/>
        <s v="60e5c92f4fc59a83b552aff2"/>
        <s v="5fe0c7910a229935fa90f782"/>
        <s v="6228bfb42b92aee6b5f7fb05"/>
        <s v="61eff4a399a8885d0e11e9f1"/>
        <s v="6223b823602e78378b53f391"/>
        <s v="61f81e8c298e233419bfa795"/>
        <s v="614ce109d712ac3c011ed967"/>
        <s v="6040c8793f01ac892e83abd9"/>
        <s v="6220b4e6cd3459997386df5b"/>
        <s v="5fcfd488f6dd3a5bc82596bd"/>
        <s v="5fcfd35e16bc5879a1db4701"/>
        <s v="5fe5c275ce622f0674cb33d9"/>
        <s v="60408eecc6abf4ac0ae09798"/>
        <s v="6233555f84f29c03cecb0138"/>
        <s v="62221fb8c2d3fbc67036e7f5"/>
        <s v="61facd325c09deef5617438c"/>
        <s v="623e0ddfe670bce4ddf3e323"/>
        <s v="6180e4008add790da7dcf398"/>
        <s v="5ffc472a68b4947f398ee949"/>
        <s v="6113f725b13ec61925f5e54a"/>
        <s v="6234967e32f2290ae9fd400a"/>
        <s v="60ad0859cae63695d9f32423"/>
        <s v="61f1181b192409248a45d484"/>
        <s v="601aadb23740f15bd4a0c843"/>
        <s v="616697bb638d1fef7191fdb2"/>
        <s v="622755b4ad4d95515f0188b7"/>
      </sharedItems>
    </cacheField>
    <cacheField name="Restoran&#10;Adı" numFmtId="0">
      <sharedItems>
        <s v="@'li Burger, Melikgazi (Fatih Mah.-İldem)"/>
        <s v="1991 Tarihi Ortaköy Kumpircisi, Talas (Mevlana Mah.)"/>
        <s v="Abadan Cafe &amp; Restaurant &amp; Baklava, Kocasinan (Yeşil Mah.)"/>
        <s v="Abamın Yeri, Talas (Mevlana Mah.)"/>
        <s v="Aboww Pizza Talas (Mevlana Mah.)"/>
        <s v="Acıyaman Çiğ Köfte, Kocasinan (Sahabiye Mah.)"/>
        <s v="Acıyaman Çiğ Köfte, Melikgazi (Bahçelievler Mah.)"/>
        <s v="Acıyaman Çiğ Köfte, Melikgazi (Fatih Mah.-İldem - 2354. Sok.)"/>
        <s v="Acıyaman Çiğ Köfte, Melikgazi (Fatih Mah.-İldem)"/>
        <s v="Acıyaman Çiğ Köfte, Melikgazi (Kılıçaslan Mah.)"/>
        <s v="Acıyaman Çiğ Köfte, Melikgazi (Köşk Mah.)"/>
        <s v="Acıyaman Çiğ Köfte, Melikgazi (Yeşilyurt Mah.-İldem)"/>
        <s v="Acıyaman Çiğ Köfte, Talas (Mevlana Mah.)"/>
        <s v="Acıyaman Çiğköfte, Melikgazi (Yeniköy Mah.)"/>
        <s v="Acil Pizza Pide Lahmacun, Talas (Tablakaya Mah.)"/>
        <s v="Aç Geldim Pide &amp; Lahmacun, Talas (Mevlana Mah.)"/>
        <s v="Ada Döner, Kocasinan (Hacı Saki Mah.)"/>
        <s v="Ada Tost, Kocasinan (Mevlana Mah.)"/>
        <s v="Ada Tost, Melikgazi (Kılıçaslan Mah.)"/>
        <s v="Ada Tost, Talas (Mevlana Mah.)"/>
        <s v="Adıger Çiğ Köfte, Melikgazi (Fatih Mah. - İldem)"/>
        <s v="Adıyaman Ciğ Köftecisi Bayram Usta, (Hoca Ahmet Yesevi Mah.)"/>
        <s v="Adıyaman Çiğ Köftecisi Bayram Usta, (Erkilet Ertuğrul Gazi Mah.)"/>
        <s v="Adıyaman Çiğ Köftecisi Bayram Usta, (Erkilet Osman Gazi Mah.)"/>
        <s v="Adıyaman Çiğ Köftecisi Bayram Usta, (Yeşilyurt Mah.-İldem)"/>
        <s v="Adıyaman Çiğ Köftecisi Bayram Usta, Kocasinan (Beyazşehir Mah.)"/>
        <s v="Adıyaman Çiğ Köftecisi Bayram Usta, Kocasinan (Sümer Mah.)"/>
        <s v="Adıyaman Çiğ Köftecisi Bayram Usta, Melikgazi (Fatih Mah.-İldem)"/>
        <s v="Adıyaman Çiğ Köftecisi Bayram Usta, Melikgazi(Bahçelievler Mah.)"/>
        <s v="Adıyaman Çiğ Köftecisi Bayram Usta, Talas (Mevlana Mah.)"/>
        <s v="Adıyaman Çiğ Köftecisi Bayram Usta, Talas (Yenidoğan Mah.)"/>
        <s v="Adıyaman Çiğ Köftecisi Ömer Aybak, Melikgazi (Köşk Mah.)"/>
        <s v="Adıyaman Çiğköfte Yeri, Melikgazi (Esentepe Mah.)"/>
        <s v="Adıyaman Çiğköftecisi Bayram Usta, Kocasinan(Fevziçakmak Mah.)"/>
        <s v="Adıyaman Çiğköftecisi Bayram Usta, Kocasinan(Mimarsinan Mah.)"/>
        <s v="Adıyaman Tadımca Çiğ Köfte, Melikgazi (Keykubat Mah.)"/>
        <s v="Adıyörem Çiğ Köfte Talas (Mevlana Mah.-Halef Hoca Cad.)"/>
        <s v="Adıyörem Çiğ Köfte Talas (Mevlana Mah.-Mehmet Timuçin Cad.)"/>
        <s v="Adıyörem Çiğ Köfte, Kocasinan (Ahi Evran Mah.)"/>
        <s v="Adıyörem Çiğ Köfte, Kocasinan (Erkilet General Emir Mah.)"/>
        <s v="Adıyörem Çiğ Köfte, Kocasinan (Yavuzselim Mah.)"/>
        <s v="Adıyörem Çiğ Köfte, Melikgazi (Cumhuriyet Mah.)"/>
        <s v="Adıyörem Çiğ Köfte, Melikgazi (Fatih Mah. - İldem)"/>
        <s v="Adıyörem Çiğ Köfte, Melikgazi (Yeniköy Mah.)"/>
        <s v="Adıyörem Çiğ Köfte, Talas (Harman Mah.)"/>
        <s v="Adıyörem Çiğ Köfte, Talas (Mevlana / Turgut Özal)"/>
        <s v="Adıyörem Çiğ Köfte, Talas (Yenidoğan Mah.)"/>
        <s v="Adil Usta Kadayıf &amp; Baklava, Melikgazi (Esenyurt Mah.)"/>
        <s v="Adiloğlu Cafe &amp; Pastane, Kocasinan (Erkilet Camiikebir Mah.)"/>
        <s v="Ahbap'ss Köfte &amp; Islak Hamburger, Talas (Mevlana Mah.)"/>
        <s v="Ahbap'ss Köfte &amp; Islak Hamburger, Talas (Yenidoğan Mah.)"/>
        <s v="Aksu Tantuni &amp; Ciğer, Kocasinan (Erkilet Ertuğrul Gazi Mah.)"/>
        <s v="Alaçatı Muhallebicisi, Talas (Yenidoğan Mah.)"/>
        <s v="Albina Restoran Talas (Mevlana)"/>
        <s v="Alem Tantuni, Talas (Tablakaya Mah.)"/>
        <s v="Ali Rıza Usta, Talas (Mevlana Mah.)"/>
        <s v="Almina Döner &amp; Kahvaltı, Kocasinan (Sanayi Mah.)"/>
        <s v="Altın Bahçe, Melikgazi (Hunat Mah.)"/>
        <s v="Altın Kebap, Melikgazi (Cumhuriyet Mah.-İldem)"/>
        <s v="Altın Köşk Döner, Melikgazi (Hürriyet Mah.)"/>
        <s v="Altınköşe Kebab Salonu, Melikgazi (Aydınlıkevler Mah.)"/>
        <s v="Ana Tokyat, Melikgazi (Fatih Mah. - İldem)"/>
        <s v="Anadolu Et Lokantası, Kocasinan (Gevhernesibe Mah.)"/>
        <s v="Ananın Yeri, Kocasinan (Hoca Ahmet Yesevi Mah.)"/>
        <s v="Anayurt Köşk, Talas (Mevlana Mah.)"/>
        <s v="Anayurt1 Köşk, Melikgazi (Kılıçaslan Mah.)"/>
        <s v="Anayurt4 Köşk Kebap, Kocasinan (Barbaros Mah.)"/>
        <s v="Anılss Döner, Melikgazi (Keykubat Mah.)"/>
        <s v="Annemin Mutfağı, Talas (Yenidoğan Mah.)"/>
        <s v="Antep Baklava, Talas (Mevlana Mah.)"/>
        <s v="Antep Baklavacısı &amp; Dondurma, Kocasinan (Beyazşehir Mah.)"/>
        <s v="Antep Baklavacısı Kamil Usta, Kocasinan (Mevlana Mah.)"/>
        <s v="Antep Baklavacısı, Kocasinan (Fevziçakmak Mah.)"/>
        <s v="Antep Baklavacısı, Melikgazi (Esenyurt Mah.)"/>
        <s v="Antep Baklavacısı, Melikgazi (Kazımkarabekir Mah.)"/>
        <s v="Antep Baklavacısı, Melikgazi (Keykubat Mah.)"/>
        <s v="Antep Baklavacısı, Melikgazi (Kılıçaslan Mah.)"/>
        <s v="Antep Baklavacısı, Melikgazi (Kocatepe Mah.)"/>
        <s v="Antep Baklavacısı, Talas (Mevlana Mah.)"/>
        <s v="Antep Eli Kebap &amp; Lahmacun, Talas (Yenidoğan Mah.)"/>
        <s v="Antep Eli Lahmacun, Kocasinan (Sahabiye Mah.)"/>
        <s v="Antep-lim Gaziantep Baklavaları, Talas (Mevlana Mah.)"/>
        <s v="Antepeli Baklavacısı, Talas (Mevlana Mah.)"/>
        <s v="Anteplim Izgara&amp;Lahmacun&amp;Pide, Melikgazi (Cumhuriyet Mah.-İldem)"/>
        <s v="As Pat Burger Talas (Mevlana Mah.)"/>
        <s v="As Pide, Melikgazi (Gültepe Mah.)"/>
        <s v="Asbil Kebap, Kocasinan (Barbaros Mah.)"/>
        <s v="Aslı Antep Baklavaları, Kocasinan (Erkilet Ertuğrul Gazi Mah.)"/>
        <s v="Aşk Lokmam, Talas (Yenidoğan Mah.)"/>
        <s v="Aşkım Mini Pankek, Talas (Mevlana Mah.)"/>
        <s v="Ateş Sucuk Ekmek, Talas (Mevlana Mah.)"/>
        <s v="Aygün 2 Pide &amp; Döner &amp; Lahmacun, Talas (Mevlana Mah.)"/>
        <s v="Aygün Ev Yemekleri, Talas (Mevlana Mah.)"/>
        <s v="Bağdat Kokoreç, Kocasinan (Turgutreis Mah.)"/>
        <s v="Baklavacı Hacı, Kocasinan (Mevlana Mah.)"/>
        <s v="Baklavacı Hacızade, Kocasinan (Mimarsinan Mah.)"/>
        <s v="Baklavacı Orhan Anteplioğlu, Melikgazi (Alpaslan Mah.)"/>
        <s v="Baklavacı Orhan Anteplioğlu, Melikgazi (Kılıçaslan Mah.)"/>
        <s v="Bayram Liva Unlu Mamülleri, Kocasinan (Mevlana Mah.)"/>
        <s v="Bella Waffle &amp; Sweet, Talas (Mevlana Mah.)"/>
        <s v="Belqi Döner, Talas (Mevlana Mah.)"/>
        <s v="Bereket Develi Cıvıklısı, Melikgazi (Gültepe Mah.)"/>
        <s v="Bereket Develi Cıvıklısı, Talas (Yenidoğan Mah.)"/>
        <s v="Bereket Sofrası, Kocasinan (Sahabiye Mah.)"/>
        <s v="Beyazşehir Çiğ Köfte ve Tatlıcı, (Beyazşehir Mah.)"/>
        <s v="Beylerin Beyi Bey Evi, Kocasinan (Sahabiye Mah.)"/>
        <s v="Beyoğlu Hatay Soslu Döner, Kocasinan (Hoca Ahmet Yesevi Mah.)"/>
        <s v="Biberzade Adıyaman Çiğ Köfte, Melikgazi (Altınoluk Mah.)"/>
        <s v="Big Pizza, Melikgazi (Fatih Mah. - İldem)"/>
        <s v="Bilaloğlu Baklava, Kocasinan (Yavuzselim Mah.)"/>
        <s v="Bir Canım Tantuni, Talas (Yenidoğan Mah.)"/>
        <s v="Birdie's Fried Chicken &amp; Burger, Melikgazi (Alpaslan Mah.)"/>
        <s v="Bitter Pastaneleri, Kocasinan (Gevher Nesibe Mah.)"/>
        <s v="Bitter Pastaneleri, Kocasinan (Yeşil Mah.)"/>
        <s v="Bol Fıstıklım, Talas (Mevlana Mah.)"/>
        <s v="Bolu Et Mangal, Melikgazi (Germir Mah.)"/>
        <s v="Bon Pizza, Kocasinan (Sahabiye Mah.)"/>
        <s v="Boo's Burger, Talas (Bahçelievler Mah.)"/>
        <s v="Boss Waffle, Melikgazi (Kılıçaslan Mah.)"/>
        <s v="Boss Waffle, Talas (Kiçiköy Mah.)"/>
        <s v="Buğlem Kebap, Kocasinan (Barbaros Mah.)"/>
        <s v="Buhara Tandır, Melikgazi (Hunat Mah.)"/>
        <s v="Buket Kıymalı Pide &amp; Lahmacun, Talas (Bahçelievler Mah.)"/>
        <s v="Bülent Usta Lahmacun, Kocasinan (Gevhernesibe Mah.)"/>
        <s v="Cadde Döner, Melikgazi (Germir Mah.)"/>
        <s v="Cadde Döner, Melikgazi (Keykubat Mah.)"/>
        <s v="Cadde Kebap &amp; Kokoreç, Talas (Mevlana Mah.)"/>
        <s v="Cafe Arka Bahçe, Kocasinan (Sahabiye Mah.)"/>
        <s v="Cafe Döner, Kocasinan (Ziya Gökalp Mah.)"/>
        <s v="Cajun Corner, Talas (Mevlana Mah.)"/>
        <s v="Camikebir Pidecisi, Melikgazi (Hürriyet Mah.)"/>
        <s v="Can &amp; Tantuni Künefe, Melikgazi (Fatih Mah.-İldem)"/>
        <s v="Can Döner, Talas (Mevlana Mah.)"/>
        <s v="Can Ocakbaşı, Melikgazi (Hunat Mah.)"/>
        <s v="Canım Ciğerim Tantuni &amp; Künefe, Kocasinan (Gevhernesibe Mah.)"/>
        <s v="Canım Ciğerim Tantuni &amp; Künefe, Kocasinan (Mevlana Mah.)"/>
        <s v="Canım Ciğerim Tantuni &amp; Künefe, Kocasinan (Şeker Mah.)"/>
        <s v="Canım Ciğerim Tantuni &amp; Künefe, Talas (Yenidoğan Mah.)"/>
        <s v="Canım Ciğerim, Kocasinan (Erciyesevler Mah.)"/>
        <s v="Capella Cafe, Kocasinan (Sahabiye Mah.)"/>
        <s v="Chef Fried Chicken"/>
        <s v="Chef Waffle, Talas (Kiçiköy Mah.)"/>
        <s v="Choco Bons Waffle, Melikgazi Mah. (İpeksaray)"/>
        <s v="Chocolabs Chocolate &amp; Coffee, Melikgazi (Alpaslan Mah.)"/>
        <s v="Ciğerci Bahattin, Kocasinan (Mevlana Mah.)"/>
        <s v="Ciğerci Mehmet, Kocasinan (Sahabiye Mah.)"/>
        <s v="Cihan Exclusive Talas (Mevlana Mah.)"/>
        <s v="Cihan Exclusive, Melikgazi (Alpaslan Mah.)"/>
        <s v="Cihan Exclusive, Melikgazi (Cumhuriyet Mah.)"/>
        <s v="Class Fast Food, Melikgazi (Bahçelievler Mah.)"/>
        <s v="Confurt Dondurma, Melikgazi (Alpaslan Mah.)"/>
        <s v="Confurt Dondurma, Melikgazi (Köşk Mah.)"/>
        <s v="Confurt Dondurma, Talas (Bahçelievler Mah.)"/>
        <s v="Çağlayan Kebap, Melikgazi (Cumhuriyet Mah.)"/>
        <s v="Çağlayan Kebap, Melikgazi (Gülük Mah.)"/>
        <s v="Çamburç Pastanesi, Melikgazi (Keykubat Mah.)"/>
        <s v="Çarşı Yoğunburç Serince Çiğ Köfte, Melikgazi(Tacettin Veli Mah.)"/>
        <s v="Çatlayana Kadar, Talas (Mevlana Mah.)"/>
        <s v="Çemen's, Melikgazi (Alpaslan Mah.)"/>
        <s v="Çıtır Chicken, Talas (Mevlana Mah.)"/>
        <s v="Çıtır Çıtır Unlu Mamülleri, Talas (Mevlana Mah.)"/>
        <s v="Çıtır Künefe &amp; Baklava, Talas (Bahçelievler Mah.)"/>
        <s v="Çıtır Pide &amp; Lahmacun, Melikgazi (Sakarya Mah.)"/>
        <s v="Çiftlik Kokoreç, Talas (Bahçelievler Mah.)"/>
        <s v="Çiğ Köfteci Ömer Usta, Melikgazi (Fatih Mah. - İldem)"/>
        <s v="Çiğköfteci Ömer Usta, Melikgazi (Hunat Mah.)"/>
        <s v="Çizmeli Develi Cıvıklısı, Talas (Mevlana Mah.)"/>
        <s v="Çorba da Mola, Talas (Mevlana Mah.)"/>
        <s v="Çorbacı Celal (Talas)"/>
        <s v="Dalyan Balıkçılık, Talas (Mevlana Mah.)"/>
        <s v="Daniş Et Sanatları Restoran, Talas (Yenidoğan Mah.)"/>
        <s v="Dedecan Ocakbaşı, Talas (Mevlana Mah.)"/>
        <s v="Defne Çiğ Köfte, Talas (Mevlana Mah.)"/>
        <s v="Divan Çorba &amp; Izgara, Melikgazi (Tacettin Veli Mah.)"/>
        <s v="Doğan Kaymaklı, Melikgazi (Gültepe Mah.)"/>
        <s v="Dois, Talas (Yenidoğan Mah.)"/>
        <s v="Dolmix Dürüm, Melikgazi (Alpaslan Mah.)"/>
        <s v="Donas, Kocasinan (Sahabiye Mah. - Sivas Cad.)"/>
        <s v="Donas, Kocasinan (Sahabiye Mah.)"/>
        <s v="Donas, Melikgazi (Alpaslan Mah.)"/>
        <s v="Donas, Melikgazi (Gülük Mah.)"/>
        <s v="Donas, Melikgazi (Hunat Mah.)"/>
        <s v="Donas, Talas (Bahçelievler Mah.)"/>
        <s v="Dorato Coffee, Talas (Bahçelievler Mah.)"/>
        <s v="Doymix, Kocasinan (Erkilet Ertuğrul Gazi Mah.)"/>
        <s v="Döner House, Melikgazi (Altınoluk Mah.)"/>
        <s v="Dönerci Baba, Melikgazi (Gültepe Mah.)"/>
        <s v="Dönercimmm, Melikgazi (Fatih Mah. - İldem)"/>
        <s v="Dört Döner, Melikgazi (Hürriyet Mah.)"/>
        <s v="Dünya Tantuni &amp; Döner, Merkez (Esentepe Mah.)"/>
        <s v="Efece Ev Yemekleri, Talas (Bahçelievler)"/>
        <s v="Ekler Pastanesi, Melikgazi (Demokrasi Mah. - Toki)"/>
        <s v="Ekol Baklava, Melikgazi (Cumhuriyet Mah.)"/>
        <s v="Ekrem Coşkun Döner, Melikgazi (Cumhuriyet Mah.)"/>
        <s v="Ekrem Coşkun Döner, Talas (Bahçelievler Mah.)"/>
        <s v="Ekrem Usta Adana Sofrası, Talas (Yenidoğan Mah.)"/>
        <s v="Elit 38 Lahmacun &amp; Pide Talas (Mevlana Mah.)"/>
        <s v="Elit Cafe, Kocasinan (Alsancak Mah.)"/>
        <s v="Emeyra Lezzetler, Kocasinan (Mevlana Mah.)"/>
        <s v="Eminönü Hatay Soslu Döner, Melikgazi (Şirintepe Mah.)"/>
        <s v="Emsi Malatya Pide &amp; Lahmacun, Melikgazi (Anafartalar Mah.)"/>
        <s v="Ender Restaurant, Talas (Kiçiköy Mah.)"/>
        <s v="Enfess Lahmacun &amp; Pide, Talas (Mevlana Mah.)"/>
        <s v="Erdem Malatya Pide Fırını, Kocasinan (Gevhernesibe Mah.)"/>
        <s v="Erdo Dondurma, Kocasinan (Fevzi Çakmak Mah.)"/>
        <s v="Erkilet Saray Kebap, Kocasinan (Erkilet Dere Mah.)"/>
        <s v="Ermir Döner, Kocasinan (Yakut Mah.)"/>
        <s v="Erol'ca Cafe, Talas (Yenidoğan Mah.)"/>
        <s v="Eski Tostum Talas(Mevlana Mah.)"/>
        <s v="Express 4 Döner, Kocasinan (Fevzi Çakmak Mah.)"/>
        <s v="Eylül Kebap &amp; Çorba, Kocasinan (Erkilet Dere Mah.)"/>
        <s v="Fatma Abla, Melikgazi (Esenyurt Mah.)"/>
        <s v="Fatma Abla, Talas (Mevlana Mah.)"/>
        <s v="Fazıloğlu Ata Sofrası, Kocasinan (Şeker Mah.)"/>
        <s v="Fors Beyaz Saray Kebap, Melikgazi (Cumhuriyet Mah.-İldem)"/>
        <s v="Fors Beyaz Saray Kebap, Melikgazi (Demokrasi Mah. - Toki)"/>
        <s v="Garden L'uva, Kocasinan (Ahi Evran Mah.)"/>
        <s v="Gazi Çiğ Köfte, Melikgazi (Alpaslan Mah.)"/>
        <s v="Gazi Çiğ Köfte, Melikgazi (Köşk Mah.)"/>
        <s v="Gazi Çiğ Köfte, Talas (Bahçelievler Mah.)"/>
        <s v="Gaziantep Fıstıklım Baklavaları, Melikgazi (Bahçelievler Mah.)"/>
        <s v="Gaziantep Osman Güllioğlu Baklavaları, (Erciyesevler Mah.)"/>
        <s v="Gaziayıntap Baklava &amp; Tatlı, Melikgazi (Yeşilyurt Mah.)"/>
        <s v="Gelateria Dondurma, Melikgazi (Köşk Mah.)"/>
        <s v="Germirlioğlu Et &amp; Pide, Talas (Yenidoğan Mah.)"/>
        <s v="Gizem Kahvaltı, Melikgazi (Yeniköy Mah.)"/>
        <s v="Gold Meat Restaurant, Talas (Mevlana Mah.)"/>
        <s v="Golden Pack Street Food, Talas (Mevlana Mah.)"/>
        <s v="Göksel Tantuni, Kocasinan (Mimarsinan Mah.)"/>
        <s v="Göksel Tantuni, Talas (Yenidoğan Mah.)"/>
        <s v="Görkem Fırın, Talas (Mevlana Mah.)"/>
        <s v="Green Flower Cafe, Kocasinan (Sahabiye Mah.)"/>
        <s v="Gurme Dondurma &amp; Cafe, Talas (Yenidoğan Mah.)"/>
        <s v="Gül Sofrası Develi Cıvıklısı &amp; Ev Yemekleri, (Bahçelievler Mah.)"/>
        <s v="Gümüş Sini, Talas (Harman Mah.)"/>
        <s v="Güneş Pide, Melikgazi (Kazımkarabekir Mah.)"/>
        <s v="Güneyce Etsiz Çiğ Köfte, Kocasinan (Mithat Paşa Mah.)"/>
        <s v="Güneyce Etsiz Çiğ Köfte, Kocasinan (Yenidoğan Mah.)"/>
        <s v="Güneyce Etsiz Çiğ Köfte, Talas (Mevlana Mah.)"/>
        <s v="Güneyce Etsiz Çiğköfte, Kocasinan (Turgutreis Mah.)"/>
        <s v="Hacer &amp; Musti Turşu Evi, Kocasinan (Fevzi Çakmak Mah.)"/>
        <s v="Hacı Sokakta, Talas (Yenidoğan Mah.)"/>
        <s v="Halil İbrahim Sofrası, Talas (Mevlana Mah.)"/>
        <s v="Halil Usta Adıyaman Çiğ Köftecisi, Talas (Mevlana)"/>
        <s v="Ham Burger, Talas (Mevlana Mah.)"/>
        <s v="Handem Cafe &amp; Bistro, Talas (Mevlana Mah.)"/>
        <s v="Has Pide &amp; Lahmacun, Talas (Mevlana Mah.)"/>
        <s v="Has Pide 2, Talas (Mevlana Mah.)"/>
        <s v="Hasan Usta Pizza &amp; Lahmacun, Melikgazi (Kılıçaslan Mah.)"/>
        <s v="Hatay Doy's Döner, Talas (Mevlana Mah.)"/>
        <s v="Hatay Soslu Döner, Melikgazi (Keykubat Mah.)"/>
        <s v="Hatso, Melikgazi (Cumhuriyet Mah.)"/>
        <s v="Helvacı Seyid Ahmed, Kocasinan (Sahabiye Mah.)"/>
        <s v="Helvacı Yakub Efendi, Melikgazi (Alpaslan Mah.)"/>
        <s v="Helvacı Yakub Efendi, Melikgazi (Köşk Mah.)"/>
        <s v="Hg Pizza &amp; Burger, Talas (Mevlana Mah.)"/>
        <s v="Hisar, Melikgazi (Kılıçaslan Mah.)"/>
        <s v="Hisar, Talas (Bahçelievler Mah.)"/>
        <s v="Hizmet Çorba Kebap, Kocasinan (Sahabiye Mah.)"/>
        <s v="Huzur Kebap, Talas (Mevlana Mah.)"/>
        <s v="İkinci Bahar Ev Yemekleri, Melikgazi (Cumhuriyet Mah.)"/>
        <s v="İldem İnegöl Köftecisi, Melikgazi (Cumhuriyet Mah. - İldem)"/>
        <s v="İldem Pide, Melikgazi (Cumhuriyet Mah. - İldem)"/>
        <s v="İnci Köşk, Kocasinan (Beyazşehir Mah.)"/>
        <s v="İstanbul Çiğ Köfte, Kocasinan (Argıncık Mah.)"/>
        <s v="İstanbul Çiğ Köfte, Kocasinan (Barbaros Mah.)"/>
        <s v="İstanbul Çiğ Köfte, Kocasinan (Erciyesevler Mah.)"/>
        <s v="İstanbul Çiğ Köfte, Kocasinan (Erkilet Osman Gazi Mah.)"/>
        <s v="İstanbul Çiğ Köfte, Kocasinan (Mithat Paşa Mah.)"/>
        <s v="İstanbul Çiğ Köfte, Kocasinan (Sahabiye Mah.)"/>
        <s v="İstanbul Çiğ Köfte, Melikgazi (Altınoluk Mah.)"/>
        <s v="İstanbul Çiğ Köfte, Melikgazi (Bahçelievler Mah.)"/>
        <s v="İstanbul Çiğ Köfte, Melikgazi (Esenyurt Mah.)"/>
      </sharedItems>
    </cacheField>
    <cacheField name="Satışa&#10;Açık Mı?" numFmtId="0">
      <sharedItems>
        <s v="DOĞRU"/>
        <s v="YANLIŞ"/>
      </sharedItems>
    </cacheField>
    <cacheField name="Mutfak" numFmtId="0">
      <sharedItems>
        <s v="Burger"/>
        <s v="Sokak Lezzetleri"/>
        <s v="Pasta &amp; Tatlı"/>
        <s v="Tost &amp; Sandviç"/>
        <s v="Pizza"/>
        <s v="Çiğ Köfte"/>
        <s v="Pide"/>
        <s v="Döner"/>
        <s v="Kahvaltı"/>
        <s v="Kebap"/>
        <s v="Ev Yemekleri"/>
        <s v="Lahmacun"/>
        <s v="Tavuk"/>
        <s v="Dünya Mutfağı"/>
        <s v="Dondurma"/>
        <s v="Balık &amp; Deniz Ürünleri"/>
        <s v="Salata"/>
      </sharedItems>
    </cacheField>
    <cacheField name="TOPLAM&#10;SİPARİŞ" numFmtId="0">
      <sharedItems containsString="0" containsBlank="1" containsNumber="1" containsInteger="1">
        <n v="1899.0"/>
        <n v="919.0"/>
        <n v="57.0"/>
        <n v="1296.0"/>
        <n v="3685.0"/>
        <n v="85.0"/>
        <n v="88.0"/>
        <n v="2.0"/>
        <n v="140.0"/>
        <n v="67.0"/>
        <n v="5.0"/>
        <n v="296.0"/>
        <n v="426.0"/>
        <n v="10.0"/>
        <n v="11.0"/>
        <n v="252.0"/>
        <n v="910.0"/>
        <n v="105.0"/>
        <n v="1064.0"/>
        <n v="835.0"/>
        <n v="53.0"/>
        <n v="537.0"/>
        <n v="142.0"/>
        <m/>
        <n v="17.0"/>
        <n v="36.0"/>
        <n v="810.0"/>
        <n v="701.0"/>
        <n v="283.0"/>
        <n v="1.0"/>
        <n v="215.0"/>
        <n v="89.0"/>
        <n v="405.0"/>
        <n v="953.0"/>
        <n v="399.0"/>
        <n v="2248.0"/>
        <n v="86.0"/>
        <n v="115.0"/>
        <n v="1531.0"/>
        <n v="1258.0"/>
        <n v="273.0"/>
        <n v="4.0"/>
        <n v="82.0"/>
        <n v="167.0"/>
        <n v="126.0"/>
        <n v="16.0"/>
        <n v="828.0"/>
        <n v="258.0"/>
        <n v="27.0"/>
        <n v="485.0"/>
        <n v="80.0"/>
        <n v="124.0"/>
        <n v="1236.0"/>
        <n v="240.0"/>
        <n v="245.0"/>
        <n v="498.0"/>
        <n v="227.0"/>
        <n v="51.0"/>
        <n v="8.0"/>
        <n v="572.0"/>
        <n v="570.0"/>
        <n v="2044.0"/>
        <n v="155.0"/>
        <n v="1344.0"/>
        <n v="2647.0"/>
        <n v="6536.0"/>
        <n v="2113.0"/>
        <n v="529.0"/>
        <n v="433.0"/>
        <n v="50.0"/>
        <n v="249.0"/>
        <n v="746.0"/>
        <n v="1317.0"/>
        <n v="117.0"/>
        <n v="997.0"/>
        <n v="1395.0"/>
        <n v="12.0"/>
        <n v="305.0"/>
        <n v="2963.0"/>
        <n v="10604.0"/>
        <n v="359.0"/>
        <n v="331.0"/>
        <n v="1933.0"/>
        <n v="1070.0"/>
        <n v="1822.0"/>
        <n v="430.0"/>
        <n v="73.0"/>
        <n v="3428.0"/>
        <n v="1016.0"/>
        <n v="4133.0"/>
        <n v="2332.0"/>
        <n v="246.0"/>
        <n v="21.0"/>
        <n v="1167.0"/>
        <n v="257.0"/>
        <n v="516.0"/>
        <n v="388.0"/>
        <n v="787.0"/>
        <n v="3692.0"/>
        <n v="781.0"/>
        <n v="2155.0"/>
        <n v="793.0"/>
        <n v="1741.0"/>
        <n v="558.0"/>
        <n v="55.0"/>
        <n v="1072.0"/>
        <n v="697.0"/>
        <n v="3299.0"/>
        <n v="1712.0"/>
        <n v="15.0"/>
        <n v="1610.0"/>
        <n v="922.0"/>
        <n v="444.0"/>
        <n v="375.0"/>
        <n v="1162.0"/>
        <n v="32.0"/>
        <n v="2440.0"/>
        <n v="398.0"/>
        <n v="26036.0"/>
        <n v="1781.0"/>
        <n v="2054.0"/>
        <n v="742.0"/>
        <n v="161.0"/>
        <n v="24.0"/>
        <n v="49.0"/>
        <n v="179.0"/>
        <n v="1944.0"/>
        <n v="1482.0"/>
        <n v="659.0"/>
        <n v="339.0"/>
        <n v="2855.0"/>
        <n v="9695.0"/>
        <n v="9681.0"/>
        <n v="1067.0"/>
        <n v="68.0"/>
        <n v="26.0"/>
        <n v="90.0"/>
        <n v="544.0"/>
        <n v="153.0"/>
        <n v="65.0"/>
        <n v="528.0"/>
        <n v="4539.0"/>
        <n v="2084.0"/>
        <n v="2015.0"/>
        <n v="2904.0"/>
        <n v="199.0"/>
        <n v="936.0"/>
        <n v="217.0"/>
        <n v="2836.0"/>
        <n v="184.0"/>
        <n v="1303.0"/>
        <n v="343.0"/>
        <n v="20.0"/>
        <n v="355.0"/>
        <n v="447.0"/>
        <n v="223.0"/>
        <n v="892.0"/>
        <n v="550.0"/>
        <n v="4179.0"/>
        <n v="471.0"/>
        <n v="3249.0"/>
        <n v="312.0"/>
        <n v="4493.0"/>
        <n v="196.0"/>
        <n v="1329.0"/>
        <n v="3.0"/>
        <n v="5030.0"/>
        <n v="1304.0"/>
        <n v="190.0"/>
        <n v="54.0"/>
        <n v="369.0"/>
        <n v="1380.0"/>
        <n v="2846.0"/>
        <n v="119.0"/>
        <n v="47.0"/>
        <n v="762.0"/>
        <n v="788.0"/>
        <n v="2655.0"/>
        <n v="5661.0"/>
        <n v="206.0"/>
        <n v="45.0"/>
        <n v="4440.0"/>
        <n v="176.0"/>
        <n v="1391.0"/>
        <n v="708.0"/>
        <n v="1484.0"/>
        <n v="48.0"/>
        <n v="146.0"/>
        <n v="61.0"/>
        <n v="481.0"/>
        <n v="315.0"/>
        <n v="183.0"/>
        <n v="365.0"/>
        <n v="1494.0"/>
        <n v="97.0"/>
        <n v="939.0"/>
        <n v="423.0"/>
        <n v="130.0"/>
        <n v="2760.0"/>
        <n v="2053.0"/>
        <n v="306.0"/>
        <n v="6947.0"/>
        <n v="7273.0"/>
        <n v="3077.0"/>
        <n v="1942.0"/>
        <n v="763.0"/>
        <n v="38.0"/>
        <n v="780.0"/>
        <n v="347.0"/>
        <n v="113.0"/>
        <n v="551.0"/>
        <n v="2881.0"/>
        <n v="2075.0"/>
        <n v="333.0"/>
        <n v="100.0"/>
        <n v="195.0"/>
        <n v="889.0"/>
        <n v="689.0"/>
        <n v="209.0"/>
        <n v="679.0"/>
        <n v="58.0"/>
      </sharedItems>
    </cacheField>
    <cacheField name="SON 2 &#10;HAFTA" numFmtId="0">
      <sharedItems containsString="0" containsBlank="1" containsNumber="1" containsInteger="1">
        <n v="25.0"/>
        <m/>
        <n v="3.0"/>
        <n v="1.0"/>
        <n v="85.0"/>
        <n v="10.0"/>
        <n v="32.0"/>
        <n v="5.0"/>
        <n v="22.0"/>
        <n v="6.0"/>
        <n v="14.0"/>
        <n v="2.0"/>
        <n v="7.0"/>
        <n v="17.0"/>
        <n v="4.0"/>
        <n v="27.0"/>
        <n v="390.0"/>
        <n v="47.0"/>
        <n v="51.0"/>
        <n v="9.0"/>
        <n v="46.0"/>
        <n v="15.0"/>
        <n v="125.0"/>
        <n v="20.0"/>
        <n v="11.0"/>
        <n v="97.0"/>
        <n v="13.0"/>
        <n v="45.0"/>
        <n v="59.0"/>
        <n v="36.0"/>
        <n v="40.0"/>
        <n v="95.0"/>
        <n v="30.0"/>
        <n v="8.0"/>
        <n v="65.0"/>
        <n v="109.0"/>
        <n v="12.0"/>
        <n v="593.0"/>
        <n v="279.0"/>
        <n v="55.0"/>
        <n v="24.0"/>
        <n v="39.0"/>
        <n v="137.0"/>
        <n v="101.0"/>
        <n v="89.0"/>
        <n v="163.0"/>
        <n v="35.0"/>
        <n v="171.0"/>
        <n v="29.0"/>
        <n v="44.0"/>
        <n v="88.0"/>
        <n v="26.0"/>
        <n v="104.0"/>
        <n v="81.0"/>
        <n v="21.0"/>
        <n v="1604.0"/>
        <n v="42.0"/>
        <n v="49.0"/>
        <n v="54.0"/>
        <n v="817.0"/>
        <n v="342.0"/>
        <n v="57.0"/>
        <n v="145.0"/>
        <n v="92.0"/>
        <n v="134.0"/>
        <n v="38.0"/>
        <n v="18.0"/>
        <n v="196.0"/>
        <n v="19.0"/>
        <n v="77.0"/>
        <n v="239.0"/>
        <n v="341.0"/>
        <n v="192.0"/>
        <n v="336.0"/>
        <n v="150.0"/>
        <n v="397.0"/>
        <n v="63.0"/>
        <n v="147.0"/>
        <n v="76.0"/>
        <n v="106.0"/>
        <n v="48.0"/>
        <n v="138.0"/>
        <n v="52.0"/>
        <n v="123.0"/>
        <n v="372.0"/>
        <n v="66.0"/>
        <n v="206.0"/>
        <n v="50.0"/>
        <n v="87.0"/>
        <n v="53.0"/>
        <n v="16.0"/>
      </sharedItems>
    </cacheField>
    <cacheField name="RESİMLİ&#10;ÜRÜN" numFmtId="0">
      <sharedItems containsSemiMixedTypes="0" containsString="0" containsNumber="1" containsInteger="1">
        <n v="21.0"/>
        <n v="0.0"/>
        <n v="5.0"/>
        <n v="15.0"/>
        <n v="11.0"/>
        <n v="4.0"/>
        <n v="9.0"/>
        <n v="6.0"/>
        <n v="13.0"/>
        <n v="19.0"/>
        <n v="7.0"/>
        <n v="8.0"/>
        <n v="27.0"/>
        <n v="17.0"/>
        <n v="35.0"/>
        <n v="2.0"/>
        <n v="16.0"/>
        <n v="12.0"/>
        <n v="3.0"/>
        <n v="14.0"/>
        <n v="31.0"/>
        <n v="37.0"/>
        <n v="45.0"/>
        <n v="33.0"/>
        <n v="10.0"/>
        <n v="30.0"/>
        <n v="25.0"/>
        <n v="24.0"/>
        <n v="107.0"/>
        <n v="36.0"/>
        <n v="62.0"/>
        <n v="28.0"/>
        <n v="18.0"/>
        <n v="22.0"/>
        <n v="23.0"/>
        <n v="41.0"/>
        <n v="1.0"/>
      </sharedItems>
    </cacheField>
    <cacheField name="RESİMSİZ&#10;ÜRÜN" numFmtId="0">
      <sharedItems containsSemiMixedTypes="0" containsString="0" containsNumber="1" containsInteger="1">
        <n v="22.0"/>
        <n v="11.0"/>
        <n v="3.0"/>
        <n v="17.0"/>
        <n v="41.0"/>
        <n v="1.0"/>
        <n v="10.0"/>
        <n v="9.0"/>
        <n v="2.0"/>
        <n v="7.0"/>
        <n v="13.0"/>
        <n v="21.0"/>
        <n v="19.0"/>
        <n v="6.0"/>
        <n v="4.0"/>
        <n v="5.0"/>
        <n v="18.0"/>
        <n v="26.0"/>
        <n v="24.0"/>
        <n v="12.0"/>
        <n v="31.0"/>
        <n v="16.0"/>
        <n v="25.0"/>
        <n v="39.0"/>
        <n v="8.0"/>
        <n v="14.0"/>
        <n v="67.0"/>
        <n v="29.0"/>
        <n v="15.0"/>
        <n v="34.0"/>
        <n v="38.0"/>
        <n v="69.0"/>
        <n v="55.0"/>
        <n v="20.0"/>
        <n v="54.0"/>
        <n v="63.0"/>
        <n v="0.0"/>
        <n v="59.0"/>
        <n v="43.0"/>
        <n v="28.0"/>
        <n v="27.0"/>
        <n v="33.0"/>
        <n v="23.0"/>
        <n v="30.0"/>
        <n v="32.0"/>
        <n v="114.0"/>
        <n v="164.0"/>
        <n v="153.0"/>
        <n v="46.0"/>
        <n v="37.0"/>
        <n v="51.0"/>
        <n v="75.0"/>
        <n v="50.0"/>
        <n v="44.0"/>
        <n v="42.0"/>
        <n v="35.0"/>
        <n v="36.0"/>
        <n v="52.0"/>
      </sharedItems>
    </cacheField>
    <cacheField name="TOPLAM&#10;ÜRÜN" numFmtId="0">
      <sharedItems containsSemiMixedTypes="0" containsString="0" containsNumber="1" containsInteger="1">
        <n v="43.0"/>
        <n v="11.0"/>
        <n v="8.0"/>
        <n v="17.0"/>
        <n v="56.0"/>
        <n v="12.0"/>
        <n v="14.0"/>
        <n v="9.0"/>
        <n v="15.0"/>
        <n v="7.0"/>
        <n v="10.0"/>
        <n v="13.0"/>
        <n v="32.0"/>
        <n v="19.0"/>
        <n v="6.0"/>
        <n v="24.0"/>
        <n v="18.0"/>
        <n v="26.0"/>
        <n v="4.0"/>
        <n v="31.0"/>
        <n v="16.0"/>
        <n v="20.0"/>
        <n v="22.0"/>
        <n v="25.0"/>
        <n v="28.0"/>
        <n v="29.0"/>
        <n v="66.0"/>
        <n v="102.0"/>
        <n v="5.0"/>
        <n v="34.0"/>
        <n v="47.0"/>
        <n v="69.0"/>
        <n v="55.0"/>
        <n v="23.0"/>
        <n v="68.0"/>
        <n v="63.0"/>
        <n v="30.0"/>
        <n v="33.0"/>
        <n v="3.0"/>
        <n v="59.0"/>
        <n v="74.0"/>
        <n v="58.0"/>
        <n v="50.0"/>
        <n v="38.0"/>
        <n v="46.0"/>
        <n v="41.0"/>
        <n v="35.0"/>
        <n v="21.0"/>
        <n v="67.0"/>
        <n v="221.0"/>
        <n v="200.0"/>
        <n v="153.0"/>
        <n v="37.0"/>
        <n v="51.0"/>
        <n v="86.0"/>
        <n v="84.0"/>
        <n v="60.0"/>
        <n v="44.0"/>
        <n v="36.0"/>
        <n v="27.0"/>
        <n v="52.0"/>
        <n v="49.0"/>
      </sharedItems>
    </cacheField>
    <cacheField name="Ratio" numFmtId="9">
      <sharedItems containsSemiMixedTypes="0" containsString="0" containsNumber="1">
        <n v="0.49"/>
        <n v="0.0"/>
        <n v="0.63"/>
        <n v="0.27"/>
        <n v="0.92"/>
        <n v="0.29"/>
        <n v="0.82"/>
        <n v="0.67"/>
        <n v="0.34"/>
        <n v="0.76"/>
        <n v="0.79"/>
        <n v="0.88"/>
        <n v="0.45"/>
        <n v="0.21"/>
        <n v="0.89"/>
        <n v="0.38"/>
        <n v="0.35"/>
        <n v="0.5"/>
        <n v="0.58"/>
        <n v="0.41"/>
        <n v="0.17"/>
        <n v="0.64"/>
        <n v="0.4"/>
        <n v="0.94"/>
        <n v="0.75"/>
        <n v="0.57"/>
        <n v="0.47"/>
        <n v="0.19"/>
        <n v="0.13"/>
        <n v="1.0"/>
        <n v="0.83"/>
        <n v="0.93"/>
        <n v="0.31"/>
        <n v="0.46"/>
        <n v="0.55"/>
        <n v="0.25"/>
        <n v="0.33"/>
        <n v="0.42"/>
        <n v="0.9"/>
        <n v="0.32"/>
        <n v="0.87"/>
        <n v="0.2"/>
        <n v="0.59"/>
        <n v="0.39"/>
        <n v="0.65"/>
        <n v="0.74"/>
        <n v="0.43"/>
        <n v="0.48"/>
        <n v="0.18"/>
        <n v="0.72"/>
        <n v="0.3"/>
        <n v="0.61"/>
        <n v="0.11"/>
        <n v="0.52"/>
        <n v="0.53"/>
        <n v="0.6"/>
        <n v="0.71"/>
        <n v="0.44"/>
        <n v="0.24"/>
        <n v="0.73"/>
        <n v="0.23"/>
        <n v="0.84"/>
        <n v="0.62"/>
        <n v="0.15"/>
        <n v="0.03"/>
        <n v="0.26"/>
      </sharedItems>
    </cacheField>
    <cacheField name="Yetkili" numFmtId="0">
      <sharedItems>
        <s v="Ahmet Tiryakioğlu"/>
        <s v="Muammer Efe Bayrakdar"/>
        <s v="Muhammed Mustafa Duman"/>
        <s v="Hatice Dirik"/>
        <s v="Yaşar Üsten"/>
        <s v="Abdulmenaf Mendi"/>
        <s v="Serdar Burak Karaca"/>
        <s v="Mehmet Eldaş"/>
        <s v="Turgut Aras"/>
        <s v="Ertuğrulhan Öztürkoğlu"/>
        <s v="Barış Arslan"/>
        <s v="MELİKE ŞULE ÖZMEN"/>
        <s v="Rukiye Yılmaz"/>
        <s v="Özgür Bektaş"/>
        <s v="Hülya Bayram"/>
        <s v="Mustafa Okan Demirci"/>
        <s v="Yasin Kösem"/>
        <s v="Ali Aktay"/>
        <s v="Ahmet Lütfullah Dirican"/>
        <s v="Mehmet Ali Çetin"/>
        <s v="Gökhan Derin"/>
        <s v="Serdar Yargı"/>
        <s v="Hikmet Karatepe"/>
        <s v="Abdullah Çakırbeyli"/>
        <s v="Orhan Tezcan"/>
        <s v="Mustafa Kaplan"/>
        <s v="Özlem arı"/>
        <s v="Büşra Tekmanlı"/>
        <s v="Ahmet Diri"/>
        <s v="Doğuş Bak"/>
        <s v="Ömer Faruk Demirkoparan"/>
        <s v="Berkay Kenan Çelik"/>
        <s v="BERAT BURHAN KÖSE"/>
        <s v="Yunus Emre Erdoğan"/>
        <s v="Bilal Sarıoğlu"/>
        <s v="Yasemin Karaca"/>
        <s v="Ersin Pugar"/>
        <s v="Hakan Yıldırım"/>
        <s v="Nazif Burak Kiraz"/>
        <s v="Servet Kartal"/>
        <s v="Yakup Emre Şahin"/>
        <s v="Özlem Sural"/>
        <s v="Emine Kılıç"/>
        <s v="Gökan Süslü"/>
        <s v="Yusuf Acar"/>
        <s v="Aygül Yıldız"/>
        <s v="Kadir Pınarbaşı"/>
        <s v="Neriman Çolak"/>
        <s v="MURAT CAN KAHRAMAN"/>
        <s v="Musa Tığ"/>
        <s v="Mehmet Atar"/>
        <s v="Yılmaz Ergin"/>
        <s v="Ali Şaş"/>
        <s v="Selim dirik"/>
        <s v="Ahmet Aksu"/>
        <s v="CANER İZGİ"/>
        <s v="Kaan Nart"/>
        <s v="Oğulcan Reyhan"/>
        <s v="Elif Tamer"/>
        <s v="Bayram Kurudirek"/>
        <s v="Teslime Orhan"/>
        <s v="Yıldıray Altıntaş"/>
        <s v="Meryem Çapar"/>
        <s v="Şaban Türkmen"/>
        <s v="Alim Akkoyun"/>
        <s v="Doğuş Vural"/>
        <s v="Mehmet Özdin"/>
        <s v="Emin Hançer"/>
        <s v="Serkan Adıyaman"/>
        <s v="Ahmet Can Arslan"/>
        <s v="Ümit Arslan"/>
        <s v="Hatice Gül Yıldız"/>
        <s v="Azizhan Şenen"/>
        <s v="MERVENUR AKIL"/>
        <s v="TEMEL KEPEZKAYA"/>
        <s v="Yakup Doğru"/>
        <s v="Özkan Dursun"/>
        <s v="Yaşar Ateş"/>
        <s v="Halil Bayram"/>
        <s v="Önder Can"/>
        <s v="Davut Çapan"/>
        <s v="Rıdvan Kefkir"/>
        <s v="Esma Diri"/>
        <s v="ALİ CAN AKPINAR"/>
        <s v="Tugay Gündüz"/>
        <s v="Yusuf Sapayer"/>
        <s v="Harun Karakaya"/>
        <s v="Suat Akbaba"/>
        <s v="Ahmet Konyalıoğlu"/>
        <s v="Abdullah Ensağ"/>
        <s v="Melisa Yeşil"/>
        <s v="Fevziye Güneş"/>
        <s v="Ayşegül Apaydın"/>
        <s v="Seher Yalınız"/>
        <s v="Mustafa Şahin"/>
        <s v="Gökhan Dönmez"/>
        <s v="Adem Kulluk"/>
        <s v="Şükrü Bayram"/>
        <s v="DOĞUKAN CIRDI"/>
        <s v="Cafer Nalbant"/>
        <s v="Hasan Albayrak"/>
        <s v="Rifat İslam Kılıç"/>
        <s v="Canan İlhan"/>
        <s v="Mustafa Bozdağ"/>
        <s v="Fatma Yılmaz"/>
        <s v="Murat Gürler"/>
        <s v="Bircan Kalkan"/>
        <s v="Ömer Faruk Kılıç"/>
        <s v="Ramazan Gençoğlu"/>
        <s v="MUSTAFA ÇINGI"/>
        <s v="Bahattin Aslan"/>
        <s v="AHMET ÜRPER"/>
        <s v="LÜTFİYE PINAR"/>
        <s v="Merve Şahin"/>
        <s v="Cüneyt Çetin"/>
        <s v="Yusuf Doğan"/>
        <s v="Erkan Ülkan"/>
        <s v="Gürkan Karakaya"/>
        <s v="Serkan Karadaş"/>
        <s v="Hülya Bozdemir"/>
        <s v="Ümit Yılmaz"/>
        <s v="İlhami Başer"/>
        <s v="Salim Altak"/>
        <s v="Erşad Başbağ"/>
        <s v="İsmail Doğu"/>
        <s v="Hayrullah Bilgin"/>
        <s v="ATAKAN ALİ BAŞ"/>
        <s v="Emre Topaklı"/>
        <s v="Ahmet Can Palancıoğlu"/>
        <s v="Erkan Üzüm"/>
        <s v="Saniye Dağlar"/>
        <s v="Mustafa Şencanlar"/>
        <s v="Yahya Aras"/>
        <s v="İbrahim Şencanlar"/>
        <s v="Mehmet Erdoğan"/>
        <s v="Yasemin Çelebi"/>
        <s v="Muhammed Saraç"/>
        <s v="Oktay Alkan"/>
        <s v="Gökhan Ünlühizarcı"/>
        <s v="JANBERK TÜRK"/>
        <s v="Yusuf Paşaoğlu"/>
        <s v="Metin Aybar"/>
        <s v="YAVUZ SELİM ZENGER"/>
        <s v="Şaban Zenger"/>
        <s v="Muhammed Salih Arslan"/>
        <s v="Bülent Şahin"/>
        <s v="Mehmet Aktaş"/>
        <s v="Selda Aktaş"/>
        <s v="Uğur Alan"/>
        <s v="Engin Can Çağlar"/>
        <s v="Hülya Tiritoğlu"/>
        <s v="Aykut Mustafa İzci"/>
        <s v="Mustafa Sağlam"/>
        <s v="Veysel Birol"/>
        <s v="Caner Toprak"/>
        <s v="ESRA KILIÇARSLAN"/>
        <s v="Şaban Sağıroğlu"/>
        <s v="Ufuk Saim"/>
        <s v="Emrah Çizmeli"/>
        <s v="Nuran Uysaler"/>
        <s v="Rıdvan Karaca"/>
        <s v="Burak Yılmaz"/>
        <s v="Orhan Kuruşcuoğlu"/>
        <s v="Mustafa Demirel"/>
        <s v="Muhammed Mustafa Uçankuş"/>
        <s v="YUNUS EREN"/>
        <s v="Aslıhan Bülbül"/>
        <s v="Züheyla Olgaç"/>
        <s v="Süleyman Höyüklüoğlu"/>
        <s v="Ayhan Höyüklüoğlu"/>
        <s v="Fatma Eser"/>
        <s v="Metin Höyüklüoğlu"/>
        <s v="Abdullah Aydoğan"/>
        <s v="Merve Güleç"/>
        <s v="Burhan Vural"/>
        <s v="Musa Dünya"/>
        <s v="Gülten Özmen"/>
        <s v="Nediret Sarıbaş"/>
        <s v="Resul Doğan"/>
        <s v="Necmettin Koç"/>
        <s v="Abdullah Toprak"/>
        <s v="Onur Karakoç"/>
        <s v="Kenan Karakoç"/>
        <s v="SELİM KAHRAMAN"/>
        <s v="Rabia Ergül"/>
        <s v="Nevzat Yalçın"/>
        <s v="Sinan Koçak"/>
        <s v="Serdar Çaparoğlu"/>
        <s v="Fadime Yıldırım"/>
        <s v="Volkan Demirci"/>
        <s v="Yüksel zaman"/>
        <s v="Fatma Arslan"/>
        <s v="Erdoğan Kanlıoğlu"/>
        <s v="Alev Gökoğuz"/>
        <s v="Sezai Aydın"/>
        <s v="FATMA KOÇ"/>
        <s v="Zahide Hasdemir"/>
        <s v="Muhammet Ata Çakmak"/>
        <s v="Coşkun Altıparmak"/>
        <s v="Fatma Aksu"/>
        <s v="Uğur Murat Dirim"/>
        <s v="Osman Dikici"/>
        <s v="Harun Ataş"/>
        <s v="Hürü Şahin"/>
        <s v="Hülya Germirlioğlu"/>
        <s v="FURKAN TEKİN"/>
        <s v="Nebahat Hopur"/>
        <s v="Berrin Şener"/>
        <s v="Nurettin Ünal"/>
        <s v="Ekrem Aras"/>
        <s v="Serkan Serçel"/>
        <s v="Duran Can"/>
        <s v="İsmail Tekgöz"/>
        <s v="Gülüzar Turhan"/>
        <s v="Süleyman Soydan"/>
        <s v="Fatih Süleyman Güneş"/>
        <s v="Suat Şahin"/>
        <s v="Fatih Kurt"/>
        <s v="Ahmet Eren Özsoy"/>
        <s v="Niyazi Bozkurt"/>
        <s v="Hacer Gözüküçük"/>
        <s v="Fatih Kılıçkaya"/>
        <s v="Sezer Karakaya"/>
        <s v="Yazgül Ertaş"/>
        <s v="HACI MURAT KILIÇ"/>
        <s v="Mustafa Emir Yılmaz"/>
        <s v="Osman Dağlı"/>
        <s v="Hakan Akkar"/>
        <s v="Hasan Salırlıoğlu"/>
        <s v="Sibel Sert"/>
        <s v="Dilek Kırtaş"/>
        <s v="Kürşad Gönül"/>
        <s v="Emre Demiröz"/>
        <s v="Selman Türkyılmaz"/>
        <s v="Fırat Kekeçoğlu"/>
        <s v="Hasan Gürpınar"/>
        <s v="Ercan Göktepe"/>
        <s v="Burak Göktepe"/>
        <s v="Mehmet Özen"/>
        <s v="Aydın Işık"/>
        <s v="Hatice Kaya"/>
        <s v="Bircan Özdemir"/>
        <s v="Bayram Aydemir"/>
        <s v="Gıyasettin Bozkaya"/>
        <s v="Murat Akkuş"/>
        <s v="Ünal Comart"/>
        <s v="MESUT ERDEM"/>
        <s v="Volkan Gice"/>
        <s v="Nizamettin Cengiz"/>
        <s v="Mustafa Özcan"/>
        <s v="Ali Deveci"/>
        <s v="Şura Yıldız"/>
        <s v="Recep Tayyip Özüdok"/>
      </sharedItems>
    </cacheField>
    <cacheField name="Telefon" numFmtId="0">
      <sharedItems containsSemiMixedTypes="0" containsString="0" containsNumber="1" containsInteger="1">
        <n v="3.522473838E9"/>
        <n v="3.525045202E9"/>
        <n v="3.523395958E9"/>
        <n v="5.370444907E9"/>
        <n v="3.525037727E9"/>
        <n v="3.522311583E9"/>
        <n v="5.431064121E9"/>
        <n v="5.399793981E9"/>
        <n v="5.465063838E9"/>
        <n v="3.522350515E9"/>
        <n v="5.076881502E9"/>
        <n v="5.526300238E9"/>
        <n v="5.345604096E9"/>
        <n v="5.312730594E9"/>
        <n v="3.524378971E9"/>
        <n v="3.528883898E9"/>
        <n v="3.523201239E9"/>
        <n v="5.303839538E9"/>
        <n v="5.331429538E9"/>
        <n v="5.435740503E9"/>
        <n v="5.523557126E9"/>
        <n v="3.525043339E9"/>
        <n v="5.300329892E9"/>
        <n v="5.436649359E9"/>
        <n v="5.46694557E9"/>
        <n v="5.534434688E9"/>
        <n v="3.523380233E9"/>
        <n v="5.427253357E9"/>
        <n v="5.392978018E9"/>
        <n v="5.382683726E9"/>
        <n v="5.417382611E9"/>
        <n v="3.525013388E9"/>
        <n v="5.541120402E9"/>
        <n v="5.520655893E9"/>
        <n v="5.345200917E9"/>
        <n v="5.300651695E9"/>
        <n v="5.070934768E9"/>
        <n v="5.526383824E9"/>
        <n v="5.417138734E9"/>
        <n v="5.454249333E9"/>
        <n v="5.392215824E9"/>
        <n v="5.312840476E9"/>
        <n v="5.436176727E9"/>
        <n v="5.449090446E9"/>
        <n v="3.523550404E9"/>
        <n v="3.52437102E9"/>
        <n v="5.525342551E9"/>
        <n v="3.524374E9"/>
        <n v="5.454619844E9"/>
        <n v="3.523330222E9"/>
        <n v="3.52503304E9"/>
        <n v="3.52504309E9"/>
        <n v="5.417423195E9"/>
        <n v="8.502207022E9"/>
        <n v="5.466966569E9"/>
        <n v="5.073683307E9"/>
        <n v="3.525040144E9"/>
        <n v="3.522322034E9"/>
        <n v="3.522222736E9"/>
        <n v="3.526661238E9"/>
        <n v="3.523362538E9"/>
        <n v="5.32525914E9"/>
        <n v="3.522473033E9"/>
        <n v="3.522220414E9"/>
        <n v="3.523391313E9"/>
        <n v="3.52438035E9"/>
        <n v="3.522335931E9"/>
        <n v="3.525033404E9"/>
        <n v="3.525020306E9"/>
        <n v="5.51039605E9"/>
        <n v="5.495092224E9"/>
        <n v="5.418372177E9"/>
        <n v="5.418978731E9"/>
        <n v="5.372150556E9"/>
        <n v="5.45554196E9"/>
        <n v="3.523323221E9"/>
        <n v="3.52408863E9"/>
        <n v="5.345888618E9"/>
        <n v="3.522362727E9"/>
        <n v="3.522203827E9"/>
        <n v="3.529993872E9"/>
        <n v="3.528885355E9"/>
        <n v="3.525036099E9"/>
        <n v="3.525046718E9"/>
        <n v="3.5223344E9"/>
        <n v="3.523393904E9"/>
        <n v="5.457331993E9"/>
        <n v="5.316453973E9"/>
        <n v="5.433838887E9"/>
        <n v="5.41471638E9"/>
        <n v="3.524310061E9"/>
        <n v="5.550762538E9"/>
        <n v="5.06770227E9"/>
        <n v="5.355117812E9"/>
        <n v="5.383482466E9"/>
        <n v="3.523326837E9"/>
        <n v="8.503992727E9"/>
        <n v="5.525001007E9"/>
        <n v="5.050856626E9"/>
        <n v="5.354681338E9"/>
        <n v="3.522360121E9"/>
        <n v="3.52438222E9"/>
        <n v="3.522232601E9"/>
        <n v="5.5265243E9"/>
        <n v="5.412310534E9"/>
        <n v="5.528155238E9"/>
        <n v="5.304804817E9"/>
        <n v="3.524466767E9"/>
        <n v="3.524377744E9"/>
        <n v="3.525021252E9"/>
        <n v="5.413869E9"/>
        <n v="5.528954244E9"/>
        <n v="5.548739804E9"/>
        <n v="3.522242428E9"/>
        <n v="3.522200909E9"/>
        <n v="5.523862667E9"/>
        <n v="3.523331501E9"/>
        <n v="5.326778217E9"/>
        <n v="3.522230405E9"/>
        <n v="3.522206166E9"/>
        <n v="3.524370514E9"/>
        <n v="5.427990038E9"/>
        <n v="5.465961875E9"/>
        <n v="5.550556638E9"/>
        <n v="3.525036969E9"/>
        <n v="5.511954538E9"/>
        <n v="5.41520028E8"/>
        <n v="5.306240638E9"/>
        <n v="3.52232317E9"/>
        <n v="3.529993633E9"/>
        <n v="5.551721592E9"/>
        <n v="3.522221219E9"/>
        <n v="3.52232866E9"/>
        <n v="3.523395566E9"/>
        <n v="3.523265555E9"/>
        <n v="3.524370002E9"/>
        <n v="3.522352521E9"/>
        <n v="5.321713877E9"/>
        <n v="3.52738018E9"/>
        <n v="3.524382022E9"/>
        <n v="5.535423587E9"/>
        <n v="5.524404044E9"/>
        <n v="3.523371E9"/>
        <n v="3.522233838E9"/>
        <n v="5.323617738E9"/>
        <n v="3.522354242E9"/>
        <n v="3.522324426E9"/>
        <n v="5.530180244E9"/>
        <n v="3.522345668E9"/>
        <n v="3.52237001E9"/>
        <n v="3.524374047E9"/>
        <n v="3.522222298E9"/>
        <n v="3.523209555E9"/>
        <n v="3.523325138E9"/>
        <n v="5.063956745E9"/>
        <n v="3.523338282E9"/>
        <n v="3.525020949E9"/>
        <n v="3.52431305E9"/>
        <n v="3.525048887E9"/>
        <n v="3.52503807E9"/>
        <n v="3.52888201E9"/>
        <n v="3.525031908E9"/>
        <n v="5.417481713E9"/>
        <n v="3.522221971E9"/>
        <n v="5.358790838E9"/>
        <n v="5.307314246E9"/>
        <n v="5.309473345E9"/>
        <n v="3.5250323E9"/>
        <n v="3.524380123E9"/>
        <n v="5.318748668E9"/>
        <n v="3.522204848E9"/>
        <n v="3.52503E9"/>
        <n v="3.525131338E9"/>
        <n v="5.316830438E9"/>
        <n v="3.522324535E9"/>
        <n v="3.522212206E9"/>
        <n v="3.522333444E9"/>
        <n v="3.523202103E9"/>
        <n v="3.522224535E9"/>
        <n v="3.524376063E9"/>
        <n v="5.453498641E9"/>
        <n v="3.523383831E9"/>
        <n v="5.527003806E9"/>
        <n v="5.541147572E9"/>
        <n v="3.522227372E9"/>
        <n v="5.39785803E9"/>
        <n v="5.051469496E9"/>
        <n v="5.38511225E9"/>
        <n v="5.384353925E9"/>
        <n v="5.538156537E9"/>
        <n v="5.538156538E9"/>
        <n v="3.52502726E9"/>
        <n v="3.525046085E9"/>
        <n v="5.309223386E9"/>
        <n v="5.055315111E9"/>
        <n v="3.523384906E9"/>
        <n v="5.5220685E9"/>
        <n v="3.523270505E9"/>
        <n v="3.524380818E9"/>
        <n v="3.525048E9"/>
        <n v="3.522224726E9"/>
        <n v="5.324153716E9"/>
        <n v="3.52338383E9"/>
        <n v="5.323970961E9"/>
        <n v="3.522239041E9"/>
        <n v="3.523441915E9"/>
        <n v="3.522254246E9"/>
        <n v="5.51007477E9"/>
        <n v="3.525036722E9"/>
        <n v="5.528850938E9"/>
        <n v="3.5224813E9"/>
        <n v="5.525001308E9"/>
        <n v="5.365630093E9"/>
        <n v="3.522400374E9"/>
        <n v="5.32711598E9"/>
        <n v="5.302077898E9"/>
        <n v="3.522228848E9"/>
        <n v="3.525038081E9"/>
        <n v="5.535957876E9"/>
        <n v="3.522333338E9"/>
        <n v="3.525131333E9"/>
        <n v="5.541356933E9"/>
        <n v="5.312260995E9"/>
        <n v="5.52662101E9"/>
        <n v="5.462249443E9"/>
        <n v="5.426244399E9"/>
        <n v="5.522185725E9"/>
        <n v="5.528793898E9"/>
        <n v="5.528672438E9"/>
        <n v="5.394363923E9"/>
        <n v="8.503463846E9"/>
        <n v="3.522201507E9"/>
        <n v="5.495485111E9"/>
        <n v="3.525031737E9"/>
        <n v="5.333807802E9"/>
        <n v="5.553877078E9"/>
        <n v="3.524380747E9"/>
        <n v="3.524311818E9"/>
        <n v="3.524314249E9"/>
        <n v="3.523331002E9"/>
        <n v="3.524313333E9"/>
        <n v="3.52332212E9"/>
        <n v="3.523209428E9"/>
        <n v="5.432783838E9"/>
        <n v="5.466017778E9"/>
        <n v="5.411005838E9"/>
        <n v="5.5184333E9"/>
        <n v="5.321622262E9"/>
        <n v="5.412576294E9"/>
        <n v="3.522314019E9"/>
        <n v="3.524310505E9"/>
        <n v="5.52577697E9"/>
        <n v="5.013735338E9"/>
        <n v="5.368232993E9"/>
        <n v="3.522206868E9"/>
        <n v="3.5224E9"/>
        <n v="3.523399901E9"/>
        <n v="5.050121352E9"/>
        <n v="3.523440132E9"/>
        <n v="5.526043866E9"/>
        <n v="5.455929245E9"/>
        <n v="5.524500138E9"/>
        <n v="5.342437681E9"/>
        <n v="5.550640338E9"/>
      </sharedItems>
    </cacheField>
    <cacheField name="İLÇE" numFmtId="0">
      <sharedItems>
        <s v="Melikgazi"/>
        <s v="Talas"/>
        <s v="Kocasinan"/>
      </sharedItems>
    </cacheField>
    <cacheField name="MAHALLE" numFmtId="0">
      <sharedItems>
        <s v="Gesi Fatih"/>
        <s v="Mevlana"/>
        <s v="Yeşil"/>
        <s v="Serçeönü"/>
        <s v="Bahçelievler"/>
        <s v="Kılıçaslan"/>
        <s v="Köşk"/>
        <s v="Yeşilyurt"/>
        <s v="Yeniköy"/>
        <s v="Tablakaya"/>
        <s v="Hacı Saki"/>
        <s v="Plevne"/>
        <s v="Hoca Ahmet Yesevi"/>
        <s v="Dere"/>
        <s v="Osmangazi"/>
        <s v="Beyazşehir"/>
        <s v="Sümer"/>
        <s v="Yenidoğan"/>
        <s v="Esentepe"/>
        <s v="Fevzi Çakmak"/>
        <s v="Alpaslan"/>
        <s v="Keykubat"/>
        <s v="Ahi Evran"/>
        <s v="General Emir"/>
        <s v="Yavuz Selim"/>
        <s v="Cumhuriyet"/>
        <s v="Harman"/>
        <s v="Nurihas"/>
        <s v="Camikebir"/>
        <s v="Erkilet 100.yıl"/>
        <s v="Sanayi"/>
        <s v="Hunat"/>
        <s v="Çorakçılar"/>
        <s v="Hürriyet"/>
        <s v="Gevher Nesibe"/>
        <s v="Yunus Emre"/>
        <s v="Sakarya"/>
        <s v="Esenyurt"/>
        <s v="Kazımkarabekir"/>
        <s v="Kocatepe"/>
        <s v="İldem Cumhuriyet"/>
        <s v="Gültepe"/>
        <s v="Barbaros"/>
        <s v="Erkilet Mehmet Akif Ersoy"/>
        <s v="Turgut Reis"/>
        <s v="Mimarsinan"/>
        <s v="Altınoluk"/>
        <s v="Melikgazi"/>
        <s v="Yıldızevler"/>
        <s v="Sahabiye"/>
        <s v="İstasyon"/>
        <s v="Germir"/>
        <s v="Ziyagökalp"/>
        <s v="Şeker"/>
        <s v="Erciyesevler"/>
        <s v="Kiçiköy"/>
        <s v="Gülük"/>
        <s v="Tacettinveli"/>
        <s v="Yukarı"/>
        <s v="Kiçikapı"/>
        <s v="Şehit Nazımbey"/>
        <s v="Şirintepe"/>
        <s v="Anafartalar"/>
        <s v="Yakut"/>
        <s v="Battalgazi"/>
        <s v="Oymaağaç"/>
        <s v="Demokrasi"/>
        <s v="Mithatpaşa"/>
        <s v="Kocasinan"/>
        <s v="Kayabaşı"/>
        <s v="Fatih"/>
      </sharedItems>
    </cacheField>
    <cacheField name="ADRES" numFmtId="0">
      <sharedItems>
        <s v="İldem Fatih Mah. Günsazak Cad. No:65/109 Melikgazi/KAYSERİ"/>
        <s v="Mevlana Mah. Bilge Kağan Cad. No:40, 38280 Talas/Kayseri"/>
        <s v="Yeşil Mah. Erkilet Blv. No:182 Kocasinan/KAYSERİ"/>
        <s v="Mevlana Mah., Papatya Cad., No:44/C Talas/Kayseri"/>
        <s v="Mevlana, 6078. Sokak, 38250 Talas/Kayseri"/>
        <s v="Sahabiye Mah. Çankaya Cad. No:9/E Kocasinan/KAYSERİ"/>
        <s v="Bahçelievler Mah. Kocasinan 2. Cad. No:13/D Melikgazi/KAYSERİ"/>
        <s v="Gesi Fatih Mah. 2354. Sok. No:10/C Melikgazi/KAYSERİ"/>
        <s v="Gesi Fatih Mah. Uygar Sok. No:26/B Melikgazi/KAYSERİ"/>
        <s v="Kılıçaslan Mah. Sivas Blv. No:62/F Melikgazi/KAYSERİ"/>
        <s v="Köşk Mah. Çakır Sok. No:9/B Melikgazi/KAYSERİ"/>
        <s v="Yeşilyurt Mah.2776. Sok. A-Blok D25 Apt. No:47/B Melikgazi/KAYSERİ"/>
        <s v="Yeşilyurt Mah. 2776. Sok. No:47/B Melikgazi/KAYSERİ"/>
        <s v="Mevlana Mah. Halef Hoca Cad. No:70/D Talas/KAYSERİ"/>
        <s v="Yeniköy Mah. Bülbül Cad. No:8/A Melikgazi/KAYSERİ"/>
        <s v="Tablakaya mh talas kayseri"/>
        <s v="Mevlana Mah. Bademli Cad. No:2/A Talas/KAYSERİ"/>
        <s v="Hacı Saki Mah. Atatürk Blv. No:29/B Kocasinan/KAYSERİ"/>
        <s v="Mevlana Mah. Barış Manço Cad. No:8/B Kocasinan Kayseri"/>
        <s v="Kılıçaslan Mah. Şht. Ütğm. Mustafa Şimşek Blv. No:41/B Melikgazi/KAYSERİ"/>
        <s v="Mevlana, Fildişi Sk. No: 30/ A, 38280 Talas/Kayseri"/>
        <s v="Gesi Fatih Mah. 2351. Sok. No:5/A Melikgazi/KAYSERİ"/>
        <s v="Hoca Ahmet Yesevi Mah. Kaman 1. Sok. No:11/A Kocasinan/KAYSERİ"/>
        <s v="Ertuğrul Gazi Mah. Pusula Cad. No:8/C Kocasinan/KAYSERİ"/>
        <s v="Osmangazi Mah. 54. Sok. No:29/B Kocasinan/KAYSERİ"/>
        <s v="Yeşilyurt Mah. 2357. Cad. B Blok(D17) No:37/C Melikgazi/KAYSERİ"/>
        <s v="Beyazşehir Mah. 825. Sok. No:22/E Kocasinan/KAYSERİ"/>
        <s v="Sümer Mah. 11.Cad. No:4/B Kocasinan/KAYSERİ"/>
        <s v="Gesi Fatih Mah. İhlas Sok. No:16/B Melikgazi/KAYSERİ"/>
        <s v="Bahçelievler Mah. Kocasinan 2. Cad. No:8/F Melikgazi/KAYSERİ"/>
        <s v="Mevlana Mah. Taslak Sok. No:2/B Talas/KAYSERİ"/>
        <s v="Yenidoğan Mah. Çimenli Cad. No:35/C Talas/KAYSERİ"/>
        <s v="Köşk Mah. Kışla Cad. No:52 Sosyete Pazarı Melikgazi/KAYSERİ"/>
        <s v="Esentepe Mah. 981. Sok. No:3/B Melikgazi/KAYSERİ"/>
        <s v="Sivas bulvarı, defne apt., A Blok No:63 B"/>
        <s v="Mimar Sinan Mah., Sivas Bulvarı, No:165/A"/>
        <s v="Keykubat Mah. Anafartalar Cad. No:137/E Melikgazi/KAYSERİ"/>
        <s v="Mevlana mh. Halef Hoca cad. No: 72/E"/>
        <s v="Mevlana Mah Mehmet Timuçin CD PRS 553/1, NO 22/H/7 Tevfik Ziya Ap. Talas/Kayseri"/>
        <s v="Ahi Evran Mah. 410. Sok. No:19/B Kocasinan/KAYSERİ"/>
        <s v="Erkilet General Emir Mah. No:2/D Kocasinan/KAYSERİ"/>
        <s v="Yavuzselim Mah. 727.Sok. No:14/F Kocasinan/KAYSERİ"/>
        <s v="Cumhuriyet Mah. Ulu Camii Cad. No:1/D Melikgazi/KAYSERİ"/>
        <s v="Gesi Fatih Mah. Saffet Arıkan Bedük Cad. No:61/C Melikgazi/KAYSERİ"/>
        <s v="Yeniköy Mah. Zeren Cad. No:26/B Melikgazi/KAYSERİ"/>
        <s v="Harman Mah. Tepebağlar Cad. No:1/F Talas/KAYSERİ"/>
        <s v="Mevlana Mah. Turgut Özal Cad. No:43/F Talas/KAYSERİ"/>
        <s v="Yenidoğan Mah. Timuçin Cad. No:5/B Talas/KAYSERİ"/>
        <s v="Esenyurt Mah. Yavuz Cad. No:15/A Melikgazi/Kayseri"/>
        <s v="Camikebir mah. Zihniye Baykan Cad. No:5/C Kocasinan/KAYSERİ"/>
        <s v="Mevlana Mah. 15 Temmuz Cad. No:6/A Talas/KAYSERİ"/>
        <s v="Yenidoğan Mah. Atatürk Blv. No:15/C Talas/KAYSERİ"/>
        <s v="Ertuğrul Gazi Mah. 4341. Sok. No:19/C Kocasinan/KAYSERİ"/>
        <s v="Yenidoğan Mah. Atatürk Blv. No:9/D Talas/KAYSERİ"/>
        <s v="Mevlana Mah. Elçibey Cad. No: 18 B"/>
        <s v="Tablakaya Mah. 6181 Sok. No:18/A Talas/KAYSERİ"/>
        <s v="Mevlana Mah. Velioğlu Cad. Kaya 1 Sok. No:3/F TALAS/KAYSERİ"/>
        <s v="Sanayi Mah. 6011. Cad. No:7 Kocasinan/KAYSERİ"/>
        <s v="Hunat Mah. Zenneci Sok. No:27/A Melikgazi/KAYSERİ"/>
        <s v="İldem Cumhuriyet Mah. Saffet Arıkan Bedük Cad. No:42/B Melikgazi/KAYSERİ"/>
        <s v="Kemeraltı Mah. Sokullu Cad. İpek Apt. No:63/C Melikgazi/KAYSERİ"/>
        <s v="Aydınlıkevler Mah. Cengiz Topel Cad. No:40 Melikgazi/KAYSERİ"/>
        <s v="Gesi Fatih Mah. Gün Sazak Cad. No:47/A Melikgazi/KAYSERİ"/>
        <s v="Gevher Nesibe Mah. Gür Sok. No:9/A Kocasinan/KAYSERİ"/>
        <s v="Hoca Ahmet Yesevi Mah. Mustafa Kemal Paşa Blv. No:300/A Kocasinan/KAYSERİ"/>
        <s v="Mevlana Mah. Halef Hoca Cad. No:61/A Talas/KAYSERİ"/>
        <s v="Kılıçaslan Mah. Sivas Blv. No.86D Çınar Apt. Altı, 38030 Melikgazi/Kayseri"/>
        <s v="Yunus Emre Mah. Bağdat Cad. No:71/C Kocasinan/KAYSERİ"/>
        <s v="Keykubat Mah. Şht. Büyükelçi İsmail Erez Blv. No:20/C Melikgazi/KAYSERİ"/>
        <s v="Yenidoğan Mah. Deliçay 1. Sok. No:10/B Talas/KAYSERİ"/>
        <s v="Mevlana Mah. Papatya Cad. Np:41/C Talas/KAYSERİ"/>
        <s v="Beyazşehir Mah. 825. Sok. No:22 Kocasinan/KAYSERİ"/>
        <s v="Kayseri Kocasinan Mevlana mah. Barış Manço cad. Plevne sok. 16/b"/>
        <s v="Fevzi Çakmak Mah. Sivas Blv. No:89/B Kocasinan/KAYSERİ"/>
        <s v="Kazımkarabekir Mah. Balveren Sok. No:30/A Melikgazi/KAYSERİ"/>
        <s v="Keykubat Mah. İsmail Erez Blv. No:16/A Melikgazi/KAYSERİ"/>
        <s v="Sivas Blv. No:46 A Kılıçaslan Mah. Melikgazi/Kayseri"/>
        <s v="Kocatepe Mah., 3025 Sok., No:37/A, Melikgazi, Kayseri"/>
        <s v="Mevlana Mah., Papatya Cad., No:41, Talas, Kayseri, Türkiye,"/>
        <s v="Yenidoğan Mah. Timuçin Cad. No:23/B Talas/KAYSERİ"/>
        <s v="Sahabiye Mah. Ahmet Paşa Cad. 14/B Çiçek İş Merkezi Altı, 38100 Kocasinan/Kayseri"/>
        <s v="Mevlana, Yavuz Sultan Selim Cd. No:18 D:E, 38280 Talas/Kayseri"/>
        <s v="Mevlana Mah. Halef Hoca Cad. No:70 Talas/KAYSERİ"/>
        <s v="İldem Cumhuriyet Mah. Serdar 1. Sok. No:2/B Melikgazi/KAYSERİ"/>
        <s v="istanbul adalar"/>
        <s v="Gültepe Mah. Mustafa Şimşek Bulv. Zafer Apt. Altı, 38030 Melikgazi/Kayseri"/>
        <s v="Barbaros Mah. Hakimiyet Cad. No:55/D Kocasinan/Kayseri"/>
        <s v="Ertuğrul Gazi Mah. 4341. Sok. No:19/B Kocasinan/KAYSERİ"/>
        <s v="Yenidoğan Mah. Bilge Kağan Cad. Çiğdem Apt. No:5/A Talas/KAYSERİ"/>
        <s v="Mevlana Mah. Batuhan Sok. No:17/B Talas/KAYSERİ"/>
        <s v="Mevlana Mah. Fildişi Sok. No:30/C Talas/KAYSERİ"/>
        <s v="Mevlana, Mehmet Timuçin Cd. no:26\1, 38280 Talas/Kayseri"/>
        <s v="Mevlana Mah. Cemil Baba Cad. No: 22 G Talas/Kayseri"/>
        <s v="Turgut Reis Mah. Bağdat Cad. No:234/B Kocasinan/KAYSERİ"/>
        <s v="Mevlana Mah. Barış Manço Cad. No:70/C Kocasinan/ KAYSERİ"/>
        <s v="Mimarsinan Mah. Fuzuli Cad. No:60/A Kocasinan/KAYSERİ"/>
        <s v="Alpaslan, Kızılırmak Cd. 80/A, 38030 Melikgazi/Kayseri"/>
        <s v="Kılıçaslan Mah., Sivas Cad., No:50/D, Melikgazi, Kayseri"/>
        <s v="Mevlana Mah., Barış Manço Cad., No: 80, Kocasinan, Kayseri"/>
        <s v="Mevlana Mah. Mehmet Akif Ersoy Cad. No:28/C Talas/KAYSERİ"/>
        <s v="Mevlana Mah. 6078. Sok. No:12/D Talas/KAYSERİ"/>
        <s v="Gültepe Mah. Şehit Üstegmen Mustafa Şimşek Blv. No:6 Melikgazi/KAYSERİ"/>
        <s v="Yenidoğan Mah. Oğulcuklu 1. Sok. No:24/A Talas/KAYSERİ"/>
        <s v="Sahabiye Mah., Oğuz Cad., No:3, Kocasinan, Kayseri, Türkiye,"/>
        <s v="Mimarsinanbahçelievler Mah. Şht. Raşit Kılıç Sok. No:16/A Melikgazi/KAYSERİ"/>
        <s v="Serçeönü, Çankaya Cd. no: 17/d, 38010 Kocasinan/Kayseri"/>
        <s v="Hoca Ahmet Yesevi Mah. Bekir Yıldız Blv. No:130/C Kocasinan/KAYSERİ"/>
        <s v="Altınoluk Mah., Veysel Cad., No:14/D,Melikgazi, Kayseri"/>
        <s v="Gesi Fatih Mah. Gün Sazak Cad. No:65/103 Melikgazi/KAYSERİ"/>
        <s v="Yenidoğan Mah., Kayabağlar Cad., No:44/B Talas/Kayseri"/>
        <s v="Alpaslan Mah. Aşık Veysel Blv. No:22/Z07 Melikgazi/KAYSERİ"/>
        <s v="Gevher Nesibe Mah. Mehmet Akif Cad. No:8/C Kocasinan/KAYSERİ"/>
        <s v="Yeşil Mah. Erkilet Blv. No:242/A Kocasinan/KAYSERİ"/>
        <s v="Bahçelievler Mah. Atatürk Blv. No:48/B Talas/KAYSERİ"/>
        <s v="Germir Mah. Sivas Blv. Restorant No:242/C Melikgazi/KAYSERİ"/>
        <s v="Sahabiye Mah. Türkay Sok. No:4 Kocasinan/KAYSERİ"/>
        <s v="Bahçelievler Mah. Uğur Sok. No:3/B Talas/KAYSERİ"/>
        <s v="Kılıçaslan Mah. Şht. Ütğm. Mustafa Şimşek Blv. Beylerbeyi Apt. No:37/B Melikgazi/KAYSERİ"/>
        <s v="Kılıçaslan Mah., Mustafa Şimşek Blv., No:37/B, Melikgazi, Kayseri"/>
        <s v="Kiçiköy Mah. Halef Hoca Cad. No:9/J Talas/KAYSERİ"/>
        <s v="Barbaros Mah. Kaldırım Cad.No:17/A Kocasinan/KAYSERİ"/>
        <s v="Hunat Mah. Kalpaklıoğlu Cad. No:11/A Melikgazi/KAYSERİ"/>
        <s v="Bahçelievler Mah. Kardeşler Sok. No:4/B TALAS/KAYSERİ"/>
        <s v="Gevher Nesibe Mah. İstasyon Cad. No:65/B Kocasinan/KAYSERİ"/>
        <s v="Germir Mah. 1772. Sok. No:5 Melikgazi/KAYSERİ"/>
        <s v="Keykubat Mah., Osman Kavuncu Blv., Nejla Apt., No:295/C, Melikgazi, Kayseri"/>
        <s v="Mevlana Mah. 15 Temmuz Cad. No:12/C Talas/KAYSERİ"/>
        <s v="Sahabiye Mah. Mete Cad. No:7/5 Kocasinan/KAYSERİ"/>
        <s v="Ziya Gökalp Mah., Meral Sok., No:9/A, Kocasinan, Kayseri"/>
        <s v="Mevlana Mah. Elçibey Cad. No:41/B Talas/KAYSERİ"/>
        <s v="Hürriyet Mah. Cengiz Topel Cad. No:105/G Melikgazi/KAYSERİ"/>
        <s v="Gesi Fatih Mah. Gün Sazak Cad. No:32/A Melikgazi/KAYSERİ"/>
        <s v="Mevlana Mah. Anayurt Cad. No:10/A Talas/KAYSERİ"/>
        <s v="Hunat Mah., Uçak Sok., No:21/A, Melikgazi, Kayseri"/>
        <s v="Gevher Nesibe Mah., İstasyon Cad., Fazlıoğlu İş Merkezi, No:8/E, Kocasinan, Kayseri"/>
        <s v="Mevlana Mah., Barış Manço Cad., Kazım Yedekçioğlu Sok, No: 2/A, Kocasinan, Kayseri"/>
        <s v="Şeker Mah., Muhsin Yazıcıoğlu Blv., No:70/A, Kocasinan, Kayseri, Türkiye"/>
        <s v="Yenidoğan Mah., Atatürk Blv., No:23/B, Talas, Kayseri"/>
        <s v="Erciyesevler Mah., Tuna Cad., No:12/A, Kocasinan, Kayseri"/>
        <s v="Sahabiye Mah. Mete Cad. No:14/C Kocasinan/KAYSERİ"/>
        <s v="Sivas Bulvarı, No:201/A, Kocasinan"/>
        <s v="Kiçiköy Mah. Atatürk Blv. No:73/F Talas/KAYSERİ"/>
        <s v="Melikgazi Mah. Sivas Blv. İpek Saray No:182/204 Melikgazi/KAYSERİ"/>
        <s v="Alpaslan Mah. Kızılırmak Cad. No:85/B Melikgazi/KAYSERİ"/>
        <s v="Mevlana Mah. Barış Manço Cad. No:10/A Kocasinan/ KAYSERİ"/>
        <s v="Sahabiye, Saray Cd. No:6/A, 38015 Kocasinan/Kayseri"/>
        <s v="Mevlana Mah. 15 Temmuz Cad. No:17 Talas/KAYSERİ"/>
        <s v="Kızılırmak Cd., 110- 114, 38030, Melikgazi"/>
        <s v="Cumhuriyet Mah. Millet Cad. No:11 Melikgazi/KAYSERİ"/>
        <s v="Bahçelievler Mah. 2170. Sok. No:50/B Melikgazi/KAYSERİ"/>
        <s v="Alpaslan Mah. Kızılırmak Cad. Vakıf Yenipark Apt. No:118/B Melikgazi/KAYSERİ"/>
        <s v="Köşk Mah. Mustafa Şimşek Cad. Hisar Apt. No:56/E Melikgazi/KAYSERİ"/>
        <s v="Bahçelievler Mah. Mevlana Cad. Atalay Apt. No:35/A Talas/KAYSERİ"/>
        <s v="Cumhuriyet Mah. Tennuri Sok. No:25/B Melikgazi/KAYSERİ"/>
        <s v="Gülük Mah. Yiğit Sok. No:6/C Melikgazi/KAYSERİ"/>
        <s v="Keykubat Mah. Şehit İsmail Erez Blv. No:16/B Melikgazi/KAYSERİ"/>
        <s v="Tacettinveli Mah. Seyyid Burhaneddin Blv. No:16/A Melikgazi/KAYSERİ"/>
        <s v="Aşık Veysel Blv. No:22, 38030"/>
        <s v="Mevlana Mah. Halef Hoca Cad. No:42/A Talas/KAYSERİ"/>
        <s v="Mevlana, Akbülbül Cd., No:2 D:C, 38280 Talas"/>
        <s v="Bahçelievler Mah. Bahçelievler Cad. No:39/B Talas/ KAYSERİ"/>
        <s v="Sakarya Mah. Doğanyurt Cad. No:10/A Melikgazi/KAYSERİ"/>
        <s v="Bahçelievler Mah. Rüzgarlı Cad. No:5/A Talas/Kayseri"/>
        <s v="Gesi Fatih Mah. Hanedan Sok. No:11/C Melikgazi/KAYSERİ"/>
        <s v="Hunat Mah. Nuh Naci Yazgan Cad. No:33/A Melikgazi/KAYSERİ"/>
        <s v="Mevlana Mh. Mehmet Timuçin Cd. No:7/A/1"/>
        <s v="Mevlana Mah., 15 Temmuz Caddesi, Ermiş Sok., Güneş Apt., No:6/A Talas"/>
        <s v="Kiçiköy, Halef Hoca Cd. No:9 D:H, 38280 Talas/Kayseri"/>
        <s v="Mevlana Mah. Papatya Cad. No:40/A Talas/KAYSERİ"/>
        <s v="Yenidoğan Mah. Atatürk Blv. No:15/A Talas/KAYSERİ"/>
        <s v="Mevlana Mah., Halef Hoca Cad., 6076.Sok., B Blok, No:3/1, Talas, Kayseri"/>
        <s v="Mevlana Mah. Yavuz Sultan Selim Cad. No:16/B Talas/KAYSERİ"/>
        <s v="Tacettin Veli Mah. Seyyid Burhaneddin Blv. No:48/C Melikgazi/KAYSERİ"/>
        <s v="Gültepe Mah. Orgeneral Hulusi Akar Blv. No:20/B Melikgazi/KAYSERİ"/>
        <s v="Yenidoğan Mah., Atatürk Blv., No:21/C, Talas, Kayseri"/>
        <s v="Alpaslan Mah. Org. Eşref Bitlis Blv. No:5/A Melikgazi/KAYSERİ"/>
        <s v="Sahabiye Mah. Sivas Blv. No:21/E Kocasinan/KAYSERİ"/>
        <s v="Sahabiye Mah. İstasyon Cad. No:6/A Kocasinan/KAYSERİ"/>
        <s v="Alpaslan Mah. Eşref Bitlis Blv. No:5/B Melikgazi/KAYSERİ"/>
        <s v="Gülük Mah. Yiğit Sok. No:2/A Melikgazi/KAYSERİ"/>
        <s v="Hunat Mah. Sivas Cad. No:12/C Melikgazi/KAYSERİ"/>
        <s v="Bahçelievler Mah. Atatürk Blv. No:14 Talas/KAYSERİ"/>
        <s v="Bahçelievler Mah. Tepebağlar Cad. No:14/B Talas/KAYSERİ"/>
        <s v="Ertuğrul Gazi Mah. 4340. Sok. No:9/A Kocasinan/KAYSERİ"/>
        <s v="Altınoluk Mah., Veysel Cad., No:8/D,Melikgazi, Kayseri"/>
        <s v="Eski Hama İlerisi, Gültepe Mah. Mustafa Şimşek Bulv. Zafer Apt. Altı, 38030 Melikgazi/Kayseri"/>
        <s v="Gesi Fatih Mah., Hanedan Sok, No:24/C, Melikgazi, Kayseri"/>
        <s v="Çorakçılar Mah. Cengiz Topel Cad. No:33/B Melikgazi/KAYSERİ"/>
        <s v="Esentepe Mah., Ahmet Gazi Ayhan Blv., No:119/B, Melikgazi, Kayseri"/>
        <s v="Bahçelievler, Hacı Cemil 1. Sk. 25/A, 38280 Talas/Kayseri"/>
        <s v="Bahçelievler Mah, Kocasinan İkinci Cad., No:61/A, Melikgazi, Kayseri"/>
        <s v="Cumhuriyet Mah. İnönü Blv. No:27/E Melikgazi/KAYSERİ"/>
        <s v="Cumhuriyet Mah. İnönü Blv. No:65 Melikgazi/KAYSERİ"/>
        <s v="Bahçelievler Mah. Atatürk Blv. No:22/B Talas/KAYSERİ"/>
        <s v="Yenidoğan Mah. Timuçin Cad. No:23/A Talas/KAYSERİ"/>
        <s v="Mevlana Mh. Bilge Kağan Cd. B giriş No: 30/E"/>
        <s v="Mevlana Mah. Cemil Baba Cad. No:34/C Talas/KAYSERİ"/>
        <s v="Alsancak mah. Osmangazi cad. 91 Kocasinan/KAYSERİ"/>
        <s v="Mevlana Mah. Çalışkan Sok. N0:5/1 Kocasinan/KAYSERİ"/>
        <s v="Şirintepe Mah., Malazgirt Blv., No:26, Melikgazi, Kayseri"/>
        <s v="Anafartalar Mah. Postane Sok. No:4/F Melikgazi/KAYSERİ"/>
        <s v="Kiçiköy Mah. Atatürk Blv. No:93/B Talas/KAYSERİ"/>
        <s v="Mevlana Mah. Papatya Cad. No:21/A Talas/KAYSERİ"/>
        <s v="Gevhernesibe Mah. İstasyon Cad. No:19/B Kocasinan/KAYSERİ"/>
        <s v="Fevzi Çakmak Mah. Fevzi Çakmak Cad. No:1/B Kocasinan/KAYSERİ"/>
        <s v="Yakut Mah. 3845. Cad. No: 16/A Kocasinan/KAYSERİ"/>
        <s v="Yenidoğan Mah. Mehmet Akif Ersoy Cad. No:19/B Talas/KAYSERİ"/>
        <s v="Fevzi Çakmak Mah. Bozantı Cad. No:96/A Kocasinan/KAYSERİ"/>
        <s v="Erkilet Dere Mah. 4340.Sok. Rüveyda Konağı No:17/B Kocasinan/KAYSERİ"/>
        <s v="Esenyurt mah.Kartal Blv.33-D Melikgazi/KAYSERİ"/>
        <s v="Mevlana Mah. Turgut Özal Cad. No:8/A Talas/KAYSERİ"/>
        <s v="Oymaağaç Mah., 5062.Cad., 2.Blok, No:71/A, Kocasinan, Kayseri"/>
        <s v="İldem Cumhuriyet Mah. Gün Sazak Cad. No:98/A Melikgazi/KAYSERİ"/>
        <s v="Mimarsinan Demokrasi Mah. Adnan Menderes 1. Cad. No:7/2 Melikgazi/KAYSERİ"/>
        <s v="Ahi Evran Mah. 410. Sok. No:19 Kocasinan/KAYSERİ"/>
        <s v="Köşk Mah. Mustafa Şimşek Cad. Hisar Apt. No:56/D Melikgazi/KAYSERİ"/>
        <s v="Erciyesevler Mah. Tuna Cad. No:30/A Kocasinan/KAYSERİ"/>
        <s v="Yeşilyurt Mah. 2357.Cad. No:61/G Melikgazi/KAYSERİ"/>
        <s v="Köşk Mah. Köşk Cad. No:65/B Melikgazi/KAYSERİ"/>
        <s v="Yenidoğan Mah. Kayabağlar Cad. Hüner Sok. No:10/A Talas/KAYSERİ"/>
        <s v="Yeniköy mah.Seher blv. no:6 Melikgazi/KAYSERİ"/>
        <s v="Mevlana Mah. Zafer Bayburtluoğlu Cad. No:4/D Talas/KAYSERİ"/>
        <s v="Mevlana Mah. Metehan Sok. No:40/B Talas/KAYSERİ"/>
        <s v="Mimarsinan MAh., Sivas Blv., Ümit Apt., No:163/A, Melikgazi, Kayseri"/>
        <s v="Yenidoğan Mah., Atatürk Blv., No:15, Talas, Kayseri"/>
        <s v="Mevlana Mah., Gözde Sok., No:33/A, Talas/Kayseri"/>
        <s v="Sahabiye Mah., Otak Sok., No:10/A, Kocasinan, Kayseri"/>
        <s v="Yenidoğan, Bilge Kağan Cd, 38280 Talas/Kayseri"/>
        <s v="Bahçelievler Mah. Dedeoğlu 1. Sok. No:8/A Talas/KAYSERİ"/>
        <s v="Harman Mah., Tepebağlar Cad., No:1/E, Talas, Kayseri"/>
        <s v="Kazımkarabekir Mah. Toros Cad. No:36 Melikgazi/KAYSERİ"/>
        <s v="Mithat Paşa Mah. Erkilet Blv. No:181/B Kocasinan/KAYSERİ"/>
        <s v="Yenidoğan Mah. 3199.Sok. No:7 Kocasinan/KAYSERİ"/>
        <s v="Mevlana Mah. Şht. Fatih Duman Sok. No:18/B Talas/KAYSERİ"/>
        <s v="Turgut Reis Mah., Turgut Reis Cad., C2 Blok, No:13/C, Kocasinan, KAYSERİ"/>
        <s v="Fevzi Çakmak Mah. Sivas Blv. No:73/A Kocasinan/KAYSERİ"/>
        <s v="Yenidoğan Mah. Atatürk Blv. C Giriş No:11/A Talas/KAYSERİ"/>
        <s v="Mevlana Mah. Papatya Cad. No:43/C Talas/KAYSERİ"/>
        <s v="Mevlana Mah. Taslak Sok. No:26/D Talas/KAYSERİ"/>
        <s v="Mevlana Mah.15 Temmuz Cad No:18/C"/>
        <s v="Mevlana Mah. Yavuz Sultan Selim Cad. No:7/A Talas/KAYSERİ"/>
        <s v="Mevlana Mah. Halef Hoca Cad. No:69/A Talas/KAYSERİ"/>
        <s v="Mevlana Mah. Mehmet Timuçin Cad. No:26/B Talas/Kayseri"/>
        <s v="Kılıçaslan Mah. ŞHT.ÜTĞM. Mustafa Şimşek Blv. Candoğan Apt. No: 27 A MElikgazi/Kayseri"/>
        <s v="Mevlana Mah. Cemil Baba Cad. No:15/D Talas/KAYSERİ"/>
        <s v="Keykubat Mah. Yurt Cad. No:102/B Melikgazi/KAYSERİ"/>
        <s v="Gülük Mah., İnönü Bulv., No:22/D, Melikgazi, Kayseri"/>
        <s v="Sahabiye Mah. Sivas Blv. No:37/A Kocasinan/KAYSERİ"/>
        <s v="Melikgazi Mah. Org. Eşref Bitlis Blv. No:1/A Melikgazi/KAYSERİ"/>
        <s v="Mevlana Mah., Karasu Cad., No:54/C Talas / Kayseri"/>
        <s v="Kılıçaslan Mah., Şht. Ütğm. Mustafa Şimşek Blv., No:51, Melikgazi, Kayseri, Türkiye"/>
        <s v="Bahçelievler, Mevlana Cd. No:13 D:E, 38280 Talas/Kayseri"/>
        <s v="Sahabiye Mah. İstasyon Cad. Ak İş Merkezi No:14/A Kocasinan/KAYSERİ"/>
        <s v="Mevlana Mah. Cemil Baba Cad. No:40/A Talas/KAYSERİ"/>
        <s v="Camikebir Mah., Cumhuriyet Cad., No:30, Melikgazi, Kayseri"/>
        <s v="İldem Cumhuriyet Mah., Tekin Sok., No:146, Melikgazi, Kayseri"/>
        <s v="Gesi Cumhuriyet Mah. Gün Sazak Cad. No:70 Melikgazi/KAYSERİ"/>
        <s v="Kocasinan Mah. Marifet Cad. No:5/A Kocasinan/KAYSERİ"/>
        <s v="Argıncık Mah. Kocasinan Blv. No:359/B Kocasinan/KAYSERİ"/>
        <s v="Barbaros Mah. Külden Sok. No:5/A Kocasinan/KAYSERİ"/>
        <s v="Erciyesevler Mah. Tuna Cad. No:30/D Kocasinan/KAYSERİ"/>
        <s v="Erkilet Osmangazi Mah. Erkilet Blv. No:556/B Kocasinan/KAYSERİ"/>
        <s v="MİTHATPAŞA MAH ÖĞÜN CAD.İŞLER APT.23/B KOCASİNAN/KAYSERİ"/>
        <s v="Sahabiye Mah. Seher Sok. No:12/1A KOCASİNAN/KAYSERİ"/>
        <s v="Altınoluk Mah. Seher Blv. No:35/A Melikgazi/KAYSERİ"/>
        <s v="Bahçelievler Mah. Kocasinan 2. Cad. No:25/B Melikgazi/KAYSERİ"/>
        <s v="Esenyurt Mah. Erciyes Blv. No:146/A Melikgazi/KAYSERİ"/>
      </sharedItems>
    </cacheField>
    <cacheField name="Geleneksel&#10;Zincir" numFmtId="0">
      <sharedItems>
        <s v="Geleneksel"/>
      </sharedItems>
    </cacheField>
    <cacheField name="FOTOĞRAF SEGMENT" numFmtId="0">
      <sharedItems containsBlank="1">
        <m/>
        <s v="Köşk Mah. Mustafa Şimşek Cad. Hisar Apt. No:56/E Melikgazi/KAYSERİ"/>
      </sharedItems>
    </cacheField>
    <cacheField name="Aradık Mı?" numFmtId="0">
      <sharedItems>
        <b v="1"/>
        <b v="0"/>
      </sharedItems>
    </cacheField>
    <cacheField name="Kendi Fotosu&#10;Var" numFmtId="0">
      <sharedItems>
        <b v="0"/>
        <b v="1"/>
      </sharedItems>
    </cacheField>
    <cacheField name="Randevu &#10;Durumu" numFmtId="0">
      <sharedItems containsBlank="1">
        <s v="Franchise"/>
        <s v="Dönüş Yapacak"/>
        <s v="Randevu Alındı"/>
        <s v="Randevu İptal"/>
        <s v="Restoran Silindi"/>
        <s v="İleride Randevu Alınacak"/>
        <s v="Başka Şubeden Çekilecek"/>
        <s v="Sistemden Çıkmak İstiyor"/>
        <m/>
        <s v="Çekim İstemiyor"/>
        <s v="BlackList"/>
        <s v="Ulaşılamadı"/>
        <s v="Devir"/>
      </sharedItems>
    </cacheField>
    <cacheField name="Randevu&#10;Alan" numFmtId="0">
      <sharedItems containsBlank="1">
        <m/>
        <s v="Ferhat Köksal"/>
        <s v="Zeliha Özer"/>
        <s v="Hatem Soyaslan"/>
        <s v="Selcan Topçu"/>
        <s v="Betül Demir"/>
        <s v="Sude Alkan"/>
        <s v="Senanur Çınar"/>
        <s v="Enes Günal"/>
        <s v="Emre Dalgıç"/>
        <s v="Ezgi Turan"/>
        <s v="Ayşegül Kır"/>
        <s v="Eylem Ünal"/>
        <s v="Nazmiye Yuka"/>
        <s v="Yurdagül Kulaksız"/>
        <s v="Özlem gümüş"/>
        <s v="Funda Ünlü"/>
        <s v="Simge Tüçay"/>
        <s v="Hatice Özer"/>
      </sharedItems>
    </cacheField>
    <cacheField name="Fotoğrafçı" numFmtId="0">
      <sharedItems containsBlank="1">
        <s v="10 dk sonra// açmadı"/>
        <m/>
        <s v="Muzaffer Köprü"/>
        <s v="Feyza Yıldırım"/>
        <s v="Hacı Baba Lale"/>
        <s v="babası ile konuşup dönüş yapacak "/>
        <s v="Ahmet Demirdoğan"/>
        <s v="fotoğrafları var mail atacak "/>
      </sharedItems>
    </cacheField>
    <cacheField name="Not">
      <sharedItems containsBlank="1" containsMixedTypes="1" containsNumber="1" containsInteger="1">
        <s v="merkeze bağlı olduklarını belirtti"/>
        <s v="açmadılar//açmadılar/ulaşılamıyor// malzemeleri henüz tam değil 3 ürünü var elinde tamamlayınca geri dönüş yapacak / meşgul çalıyor"/>
        <s v="12.30 gibi ararsanız eğer sizlere çok yardımcı olurum dedi//6-6,5 gibi ara dedi/1 saat sonra aranılcsk"/>
        <s v="meşgule attı//yüzüme kapattı/açmadılar//aömadılar\ramazandan sonra aranacak//11 haziranda randevu oluşacak"/>
        <s v="açmadı/açmadılar/açmadılar\\açmıyor//ÜSTEKİYLE AYNI YETKİLİ"/>
        <n v="5.35276406E9"/>
        <s v="fotoğrafçı işten çıktığı için iptal oldu "/>
        <s v="restorantı kapatmışlar "/>
        <m/>
        <s v="daha sonra arancak / babası ameliyat olmuş daha sonra aranabilir / babası vefat etmiş daha sonra görüşelim dedi "/>
        <s v="perihan "/>
        <s v="sistemden çıkmak istediğini belirtti  "/>
        <s v="açmadı/düşünmüyolarmış"/>
        <s v="istemedi gerek yok dedi  "/>
        <n v="5.5319898E9"/>
        <s v="öğleden sonra 2 gibi arayın der / kendi fotoğrafları varmış mail atacak "/>
        <s v="dükkan devir aşamasında panelin açılmasını bekliyorum  - ramazan sonra yapalım "/>
        <s v="diğer şube ile randevu ayarlnamış ordan "/>
        <s v="bir daha alınmasın "/>
        <s v="devam çekimi alındı "/>
        <s v="Mesut Bey 5534434688"/>
        <s v="panelde fotoğrafları var "/>
        <s v="keykubat mah kuyu caddesi no 14/a"/>
        <s v="açmadı"/>
        <s v="yt yok akşam gelir dedi."/>
        <n v="5.07570142E9"/>
        <s v="frencheise"/>
        <s v="ben ustama sorup dönüş sağlarım dedi  - eşi talat beyden randevu alındı "/>
        <s v="büyük menderes caddesi no  41"/>
        <s v="mustafa bey 05322311551"/>
        <s v="yetkili yokmuş gelince dönecek"/>
        <s v="RANDEVU İSTİYOR- çekime gerek yok dedi /kendi fotoğraflarını iletecekler."/>
        <s v="istemiyorum sağolun dedi "/>
        <s v="TEYİT İÇİN ARANDI MÜSAİT DEĞİLİM DEDİ"/>
        <s v="mail atıcak - devir etme durumum var dedi / işletme kapanmış "/>
        <s v="şu anda böyle bir hazırlık yapamayız dedi"/>
        <s v="sahabiye mah. mete cad. no:3 öğretmenevi ilerisi"/>
        <s v="henüz getiri kullanmaya başlamamış.//açmadı// biz çekime gerek duymuyoruz yoğunuz der"/>
        <s v="yogunuz dedi kapatı"/>
        <s v="ürünü çıkarmam çok mailyetli olu dedi ben çekerim dedi "/>
        <s v="fotografcı işten cıktıgı ıcın ıptal oldu/MUSAIT DEGILLER"/>
        <s v="TEYİT İÇİN ARANDI GERÇEKLEŞTİ"/>
        <s v="ramazan ayının 2. haftası istiyor / bayramdan sonra istedi "/>
        <s v="açmadılar//açmadılar\\açmıyorr\açmadı/randevu alındı//TEYİT İÇİN ARANDI YET YOK"/>
        <s v="iptalin yerine alındı//TEYİT İÇİN ARANDI GERÇEKLEŞTİ"/>
        <s v="Fotoğrafçı Hanifi KAtı//TEYİT İÇİN ARANDI GERÇEKLEŞMİŞ"/>
        <s v="5074527870 / fotoğrafları varmış "/>
        <s v="kalan ürünleri çıkarmıyorum dedi"/>
        <s v="ulaşılamadı "/>
        <s v="istemiyorum diyor / tşekkür ederim istemiyorum dedi "/>
        <s v="3 gibi ara / numarayı aradım geçici süreliğine kapalı/istemiyormuş gerek yok sağolun dedi/haftaya randevu oluşturulacak"/>
        <s v="05434088633 özkan bey /oses çiğköfteci antep baklavacısı"/>
        <s v="merkeze bağlılarmış"/>
        <s v="tatlıları mevcut değilöiş şu an 2 hafta sonra aranacak/dükkanı devredicem dedi."/>
        <s v="ökkeş/5061251825"/>
        <s v="5305950999 furkan"/>
        <s v="5527496099-  Ali bey no :05550403827"/>
        <s v="5076106944 tugay bey açmadı\"/>
        <s v="çekilmeyen ürünler için perşembe günü randevu verilmiş//İLERde randevu istiyor 3kez gidilmemiş / geliyoruz diyorsunuz gelmiyorsunuz gelmeyin de aramayın da dedi "/>
        <s v="TEYİT İÇİN ARANDI GERÇEKLEŞTİ-AKŞAM ÜZERİ TEKRAR ARANACAK"/>
        <s v="Ahmet bey / ramazandan sonra yapaılm dedi "/>
        <s v="istemiyormuş nedenini sorunca isteğim yok gerek yok dedi."/>
        <s v="şuan için gerek yok dedi\\3-4 gibi ara"/>
        <s v="mail atacak - zafer bey no : 05454363333"/>
        <s v="alparslan şubeden çekim yapılmış "/>
        <s v="no servis dışı"/>
        <s v="bı kac hafta musaıt degılız"/>
        <s v="devam çekimi"/>
        <s v="kendi fotoğraflarının kontrolünü sağlayıp var ise gönderecek yoksa dönüş yapacak/5326177111 kendi fotoğraflarını yollayacak olıursa eklersiniz olmazsa çekime gerek yok dedi"/>
        <s v="yetkili 11 gibi gelecek "/>
        <s v="burası dağıtım şubesi "/>
        <s v="TEYİT İÇİN ARANDI GERÇEKLEŞMİŞ"/>
        <s v="15 dk sonra ara "/>
        <s v="size dönüş yaparım dedi\\mail verildi"/>
        <s v="foto/ feyza yıldırım//TEYİT İÇİN ARANDI DEVAM ÇEKİMİ İSTEMİYOR"/>
        <s v="el degişikliği olabilirmiş ilerde aranacak"/>
        <s v="ulaşılamadı / ortağı ile de görüşüp dönecek "/>
        <s v="açmadı "/>
        <s v="ÇEKİMLER YAPILMIŞ"/>
        <s v="Tam ürün çıkaramadığından dolayı 10 gün sonra tekrar aranacak/açmadı/randevu tekrar alındı//TEYİT İÇİN ARANDI RANDEVU İSTİYOR GİDİLMEMİŞ/5376670505"/>
        <s v="ramazan dolayısıyla döneri takılı değil bayramdan sonra "/>
        <s v="fiyat konusunda sıkıntılıymış "/>
        <s v="5304564519/menü güncellemesi yapacaklarmış 1 ay sonra iletişime geçmek istiyorlar"/>
        <s v="numara hatalı "/>
        <s v="getiri kapattım kuryem konumu bulamıyor siz de müşterinin numarasını vermiyorsunuz dedi."/>
        <s v="YETKİLİ YOK//30DK GELİR / çekim yapılmamış şuan da işletmeyi taşıdığı için çki olamazmış "/>
        <s v="gerek duymuyorum der"/>
        <s v="bayramdan sonra alınabilir "/>
        <s v="öğleden sonra gelir "/>
        <s v="öğleden sonra yetkili gelir dedi "/>
        <s v="yetkili 4 gibi gelir "/>
        <s v="gerek yok dedi  "/>
        <s v="mailden atacak"/>
        <s v="bizden de daha önce çekilmiş fotoğrafların örneklerini istediler eğer daha iyiyse çektirebilirlermiş"/>
        <s v="Yusuf Bey 5533104377 / Şuan kayseride değilmiş 1 aya kadar yapılacak - paket servis yok o yüzden gere yok dedi"/>
        <s v="mail atacak / mail adresi iletildi "/>
        <s v="oğlu yavuz selim zengerden randevu alındı "/>
        <s v="alparslan şubesini arayarak yetkili ile görüşülebilir"/>
        <s v="şuan için uygunluğum yok istemiyorum olursa dönerim size der"/>
        <s v="Fotoğrafçı Ahmet//TEYİT İÇİN ARANDI GERÇEKLEŞMİŞ / çekim yapılmış ama panelde ekle değil "/>
        <s v="istemiyor"/>
        <s v="10DK///AÇMADI- hat meşgul"/>
        <n v="5.468911561E9"/>
        <s v="6 dan sonra aranılcak - 05530643871 - devam çekimi alındı "/>
        <s v="TEYİT İÇİN ARANDI GERÇEKLEŞMİŞ AMA FOTOĞRAFLAR YÜKLENMEMİŞ - devam çekimi alındı "/>
        <s v="öğleden sonra ara //açmadı//açmadı/açmadılar/açmadı//şuan müsait değil daha sonra ara//1 2 saat sonra ara//yetkili yok / paekte servise uygun ürünler yapmadıkları için getiri kapatmışlar "/>
        <s v="5333281136 / ramazandan sonra "/>
        <s v="yetkili 12 gibi gelirmiş.\\ramazandan sonra//5326201201-fotoğraflar yüklensin ona göre konuşalım dedi"/>
        <s v="KENDİ FOTOĞRAFLARI VAR"/>
        <s v="kurye sıkıntısından dolayı şuan paneli açamıyormuş "/>
        <s v="haftaya tekrar arayın"/>
        <s v="TEYİT İÇİN ARANDI MÜSAİT OLAMADIK TEKRAR RANDEVU İSTİYOR"/>
        <s v="şuan yoğunluk var eşim ilgileniyor öğleden sonra ben sizi aratırırım dedi / şuan ürünlerim yo bayramdan sonra yapaılm dedi "/>
        <s v="5443034205 rıdvan"/>
        <s v="dinlemeden kapattı  "/>
        <s v="İşletme numarası yanlış  / bayramdan sonra "/>
        <s v="mail atacak"/>
        <s v="YUSUF BEY 5413527352 - Ulaşılamadı "/>
        <s v="yetkili erdem beyden randevu alındı 5387368405 "/>
        <s v="devam çekımı --5537354856"/>
        <s v="6228a106776ec6174363cbd0 bu işletmesinde çekilen ürünler kullanılacak "/>
        <s v="merkezle görüşün der"/>
        <s v="Ahmet Bey 5386028117 öğle molasından gelince aranacak"/>
        <s v="ramazan sonra olabilir dedi "/>
        <s v="devam çekimi eksik ürünler için istedi//TEYİT İÇİN ARANDI GİDİLMEMİŞ İSTİYOR / istemiyor "/>
        <s v="hiç gerek yok dedi "/>
        <s v="Aydınlıkevler mah olarak değişmiş."/>
        <s v="şuan olmaz ramazandan sonra dedi "/>
        <s v="getir yemeği kapattım kullanmıyorum dedi"/>
        <s v="Enes/ 5059721737"/>
        <n v="5.432792703E9"/>
        <s v="Cenazesi varmış tekrar randevu 5309223386 onur beyle iletişime geçilecek // ramazandan dolayı ürün sayım az o yüzden ileri tarih daha iyi olur der//yetkili yarım saat sonra gelir dedi//7 e doğru aranacak//TEYİT İÇİN ARANDI YET YOK"/>
        <s v="bayramdan sonra "/>
        <s v="ancak bayramdan sonra olabilir dedi "/>
        <s v="0352 338 49 09 / Gamze Hanım 5424536897 / Saat 2 gibi aranacak"/>
        <s v="getiri kullanamıyorlarmış şifre vermemiş getir "/>
        <s v="panelde görsel istemiyo"/>
        <n v="5.078193939E9"/>
        <s v="Kendim sizi aramak istiyorum hazırlık yapmam gerek der//hazırlık yapmam gerek ben istediğimde sizlere dönüş yaparım der / sezonu daha açılmamış "/>
        <s v="fotoğraflarıvarmış mail adresine atacak "/>
        <s v="ileride istiyo - ulaşılamadı "/>
        <s v="5548608802/ sabah saatlerinde ara//fotoğrafları kontrol edecek mail verildi - eşi mesut beyden randevu alındı "/>
        <n v="5.426981842E9"/>
        <s v="yetkili öğleden sonra gelecek "/>
        <s v="beni 4 gibi arayın dedi "/>
        <s v="fatma hanım yokmuş daha sonra aranacak // yarın ara//açmadılar/açmadılar/açmadılar/açmadı/ytk yoktu //yarım saat sonra ara//tabelasını değiştirecekmiş 2 hafta sonra arayın randevu oluşturulabilir./ kuryesi yokmuş şuan çekim düşünmüyor "/>
        <s v="3-4 şubesi varmış//getiri kullanmıyormuş"/>
        <s v="çekim gerçekleşmiş ama yüklenmemiş henüz"/>
        <s v="açmadılar// yetkili yok köşk şubesinde dedi"/>
        <s v="devam cekımı"/>
        <s v="şuan müsait değilim dedi yüzüme kapattı"/>
        <s v="5387257052 cep numarası bu ama açmıyor"/>
        <s v="devir aşamasındalarmış"/>
        <s v="ramazan dolayısıyla ürün sayımız az bayramdan sonra gelin dedi "/>
        <s v="öğlen saat 15.00 gibi gelir yetkili dedi  - yetkili şermin hanımdan randevu alındı 05524398892 "/>
        <s v="ne zaman yoğun olacağım belli değil 2-3 tane ürün çıkartırım anca  ben sizlere dedi / yok teşekkür ederim dedi kapattı"/>
        <s v="1AY SONRA arancak- ulaşılamadı "/>
        <s v="1 hafta  sonra aranacak elemanı korona olmuş aynı zamanda menü de değişiklik yapacak  - fırını daha yapılmamış ramazan dan sonra randevu alınabilir / ramazanda kapalı "/>
        <s v="OĞLU SERKAN BEYDEN RANDEVU ALINDI "/>
        <s v="mail atacak "/>
        <s v="60b8fbc42d25bfe8ef11b846 - bu işletmesindeki fotoğrafları kullanmak istiyor "/>
        <s v="haftaya aranacak - ulaşılamadı "/>
        <s v="Hürmet Hanım/yarın arayın ortaklarımla görüşmem lazım dedi\\meşgul//ulaşılmıyor//ben bi konuşuyum yarın yine ara/Fatih Bey 5052920985 bu nodan aranacak "/>
        <s v="yetkili yokmuş daha sonra aranabilri/daha sonra tekrar aranacak"/>
        <s v="Hamdullah bey"/>
        <s v="Şule Hanım"/>
        <s v="tadilat durumumuz var daha sonrası için görüşelim derler. / osman bey gece gelirmiş no da vermediler "/>
        <s v="yetkili yok mart ayında gelirmiş yetkili yurtdışındaymış - 4 gibi arayın dedi "/>
        <s v="açmadı05346678022 aranacak // çekimi yapılmış// devam çekimi için şuan çok yoğunuz 1 ay sonra tekrar arayabilirsiniz."/>
        <s v="20 dk ya arayın gelir dedi - 15 E - OĞLU EMRE BEYDEN RANDEVU ALINDI "/>
        <s v="Burası Cemal Kuşak Corner  omuş randevu alındı "/>
        <s v="12/C"/>
        <s v="Talas/Bahçelievler mahallesinde çekim sağlanacak hedef listede bulamadım randevusu oluşturuldu/3524374422"/>
        <s v="3524374422 / ramazandab bir ay önce gelip çekim yepıldı dedi "/>
        <s v="fotoğrafcı/ feyza yıldırım"/>
        <s v="alındı/TEYİT İÇİN ARANDI GERÇEKLEŞTİ"/>
        <s v="saat 5 gibi ara "/>
        <s v="5425032650-fotoğrafcı hanifi/daha sonrarandv. istedi//yet yok//İLERDE RANDEVU İSTİYOR - ramazanda olabilir dedi / ramazandan sonra dedi "/>
        <s v="yetkili 4 de gelecek "/>
        <s v="15 20 dk sonra"/>
        <s v="5320599603/"/>
        <s v="yarın müsaitlik durumuna göre dönecek bana / haftaya alınabilir "/>
      </sharedItems>
    </cacheField>
    <cacheField name="Randevu Alma &#10;Tarihi" numFmtId="0">
      <sharedItems containsDate="1" containsString="0" containsBlank="1">
        <m/>
        <d v="2022-03-07T00:00:00Z"/>
        <d v="2021-06-02T00:00:00Z"/>
        <d v="2022-02-17T00:00:00Z"/>
        <d v="2022-02-11T00:00:00Z"/>
        <d v="2022-01-10T00:00:00Z"/>
        <d v="2022-02-22T00:00:00Z"/>
        <d v="2022-01-27T00:00:00Z"/>
        <d v="2022-02-14T00:00:00Z"/>
        <d v="2021-04-01T00:00:00Z"/>
        <d v="2022-02-04T00:00:00Z"/>
        <d v="2022-03-01T00:00:00Z"/>
        <d v="2022-01-25T00:00:00Z"/>
        <d v="2022-03-25T00:00:00Z"/>
        <d v="2022-02-07T00:00:00Z"/>
        <d v="2022-02-25T00:00:00Z"/>
        <d v="2021-04-15T00:00:00Z"/>
        <d v="2021-06-08T00:00:00Z"/>
        <d v="2022-02-02T00:00:00Z"/>
        <d v="2022-02-19T00:00:00Z"/>
        <d v="2021-04-07T00:00:00Z"/>
        <d v="2021-10-11T00:00:00Z"/>
        <d v="2021-06-15T00:00:00Z"/>
        <d v="2022-03-21T00:00:00Z"/>
        <d v="2022-03-23T00:00:00Z"/>
        <d v="2021-06-11T00:00:00Z"/>
        <d v="2021-05-28T00:00:00Z"/>
        <d v="2022-02-01T00:00:00Z"/>
        <d v="2022-03-03T00:00:00Z"/>
        <d v="2022-03-28T00:00:00Z"/>
        <d v="2022-02-03T00:00:00Z"/>
        <d v="2022-04-25T00:00:00Z"/>
        <d v="2022-03-15T00:00:00Z"/>
        <d v="2022-04-18T00:00:00Z"/>
        <d v="2022-03-18T00:00:00Z"/>
        <d v="2021-04-06T00:00:00Z"/>
        <d v="2022-03-09T00:00:00Z"/>
        <d v="2022-01-17T00:00:00Z"/>
        <d v="2021-04-19T00:00:00Z"/>
        <d v="2022-02-18T00:00:00Z"/>
        <d v="2022-02-28T00:00:00Z"/>
        <d v="2022-03-30T00:00:00Z"/>
        <d v="2022-02-09T00:00:00Z"/>
        <d v="2021-03-30T00:00:00Z"/>
        <d v="2022-02-08T00:00:00Z"/>
        <d v="2021-06-23T00:00:00Z"/>
        <d v="2022-02-26T00:00:00Z"/>
        <d v="2021-04-14T00:00:00Z"/>
        <d v="2021-05-11T00:00:00Z"/>
        <d v="2022-03-24T00:00:00Z"/>
        <d v="2022-03-22T00:00:00Z"/>
        <d v="2021-06-14T00:00:00Z"/>
        <d v="2022-01-26T00:00:00Z"/>
        <d v="2022-03-08T00:00:00Z"/>
        <d v="2021-06-07T00:00:00Z"/>
        <d v="2022-04-11T00:00:00Z"/>
        <d v="2021-04-20T00:00:00Z"/>
        <d v="2022-02-16T00:00:00Z"/>
        <d v="2022-04-22T00:00:00Z"/>
        <d v="2022-04-28T00:00:00Z"/>
        <d v="2022-03-04T00:00:00Z"/>
        <d v="2022-01-18T00:00:00Z"/>
        <d v="2022-04-15T00:00:00Z"/>
        <d v="2022-03-14T00:00:00Z"/>
        <d v="2021-03-29T00:00:00Z"/>
        <d v="2022-03-29T00:00:00Z"/>
        <d v="2022-02-21T00:00:00Z"/>
        <d v="2022-03-12T00:00:00Z"/>
      </sharedItems>
    </cacheField>
    <cacheField name="Randevu &#10;Tarihi" numFmtId="0">
      <sharedItems containsDate="1" containsString="0" containsBlank="1">
        <m/>
        <d v="2022-03-07T00:00:00Z"/>
        <d v="2021-06-04T00:00:00Z"/>
        <d v="2022-02-18T00:00:00Z"/>
        <d v="2022-02-14T00:00:00Z"/>
        <d v="2022-01-11T00:00:00Z"/>
        <d v="2022-02-23T00:00:00Z"/>
        <d v="2022-01-28T00:00:00Z"/>
        <d v="2022-03-08T00:00:00Z"/>
        <d v="2021-04-06T00:00:00Z"/>
        <d v="2022-02-10T00:00:00Z"/>
        <d v="2022-03-28T00:00:00Z"/>
        <d v="2022-02-25T00:00:00Z"/>
        <d v="2022-01-26T00:00:00Z"/>
        <d v="2022-02-07T00:00:00Z"/>
        <d v="2022-02-28T00:00:00Z"/>
        <d v="2021-04-21T00:00:00Z"/>
        <d v="2021-06-10T00:00:00Z"/>
        <d v="2022-02-03T00:00:00Z"/>
        <d v="2022-02-21T00:00:00Z"/>
        <d v="2022-02-11T00:00:00Z"/>
        <d v="2021-04-09T00:00:00Z"/>
        <d v="2021-10-12T00:00:00Z"/>
        <d v="2021-06-18T00:00:00Z"/>
        <d v="2022-03-22T00:00:00Z"/>
        <d v="2022-03-25T00:00:00Z"/>
        <d v="2021-06-14T00:00:00Z"/>
        <d v="2021-06-01T00:00:00Z"/>
        <d v="2022-02-02T00:00:00Z"/>
        <d v="2022-03-04T00:00:00Z"/>
        <d v="2022-04-01T00:00:00Z"/>
        <d v="2022-04-27T00:00:00Z"/>
        <d v="2022-03-21T00:00:00Z"/>
        <d v="2022-04-18T00:00:00Z"/>
        <d v="2021-04-08T00:00:00Z"/>
        <d v="2022-03-10T00:00:00Z"/>
        <d v="2021-04-20T00:00:00Z"/>
        <d v="2022-01-18T00:00:00Z"/>
        <d v="2021-04-23T00:00:00Z"/>
        <d v="2022-02-15T00:00:00Z"/>
        <d v="2022-02-22T00:00:00Z"/>
        <d v="2022-04-13T00:00:00Z"/>
        <d v="2022-03-03T00:00:00Z"/>
        <d v="2022-03-01T00:00:00Z"/>
        <d v="2021-04-16T00:00:00Z"/>
        <d v="2022-02-08T00:00:00Z"/>
        <d v="2021-04-01T00:00:00Z"/>
        <d v="2021-05-31T00:00:00Z"/>
        <d v="2022-02-09T00:00:00Z"/>
        <d v="2021-06-25T00:00:00Z"/>
        <d v="2022-03-15T00:00:00Z"/>
        <d v="2021-05-17T00:00:00Z"/>
        <d v="2022-03-23T00:00:00Z"/>
        <d v="2021-06-15T00:00:00Z"/>
        <d v="2022-01-27T00:00:00Z"/>
        <d v="2022-03-29T00:00:00Z"/>
        <d v="2022-03-09T00:00:00Z"/>
        <d v="2021-06-09T00:00:00Z"/>
        <d v="2022-04-12T00:00:00Z"/>
        <d v="2021-04-22T00:00:00Z"/>
        <d v="2022-02-17T00:00:00Z"/>
        <d v="2022-02-24T00:00:00Z"/>
        <d v="2022-02-04T00:00:00Z"/>
        <d v="2022-04-25T00:00:00Z"/>
        <d v="2022-04-29T00:00:00Z"/>
        <d v="2022-04-26T00:00:00Z"/>
        <d v="2021-06-16T00:00:00Z"/>
        <d v="2022-03-02T00:00:00Z"/>
        <d v="2022-04-24T00:00:00Z"/>
        <d v="2021-03-30T00:00:00Z"/>
        <d v="2022-03-14T00:00:00Z"/>
      </sharedItems>
    </cacheField>
    <cacheField name="Anket&#10;Durum" numFmtId="0">
      <sharedItems containsBlank="1">
        <m/>
        <s v="Hemen Randevu İstiyorum"/>
      </sharedItems>
    </cacheField>
    <cacheField name="1. Arama" numFmtId="0">
      <sharedItems containsBlank="1">
        <s v="Ulaşılamadı"/>
        <s v="Dönüş Yapacak"/>
        <s v="Görüşüldü"/>
        <m/>
        <s v="Tekrar Aranacak"/>
        <s v="Yetkili Yok"/>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özet" cacheId="0" dataCaption="" compact="0" compactData="0">
  <location ref="U1:X99" firstHeaderRow="0" firstDataRow="1" firstDataCol="1"/>
  <pivotFields>
    <pivotField name="Restauran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t="default"/>
      </items>
    </pivotField>
    <pivotField name="Satışa&#10;Açık Mı?" compact="0" outline="0" multipleItemSelectionAllowed="1" showAll="0">
      <items>
        <item x="0"/>
        <item x="1"/>
        <item t="default"/>
      </items>
    </pivotField>
    <pivotField name="Mutfak"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t="default"/>
      </items>
    </pivotField>
    <pivotField name="SON 2 &#10;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RESİMLİ&#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SİMSİZ&#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TOPLAM&#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Ratio"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name="İLÇE" compact="0" outline="0" multipleItemSelectionAllowed="1" showAll="0">
      <items>
        <item x="0"/>
        <item x="1"/>
        <item x="2"/>
        <item x="3"/>
        <item t="default"/>
      </items>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 name="Geleneksel&#10;Zincir" compact="0" outline="0" multipleItemSelectionAllowed="1" showAll="0">
      <items>
        <item x="0"/>
        <item x="1"/>
        <item t="default"/>
      </items>
    </pivotField>
    <pivotField name="FOTOĞRAF SEGMENT" axis="axisCol" compact="0" outline="0" multipleItemSelectionAllowed="1" showAll="0" sortType="ascending">
      <items>
        <item x="0"/>
        <item x="1"/>
        <item t="default"/>
      </items>
    </pivotField>
    <pivotField name="Aradık Mı?" compact="0" outline="0" multipleItemSelectionAllowed="1" showAll="0">
      <items>
        <item x="0"/>
        <item x="1"/>
        <item t="default"/>
      </items>
    </pivotField>
    <pivotField name="Kendi Fotosu&#10;Var" compact="0" outline="0" multipleItemSelectionAllowed="1" showAll="0">
      <items>
        <item x="0"/>
        <item x="1"/>
        <item x="2"/>
        <item t="default"/>
      </items>
    </pivotField>
    <pivotField name="Randevu &#10;Durumu" compact="0" outline="0" multipleItemSelectionAllowed="1" showAll="0">
      <items>
        <item x="0"/>
        <item x="1"/>
        <item x="2"/>
        <item x="3"/>
        <item x="4"/>
        <item x="5"/>
        <item x="6"/>
        <item x="7"/>
        <item x="8"/>
        <item x="9"/>
        <item x="10"/>
        <item x="11"/>
        <item x="12"/>
        <item x="13"/>
        <item x="14"/>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Fotoğrafçı" compact="0" outline="0" multipleItemSelectionAllowed="1" showAll="0">
      <items>
        <item x="0"/>
        <item x="1"/>
        <item x="2"/>
        <item x="3"/>
        <item x="4"/>
        <item x="5"/>
        <item x="6"/>
        <item x="7"/>
        <item x="8"/>
        <item x="9"/>
        <item x="10"/>
        <item x="11"/>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t="default"/>
      </items>
    </pivotField>
    <pivotField name="Randevu Alma &#10;Tarih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Randevu &#10;Tarihi" axis="axisRow" compact="0" outline="0" multipleItemSelectionAllowed="1" showAll="0" sortType="ascending">
      <items>
        <item x="0"/>
        <item x="69"/>
        <item x="87"/>
        <item x="46"/>
        <item x="79"/>
        <item x="9"/>
        <item x="88"/>
        <item x="34"/>
        <item x="21"/>
        <item x="81"/>
        <item x="89"/>
        <item x="44"/>
        <item x="91"/>
        <item x="36"/>
        <item x="16"/>
        <item x="59"/>
        <item x="38"/>
        <item x="86"/>
        <item x="95"/>
        <item x="51"/>
        <item x="47"/>
        <item x="27"/>
        <item x="84"/>
        <item x="2"/>
        <item x="90"/>
        <item x="76"/>
        <item x="57"/>
        <item x="17"/>
        <item x="26"/>
        <item x="53"/>
        <item x="66"/>
        <item x="23"/>
        <item x="93"/>
        <item x="49"/>
        <item x="22"/>
        <item x="78"/>
        <item x="5"/>
        <item x="37"/>
        <item x="80"/>
        <item x="13"/>
        <item x="54"/>
        <item x="7"/>
        <item x="77"/>
        <item x="75"/>
        <item x="28"/>
        <item x="18"/>
        <item x="62"/>
        <item x="14"/>
        <item x="45"/>
        <item x="48"/>
        <item x="10"/>
        <item x="20"/>
        <item x="4"/>
        <item x="39"/>
        <item x="82"/>
        <item x="60"/>
        <item x="3"/>
        <item x="19"/>
        <item x="40"/>
        <item x="6"/>
        <item x="61"/>
        <item x="12"/>
        <item x="15"/>
        <item x="43"/>
        <item x="67"/>
        <item x="42"/>
        <item x="29"/>
        <item x="1"/>
        <item x="8"/>
        <item x="56"/>
        <item x="35"/>
        <item x="94"/>
        <item x="70"/>
        <item x="50"/>
        <item x="85"/>
        <item x="73"/>
        <item x="83"/>
        <item x="32"/>
        <item x="24"/>
        <item x="52"/>
        <item x="74"/>
        <item x="25"/>
        <item x="11"/>
        <item x="55"/>
        <item x="30"/>
        <item x="58"/>
        <item x="41"/>
        <item x="33"/>
        <item x="72"/>
        <item x="92"/>
        <item x="68"/>
        <item x="63"/>
        <item x="65"/>
        <item x="31"/>
        <item x="71"/>
        <item x="64"/>
        <item t="default"/>
      </items>
    </pivotField>
    <pivotField name="Anket&#10;Durum" compact="0" outline="0" multipleItemSelectionAllowed="1" showAll="0">
      <items>
        <item x="0"/>
        <item x="1"/>
        <item x="2"/>
        <item x="3"/>
        <item t="default"/>
      </items>
    </pivotField>
    <pivotField name="1. Arama" compact="0" outline="0" multipleItemSelectionAllowed="1" showAll="0">
      <items>
        <item x="0"/>
        <item x="1"/>
        <item x="2"/>
        <item x="3"/>
        <item x="4"/>
        <item x="5"/>
        <item t="default"/>
      </items>
    </pivotField>
  </pivotFields>
  <rowFields>
    <field x="24"/>
  </rowFields>
  <colFields>
    <field x="16"/>
  </colFields>
  <dataFields>
    <dataField name="COUNTA of Restaurant ID" fld="0" subtotal="count" baseField="0"/>
  </dataFields>
</pivotTableDefinition>
</file>

<file path=xl/pivotTables/pivotTable2.xml><?xml version="1.0" encoding="utf-8"?>
<pivotTableDefinition xmlns="http://schemas.openxmlformats.org/spreadsheetml/2006/main" name="özet 2" cacheId="1" dataCaption="" compact="0" compactData="0">
  <location ref="G21:H22" firstHeaderRow="0" firstDataRow="1" firstDataCol="0" rowPageCount="1" colPageCount="1"/>
  <pivotFields>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name="Satışa&#10;Açık Mı?" axis="axisPage" compact="0" outline="0" multipleItemSelectionAllowed="1" showAll="0">
      <items>
        <item h="1" x="0"/>
        <item h="1" x="1"/>
        <item t="default"/>
      </items>
    </pivotField>
    <pivotField name="Mutfak" compact="0" outline="0" multipleItemSelectionAllowed="1" showAll="0">
      <items>
        <item x="0"/>
        <item x="1"/>
        <item x="2"/>
        <item x="3"/>
        <item x="4"/>
        <item x="5"/>
        <item x="6"/>
        <item x="7"/>
        <item x="8"/>
        <item x="9"/>
        <item x="10"/>
        <item x="11"/>
        <item x="12"/>
        <item x="13"/>
        <item x="14"/>
        <item x="15"/>
        <item x="16"/>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SON 2 &#10;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RESİMLİ&#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RESİMSİZ&#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TOPLAM&#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Ratio"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İLÇE" axis="axisRow" dataField="1" compact="0" outline="0" multipleItemSelectionAllowed="1" showAll="0" sortType="ascending">
      <items>
        <item x="2"/>
        <item x="0"/>
        <item x="1"/>
        <item t="default"/>
      </items>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Geleneksel&#10;Zincir" compact="0" outline="0" multipleItemSelectionAllowed="1" showAll="0">
      <items>
        <item x="0"/>
        <item t="default"/>
      </items>
    </pivotField>
    <pivotField name="FOTOĞRAF SEGMENT" compact="0" outline="0" multipleItemSelectionAllowed="1" showAll="0">
      <items>
        <item x="0"/>
        <item x="1"/>
        <item t="default"/>
      </items>
    </pivotField>
    <pivotField name="Aradık Mı?" compact="0" outline="0" multipleItemSelectionAllowed="1" showAll="0">
      <items>
        <item x="0"/>
        <item x="1"/>
        <item t="default"/>
      </items>
    </pivotField>
    <pivotField name="Kendi Fotosu&#10;Var" compact="0" outline="0" multipleItemSelectionAllowed="1" showAll="0">
      <items>
        <item x="0"/>
        <item x="1"/>
        <item t="default"/>
      </items>
    </pivotField>
    <pivotField name="Randevu &#10;Durumu" compact="0" outline="0" multipleItemSelectionAllowed="1" showAll="0">
      <items>
        <item x="0"/>
        <item x="1"/>
        <item x="2"/>
        <item x="3"/>
        <item x="4"/>
        <item x="5"/>
        <item x="6"/>
        <item x="7"/>
        <item x="8"/>
        <item x="9"/>
        <item x="10"/>
        <item x="11"/>
        <item x="12"/>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t="default"/>
      </items>
    </pivotField>
    <pivotField name="Fotoğrafçı" compact="0" outline="0" multipleItemSelectionAllowed="1" showAll="0">
      <items>
        <item x="0"/>
        <item x="1"/>
        <item x="2"/>
        <item x="3"/>
        <item x="4"/>
        <item x="5"/>
        <item x="6"/>
        <item x="7"/>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ndevu Alma &#10;Tarih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Randevu &#10;Tarih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Anket&#10;Durum" compact="0" outline="0" multipleItemSelectionAllowed="1" showAll="0">
      <items>
        <item x="0"/>
        <item x="1"/>
        <item t="default"/>
      </items>
    </pivotField>
    <pivotField name="1. Arama" compact="0" outline="0" multipleItemSelectionAllowed="1" showAll="0">
      <items>
        <item x="0"/>
        <item x="1"/>
        <item x="2"/>
        <item x="3"/>
        <item x="4"/>
        <item x="5"/>
        <item t="default"/>
      </items>
    </pivotField>
  </pivotFields>
  <rowFields>
    <field x="12"/>
  </rowFields>
  <pageFields>
    <pageField fld="2"/>
  </pageFields>
  <dataFields>
    <dataField name="COUNTA of İLÇE"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22.5"/>
    <col customWidth="1" min="5" max="5" width="10.5"/>
    <col customWidth="1" min="6" max="6" width="10.13"/>
    <col customWidth="1" min="8" max="8" width="11.38"/>
    <col customWidth="1" min="9" max="9" width="10.5"/>
    <col customWidth="1" min="10" max="10" width="7.13"/>
    <col customWidth="1" min="11" max="11" width="19.63"/>
    <col customWidth="1" min="15" max="15" width="23.63"/>
    <col customWidth="1" min="16" max="16" width="9.75"/>
    <col customWidth="1" hidden="1" min="17" max="17" width="6.5"/>
  </cols>
  <sheetData>
    <row r="1">
      <c r="A1" s="1" t="s">
        <v>0</v>
      </c>
      <c r="B1" s="2" t="s">
        <v>1</v>
      </c>
      <c r="C1" s="2" t="s">
        <v>2</v>
      </c>
      <c r="D1" s="1" t="s">
        <v>3</v>
      </c>
      <c r="E1" s="2" t="s">
        <v>4</v>
      </c>
      <c r="F1" s="2" t="s">
        <v>5</v>
      </c>
      <c r="G1" s="3" t="s">
        <v>6</v>
      </c>
      <c r="H1" s="3" t="s">
        <v>7</v>
      </c>
      <c r="I1" s="3" t="s">
        <v>8</v>
      </c>
      <c r="J1" s="4" t="s">
        <v>9</v>
      </c>
      <c r="K1" s="1" t="s">
        <v>10</v>
      </c>
      <c r="L1" s="1" t="s">
        <v>11</v>
      </c>
      <c r="M1" s="1" t="s">
        <v>12</v>
      </c>
      <c r="N1" s="1" t="s">
        <v>13</v>
      </c>
      <c r="O1" s="1" t="s">
        <v>14</v>
      </c>
      <c r="P1" s="2" t="s">
        <v>15</v>
      </c>
      <c r="Q1" s="5" t="s">
        <v>16</v>
      </c>
      <c r="R1" s="6" t="s">
        <v>17</v>
      </c>
      <c r="S1" s="7" t="s">
        <v>18</v>
      </c>
      <c r="T1" s="7" t="s">
        <v>19</v>
      </c>
      <c r="U1" s="6" t="s">
        <v>20</v>
      </c>
      <c r="V1" s="6" t="s">
        <v>21</v>
      </c>
      <c r="W1" s="6" t="s">
        <v>22</v>
      </c>
      <c r="X1" s="8" t="s">
        <v>23</v>
      </c>
      <c r="Y1" s="8" t="s">
        <v>24</v>
      </c>
      <c r="Z1" s="9" t="s">
        <v>25</v>
      </c>
      <c r="AA1" s="10" t="s">
        <v>26</v>
      </c>
      <c r="AB1" s="9" t="s">
        <v>27</v>
      </c>
      <c r="AC1" s="10" t="s">
        <v>28</v>
      </c>
      <c r="AD1" s="9" t="s">
        <v>29</v>
      </c>
      <c r="AE1" s="10" t="s">
        <v>30</v>
      </c>
      <c r="AF1" s="9" t="s">
        <v>31</v>
      </c>
      <c r="AG1" s="10" t="s">
        <v>32</v>
      </c>
      <c r="AH1" s="9" t="s">
        <v>33</v>
      </c>
      <c r="AI1" s="10" t="s">
        <v>34</v>
      </c>
      <c r="AJ1" s="9" t="s">
        <v>35</v>
      </c>
      <c r="AK1" s="9" t="s">
        <v>36</v>
      </c>
      <c r="AL1" s="9" t="s">
        <v>37</v>
      </c>
      <c r="AM1" s="9" t="s">
        <v>38</v>
      </c>
      <c r="AN1" s="9" t="s">
        <v>39</v>
      </c>
      <c r="AO1" s="9" t="s">
        <v>40</v>
      </c>
      <c r="AP1" s="9" t="s">
        <v>41</v>
      </c>
      <c r="AQ1" s="9" t="s">
        <v>42</v>
      </c>
    </row>
    <row r="2">
      <c r="A2" s="11" t="s">
        <v>43</v>
      </c>
      <c r="B2" s="11" t="s">
        <v>44</v>
      </c>
      <c r="C2" s="11" t="str">
        <f>VLOOKUP(A2,import!A:C,3,0)</f>
        <v>DOĞRU</v>
      </c>
      <c r="D2" s="11" t="s">
        <v>45</v>
      </c>
      <c r="E2" s="11">
        <f>VLOOKUP(A2,import!A:J,5,0)</f>
        <v>1899</v>
      </c>
      <c r="F2" s="11">
        <f>VLOOKUP(A2,import!A:J,6,0)</f>
        <v>25</v>
      </c>
      <c r="G2" s="11">
        <f>VLOOKUP(A2,import!A:J,7,0)</f>
        <v>21</v>
      </c>
      <c r="H2" s="11">
        <f>VLOOKUP(A2,import!A:J,8,0)</f>
        <v>22</v>
      </c>
      <c r="I2" s="11">
        <f>VLOOKUP(A2,import!A:J,9,0)</f>
        <v>43</v>
      </c>
      <c r="J2" s="12">
        <f>VLOOKUP(A2,import!A:J,10,0)</f>
        <v>0.49</v>
      </c>
      <c r="K2" s="11" t="s">
        <v>46</v>
      </c>
      <c r="L2" s="11">
        <v>3.522473838E9</v>
      </c>
      <c r="M2" s="11" t="s">
        <v>47</v>
      </c>
      <c r="N2" s="11" t="s">
        <v>48</v>
      </c>
      <c r="O2" s="11" t="s">
        <v>49</v>
      </c>
      <c r="P2" s="11" t="str">
        <f>VLOOKUP(A2,import!A:P,16,0)</f>
        <v>Geleneksel</v>
      </c>
      <c r="Q2" s="13"/>
      <c r="R2" s="13" t="b">
        <v>1</v>
      </c>
      <c r="S2" s="13" t="b">
        <v>0</v>
      </c>
      <c r="T2" s="14" t="s">
        <v>50</v>
      </c>
      <c r="U2" s="15"/>
      <c r="V2" s="16" t="s">
        <v>51</v>
      </c>
      <c r="W2" s="14" t="s">
        <v>52</v>
      </c>
      <c r="X2" s="17"/>
      <c r="Y2" s="17"/>
      <c r="Z2" s="18"/>
      <c r="AA2" s="19" t="s">
        <v>53</v>
      </c>
      <c r="AB2" s="20">
        <v>44358.0</v>
      </c>
      <c r="AC2" s="19" t="s">
        <v>54</v>
      </c>
      <c r="AD2" s="20">
        <v>44365.0</v>
      </c>
      <c r="AE2" s="21"/>
      <c r="AF2" s="18"/>
      <c r="AG2" s="21"/>
      <c r="AH2" s="18"/>
      <c r="AI2" s="18"/>
      <c r="AJ2" s="18"/>
      <c r="AK2" s="19" t="s">
        <v>55</v>
      </c>
      <c r="AL2" s="19" t="s">
        <v>55</v>
      </c>
      <c r="AM2" s="18"/>
      <c r="AN2" s="18"/>
      <c r="AO2" s="18"/>
      <c r="AP2" s="22" t="s">
        <v>56</v>
      </c>
      <c r="AQ2" s="18"/>
    </row>
    <row r="3">
      <c r="A3" s="11" t="s">
        <v>57</v>
      </c>
      <c r="B3" s="11" t="s">
        <v>58</v>
      </c>
      <c r="C3" s="11" t="str">
        <f>VLOOKUP(A3,import!A:C,3,0)</f>
        <v>YANLIŞ</v>
      </c>
      <c r="D3" s="11" t="s">
        <v>59</v>
      </c>
      <c r="E3" s="11">
        <f>VLOOKUP(A3,import!A:J,5,0)</f>
        <v>919</v>
      </c>
      <c r="F3" s="11" t="str">
        <f>VLOOKUP(A3,import!A:J,6,0)</f>
        <v/>
      </c>
      <c r="G3" s="11">
        <f>VLOOKUP(A3,import!A:J,7,0)</f>
        <v>0</v>
      </c>
      <c r="H3" s="11">
        <f>VLOOKUP(A3,import!A:J,8,0)</f>
        <v>11</v>
      </c>
      <c r="I3" s="11">
        <f>VLOOKUP(A3,import!A:J,9,0)</f>
        <v>11</v>
      </c>
      <c r="J3" s="12">
        <f>VLOOKUP(A3,import!A:J,10,0)</f>
        <v>0</v>
      </c>
      <c r="K3" s="11" t="s">
        <v>60</v>
      </c>
      <c r="L3" s="11">
        <v>3.525045202E9</v>
      </c>
      <c r="M3" s="11" t="s">
        <v>61</v>
      </c>
      <c r="N3" s="11" t="s">
        <v>62</v>
      </c>
      <c r="O3" s="11" t="s">
        <v>63</v>
      </c>
      <c r="P3" s="11" t="str">
        <f>VLOOKUP(A3,import!A:P,16,0)</f>
        <v>Geleneksel</v>
      </c>
      <c r="Q3" s="13"/>
      <c r="R3" s="13" t="b">
        <v>1</v>
      </c>
      <c r="S3" s="13" t="b">
        <v>0</v>
      </c>
      <c r="T3" s="14" t="s">
        <v>64</v>
      </c>
      <c r="U3" s="15"/>
      <c r="V3" s="15"/>
      <c r="W3" s="14" t="s">
        <v>65</v>
      </c>
      <c r="X3" s="17"/>
      <c r="Y3" s="17"/>
      <c r="Z3" s="18"/>
      <c r="AA3" s="19" t="s">
        <v>64</v>
      </c>
      <c r="AB3" s="20">
        <v>44369.0</v>
      </c>
      <c r="AC3" s="19" t="s">
        <v>53</v>
      </c>
      <c r="AD3" s="20">
        <v>44608.0</v>
      </c>
      <c r="AE3" s="21"/>
      <c r="AF3" s="18"/>
      <c r="AG3" s="21"/>
      <c r="AH3" s="18"/>
      <c r="AI3" s="18"/>
      <c r="AJ3" s="18"/>
      <c r="AK3" s="19" t="s">
        <v>55</v>
      </c>
      <c r="AL3" s="19" t="s">
        <v>66</v>
      </c>
      <c r="AM3" s="18"/>
      <c r="AN3" s="18"/>
      <c r="AO3" s="18"/>
      <c r="AP3" s="22" t="s">
        <v>56</v>
      </c>
      <c r="AQ3" s="18"/>
    </row>
    <row r="4">
      <c r="A4" s="11" t="s">
        <v>67</v>
      </c>
      <c r="B4" s="11" t="s">
        <v>68</v>
      </c>
      <c r="C4" s="11" t="str">
        <f>VLOOKUP(A4,import!A:C,3,0)</f>
        <v>DOĞRU</v>
      </c>
      <c r="D4" s="11" t="s">
        <v>69</v>
      </c>
      <c r="E4" s="11">
        <f>VLOOKUP(A4,import!A:J,5,0)</f>
        <v>57</v>
      </c>
      <c r="F4" s="11">
        <f>VLOOKUP(A4,import!A:J,6,0)</f>
        <v>3</v>
      </c>
      <c r="G4" s="11">
        <f>VLOOKUP(A4,import!A:J,7,0)</f>
        <v>5</v>
      </c>
      <c r="H4" s="11">
        <f>VLOOKUP(A4,import!A:J,8,0)</f>
        <v>3</v>
      </c>
      <c r="I4" s="11">
        <f>VLOOKUP(A4,import!A:J,9,0)</f>
        <v>8</v>
      </c>
      <c r="J4" s="12">
        <f>VLOOKUP(A4,import!A:J,10,0)</f>
        <v>0.63</v>
      </c>
      <c r="K4" s="11" t="s">
        <v>70</v>
      </c>
      <c r="L4" s="11">
        <v>3.523395958E9</v>
      </c>
      <c r="M4" s="11" t="s">
        <v>71</v>
      </c>
      <c r="N4" s="11" t="s">
        <v>72</v>
      </c>
      <c r="O4" s="11" t="s">
        <v>73</v>
      </c>
      <c r="P4" s="11" t="str">
        <f>VLOOKUP(A4,import!A:P,16,0)</f>
        <v>Geleneksel</v>
      </c>
      <c r="Q4" s="13"/>
      <c r="R4" s="13" t="b">
        <v>1</v>
      </c>
      <c r="S4" s="13" t="b">
        <v>0</v>
      </c>
      <c r="T4" s="14" t="s">
        <v>74</v>
      </c>
      <c r="U4" s="14" t="s">
        <v>75</v>
      </c>
      <c r="V4" s="23" t="s">
        <v>76</v>
      </c>
      <c r="W4" s="14" t="s">
        <v>77</v>
      </c>
      <c r="X4" s="24">
        <v>44627.0</v>
      </c>
      <c r="Y4" s="24">
        <v>44627.0</v>
      </c>
      <c r="Z4" s="18"/>
      <c r="AA4" s="19" t="s">
        <v>54</v>
      </c>
      <c r="AB4" s="20">
        <v>44349.0</v>
      </c>
      <c r="AC4" s="19" t="s">
        <v>78</v>
      </c>
      <c r="AD4" s="20">
        <v>44378.0</v>
      </c>
      <c r="AE4" s="19" t="s">
        <v>53</v>
      </c>
      <c r="AF4" s="20">
        <v>44590.0</v>
      </c>
      <c r="AG4" s="19" t="s">
        <v>54</v>
      </c>
      <c r="AH4" s="24">
        <v>44627.0</v>
      </c>
      <c r="AI4" s="18"/>
      <c r="AJ4" s="18"/>
      <c r="AK4" s="19" t="s">
        <v>79</v>
      </c>
      <c r="AL4" s="19" t="s">
        <v>79</v>
      </c>
      <c r="AM4" s="19" t="s">
        <v>80</v>
      </c>
      <c r="AN4" s="19" t="s">
        <v>75</v>
      </c>
      <c r="AO4" s="18"/>
      <c r="AP4" s="22" t="s">
        <v>56</v>
      </c>
      <c r="AQ4" s="18"/>
    </row>
    <row r="5">
      <c r="A5" s="11" t="s">
        <v>81</v>
      </c>
      <c r="B5" s="11" t="s">
        <v>82</v>
      </c>
      <c r="C5" s="11" t="str">
        <f>VLOOKUP(A5,import!A:C,3,0)</f>
        <v>DOĞRU</v>
      </c>
      <c r="D5" s="11" t="s">
        <v>83</v>
      </c>
      <c r="E5" s="11">
        <f>VLOOKUP(A5,import!A:J,5,0)</f>
        <v>1296</v>
      </c>
      <c r="F5" s="11">
        <f>VLOOKUP(A5,import!A:J,6,0)</f>
        <v>1</v>
      </c>
      <c r="G5" s="11">
        <f>VLOOKUP(A5,import!A:J,7,0)</f>
        <v>0</v>
      </c>
      <c r="H5" s="11">
        <f>VLOOKUP(A5,import!A:J,8,0)</f>
        <v>17</v>
      </c>
      <c r="I5" s="11">
        <f>VLOOKUP(A5,import!A:J,9,0)</f>
        <v>17</v>
      </c>
      <c r="J5" s="12">
        <f>VLOOKUP(A5,import!A:J,10,0)</f>
        <v>0</v>
      </c>
      <c r="K5" s="11" t="s">
        <v>84</v>
      </c>
      <c r="L5" s="11">
        <v>5.370444907E9</v>
      </c>
      <c r="M5" s="11" t="s">
        <v>61</v>
      </c>
      <c r="N5" s="11" t="s">
        <v>62</v>
      </c>
      <c r="O5" s="11" t="s">
        <v>85</v>
      </c>
      <c r="P5" s="11" t="str">
        <f>VLOOKUP(A5,import!A:P,16,0)</f>
        <v>Geleneksel</v>
      </c>
      <c r="Q5" s="13"/>
      <c r="R5" s="13" t="b">
        <v>1</v>
      </c>
      <c r="S5" s="13" t="b">
        <v>0</v>
      </c>
      <c r="T5" s="25" t="s">
        <v>74</v>
      </c>
      <c r="U5" s="25" t="s">
        <v>86</v>
      </c>
      <c r="V5" s="26"/>
      <c r="W5" s="25" t="s">
        <v>87</v>
      </c>
      <c r="X5" s="27"/>
      <c r="Y5" s="27"/>
      <c r="Z5" s="18"/>
      <c r="AA5" s="19" t="s">
        <v>54</v>
      </c>
      <c r="AB5" s="20">
        <v>44349.0</v>
      </c>
      <c r="AC5" s="19" t="s">
        <v>53</v>
      </c>
      <c r="AD5" s="20">
        <v>44361.0</v>
      </c>
      <c r="AE5" s="19" t="s">
        <v>54</v>
      </c>
      <c r="AF5" s="20">
        <v>44579.0</v>
      </c>
      <c r="AG5" s="21"/>
      <c r="AH5" s="18"/>
      <c r="AI5" s="18"/>
      <c r="AJ5" s="18"/>
      <c r="AK5" s="19" t="s">
        <v>79</v>
      </c>
      <c r="AL5" s="19" t="s">
        <v>88</v>
      </c>
      <c r="AM5" s="19" t="s">
        <v>86</v>
      </c>
      <c r="AN5" s="18"/>
      <c r="AO5" s="18"/>
      <c r="AP5" s="22" t="s">
        <v>56</v>
      </c>
      <c r="AQ5" s="18"/>
    </row>
    <row r="6">
      <c r="A6" s="11" t="s">
        <v>89</v>
      </c>
      <c r="B6" s="11" t="s">
        <v>90</v>
      </c>
      <c r="C6" s="11" t="str">
        <f>VLOOKUP(A6,import!A:C,3,0)</f>
        <v>DOĞRU</v>
      </c>
      <c r="D6" s="11" t="s">
        <v>91</v>
      </c>
      <c r="E6" s="11">
        <f>VLOOKUP(A6,import!A:J,5,0)</f>
        <v>3685</v>
      </c>
      <c r="F6" s="11">
        <f>VLOOKUP(A6,import!A:J,6,0)</f>
        <v>85</v>
      </c>
      <c r="G6" s="11">
        <f>VLOOKUP(A6,import!A:J,7,0)</f>
        <v>15</v>
      </c>
      <c r="H6" s="11">
        <f>VLOOKUP(A6,import!A:J,8,0)</f>
        <v>41</v>
      </c>
      <c r="I6" s="11">
        <f>VLOOKUP(A6,import!A:J,9,0)</f>
        <v>56</v>
      </c>
      <c r="J6" s="12">
        <f>VLOOKUP(A6,import!A:J,10,0)</f>
        <v>0.27</v>
      </c>
      <c r="K6" s="11" t="s">
        <v>92</v>
      </c>
      <c r="L6" s="11">
        <v>3.525037727E9</v>
      </c>
      <c r="M6" s="11" t="s">
        <v>61</v>
      </c>
      <c r="N6" s="11" t="s">
        <v>62</v>
      </c>
      <c r="O6" s="11" t="s">
        <v>93</v>
      </c>
      <c r="P6" s="11" t="str">
        <f>VLOOKUP(A6,import!A:P,16,0)</f>
        <v>Geleneksel</v>
      </c>
      <c r="Q6" s="13"/>
      <c r="R6" s="13" t="b">
        <v>1</v>
      </c>
      <c r="S6" s="13" t="b">
        <v>0</v>
      </c>
      <c r="T6" s="25" t="s">
        <v>94</v>
      </c>
      <c r="U6" s="25" t="s">
        <v>95</v>
      </c>
      <c r="V6" s="28" t="s">
        <v>96</v>
      </c>
      <c r="W6" s="25" t="s">
        <v>97</v>
      </c>
      <c r="X6" s="24">
        <v>44349.0</v>
      </c>
      <c r="Y6" s="24">
        <v>44351.0</v>
      </c>
      <c r="Z6" s="18"/>
      <c r="AA6" s="19" t="s">
        <v>54</v>
      </c>
      <c r="AB6" s="20">
        <v>44349.0</v>
      </c>
      <c r="AC6" s="18"/>
      <c r="AD6" s="18"/>
      <c r="AE6" s="21"/>
      <c r="AF6" s="18"/>
      <c r="AG6" s="21"/>
      <c r="AH6" s="18"/>
      <c r="AI6" s="18"/>
      <c r="AJ6" s="18"/>
      <c r="AK6" s="19" t="s">
        <v>79</v>
      </c>
      <c r="AL6" s="18"/>
      <c r="AM6" s="18"/>
      <c r="AN6" s="18"/>
      <c r="AO6" s="18"/>
      <c r="AP6" s="22" t="s">
        <v>56</v>
      </c>
      <c r="AQ6" s="18"/>
    </row>
    <row r="7">
      <c r="A7" s="11" t="s">
        <v>98</v>
      </c>
      <c r="B7" s="11" t="s">
        <v>99</v>
      </c>
      <c r="C7" s="11" t="str">
        <f>VLOOKUP(A7,import!A:C,3,0)</f>
        <v>DOĞRU</v>
      </c>
      <c r="D7" s="11" t="s">
        <v>100</v>
      </c>
      <c r="E7" s="11">
        <f>VLOOKUP(A7,import!A:J,5,0)</f>
        <v>85</v>
      </c>
      <c r="F7" s="11">
        <f>VLOOKUP(A7,import!A:J,6,0)</f>
        <v>10</v>
      </c>
      <c r="G7" s="11">
        <f>VLOOKUP(A7,import!A:J,7,0)</f>
        <v>11</v>
      </c>
      <c r="H7" s="11">
        <f>VLOOKUP(A7,import!A:J,8,0)</f>
        <v>1</v>
      </c>
      <c r="I7" s="11">
        <f>VLOOKUP(A7,import!A:J,9,0)</f>
        <v>12</v>
      </c>
      <c r="J7" s="12">
        <f>VLOOKUP(A7,import!A:J,10,0)</f>
        <v>0.92</v>
      </c>
      <c r="K7" s="11" t="s">
        <v>101</v>
      </c>
      <c r="L7" s="11">
        <v>3.522311583E9</v>
      </c>
      <c r="M7" s="11" t="s">
        <v>71</v>
      </c>
      <c r="N7" s="11" t="s">
        <v>102</v>
      </c>
      <c r="O7" s="11" t="s">
        <v>103</v>
      </c>
      <c r="P7" s="11" t="str">
        <f>VLOOKUP(A7,import!A:P,16,0)</f>
        <v>Geleneksel</v>
      </c>
      <c r="Q7" s="13"/>
      <c r="R7" s="13" t="b">
        <v>1</v>
      </c>
      <c r="S7" s="13" t="b">
        <v>0</v>
      </c>
      <c r="T7" s="14" t="s">
        <v>74</v>
      </c>
      <c r="U7" s="14" t="s">
        <v>80</v>
      </c>
      <c r="V7" s="14"/>
      <c r="W7" s="14">
        <v>5.35276406E9</v>
      </c>
      <c r="X7" s="24">
        <v>44609.0</v>
      </c>
      <c r="Y7" s="24">
        <v>44610.0</v>
      </c>
      <c r="Z7" s="18"/>
      <c r="AA7" s="19" t="s">
        <v>54</v>
      </c>
      <c r="AB7" s="20">
        <v>44609.0</v>
      </c>
      <c r="AC7" s="19"/>
      <c r="AD7" s="20"/>
      <c r="AE7" s="21"/>
      <c r="AF7" s="18"/>
      <c r="AG7" s="21"/>
      <c r="AH7" s="18"/>
      <c r="AI7" s="18"/>
      <c r="AJ7" s="18"/>
      <c r="AK7" s="19" t="s">
        <v>80</v>
      </c>
      <c r="AL7" s="19"/>
      <c r="AM7" s="18"/>
      <c r="AN7" s="18"/>
      <c r="AO7" s="18"/>
      <c r="AP7" s="22"/>
      <c r="AQ7" s="18"/>
    </row>
    <row r="8">
      <c r="A8" s="11" t="s">
        <v>104</v>
      </c>
      <c r="B8" s="11" t="s">
        <v>105</v>
      </c>
      <c r="C8" s="11" t="str">
        <f>VLOOKUP(A8,import!A:C,3,0)</f>
        <v>DOĞRU</v>
      </c>
      <c r="D8" s="11" t="s">
        <v>100</v>
      </c>
      <c r="E8" s="11">
        <f>VLOOKUP(A8,import!A:J,5,0)</f>
        <v>88</v>
      </c>
      <c r="F8" s="11">
        <f>VLOOKUP(A8,import!A:J,6,0)</f>
        <v>1</v>
      </c>
      <c r="G8" s="11">
        <f>VLOOKUP(A8,import!A:J,7,0)</f>
        <v>4</v>
      </c>
      <c r="H8" s="11">
        <f>VLOOKUP(A8,import!A:J,8,0)</f>
        <v>10</v>
      </c>
      <c r="I8" s="11">
        <f>VLOOKUP(A8,import!A:J,9,0)</f>
        <v>14</v>
      </c>
      <c r="J8" s="12">
        <f>VLOOKUP(A8,import!A:J,10,0)</f>
        <v>0.29</v>
      </c>
      <c r="K8" s="11" t="s">
        <v>106</v>
      </c>
      <c r="L8" s="11">
        <v>5.431064121E9</v>
      </c>
      <c r="M8" s="11" t="s">
        <v>47</v>
      </c>
      <c r="N8" s="11" t="s">
        <v>107</v>
      </c>
      <c r="O8" s="11" t="s">
        <v>108</v>
      </c>
      <c r="P8" s="11" t="str">
        <f>VLOOKUP(A8,import!A:P,16,0)</f>
        <v>Geleneksel</v>
      </c>
      <c r="Q8" s="13"/>
      <c r="R8" s="13" t="b">
        <v>1</v>
      </c>
      <c r="S8" s="13" t="b">
        <v>0</v>
      </c>
      <c r="T8" s="14" t="s">
        <v>74</v>
      </c>
      <c r="U8" s="14" t="s">
        <v>75</v>
      </c>
      <c r="V8" s="23" t="s">
        <v>76</v>
      </c>
      <c r="W8" s="14" t="s">
        <v>109</v>
      </c>
      <c r="X8" s="24">
        <v>44603.0</v>
      </c>
      <c r="Y8" s="24">
        <v>44606.0</v>
      </c>
      <c r="Z8" s="18"/>
      <c r="AA8" s="19" t="s">
        <v>54</v>
      </c>
      <c r="AB8" s="20">
        <v>44480.0</v>
      </c>
      <c r="AC8" s="19" t="s">
        <v>54</v>
      </c>
      <c r="AD8" s="20">
        <v>44522.0</v>
      </c>
      <c r="AE8" s="19" t="s">
        <v>54</v>
      </c>
      <c r="AF8" s="20">
        <v>44588.0</v>
      </c>
      <c r="AG8" s="19" t="s">
        <v>54</v>
      </c>
      <c r="AH8" s="20">
        <v>44603.0</v>
      </c>
      <c r="AI8" s="18"/>
      <c r="AJ8" s="18"/>
      <c r="AK8" s="19" t="s">
        <v>80</v>
      </c>
      <c r="AL8" s="19" t="s">
        <v>95</v>
      </c>
      <c r="AM8" s="19" t="s">
        <v>110</v>
      </c>
      <c r="AN8" s="19" t="s">
        <v>75</v>
      </c>
      <c r="AO8" s="18"/>
      <c r="AP8" s="22" t="s">
        <v>56</v>
      </c>
      <c r="AQ8" s="18"/>
    </row>
    <row r="9">
      <c r="A9" s="11" t="s">
        <v>111</v>
      </c>
      <c r="B9" s="11" t="s">
        <v>112</v>
      </c>
      <c r="C9" s="11" t="str">
        <f>VLOOKUP(A9,import!A:C,3,0)</f>
        <v>YANLIŞ</v>
      </c>
      <c r="D9" s="11" t="s">
        <v>100</v>
      </c>
      <c r="E9" s="11">
        <f>VLOOKUP(A9,import!A:J,5,0)</f>
        <v>2</v>
      </c>
      <c r="F9" s="11" t="str">
        <f>VLOOKUP(A9,import!A:J,6,0)</f>
        <v/>
      </c>
      <c r="G9" s="11">
        <f>VLOOKUP(A9,import!A:J,7,0)</f>
        <v>0</v>
      </c>
      <c r="H9" s="11">
        <f>VLOOKUP(A9,import!A:J,8,0)</f>
        <v>9</v>
      </c>
      <c r="I9" s="11">
        <f>VLOOKUP(A9,import!A:J,9,0)</f>
        <v>9</v>
      </c>
      <c r="J9" s="12">
        <f>VLOOKUP(A9,import!A:J,10,0)</f>
        <v>0</v>
      </c>
      <c r="K9" s="11" t="s">
        <v>113</v>
      </c>
      <c r="L9" s="11">
        <v>5.399793981E9</v>
      </c>
      <c r="M9" s="11" t="s">
        <v>47</v>
      </c>
      <c r="N9" s="11" t="s">
        <v>48</v>
      </c>
      <c r="O9" s="11" t="s">
        <v>114</v>
      </c>
      <c r="P9" s="11" t="str">
        <f>VLOOKUP(A9,import!A:P,16,0)</f>
        <v>Geleneksel</v>
      </c>
      <c r="Q9" s="13"/>
      <c r="R9" s="13" t="b">
        <v>1</v>
      </c>
      <c r="S9" s="13" t="b">
        <v>0</v>
      </c>
      <c r="T9" s="14" t="s">
        <v>115</v>
      </c>
      <c r="U9" s="14"/>
      <c r="V9" s="14"/>
      <c r="W9" s="14" t="s">
        <v>116</v>
      </c>
      <c r="X9" s="24"/>
      <c r="Y9" s="24"/>
      <c r="Z9" s="18"/>
      <c r="AA9" s="19" t="s">
        <v>54</v>
      </c>
      <c r="AB9" s="20">
        <v>44588.0</v>
      </c>
      <c r="AC9" s="19"/>
      <c r="AD9" s="20"/>
      <c r="AE9" s="21"/>
      <c r="AF9" s="18"/>
      <c r="AG9" s="21"/>
      <c r="AH9" s="18"/>
      <c r="AI9" s="18"/>
      <c r="AJ9" s="18"/>
      <c r="AK9" s="19" t="s">
        <v>110</v>
      </c>
      <c r="AL9" s="19"/>
      <c r="AM9" s="18"/>
      <c r="AN9" s="18"/>
      <c r="AO9" s="18"/>
      <c r="AP9" s="22"/>
      <c r="AQ9" s="18"/>
    </row>
    <row r="10">
      <c r="A10" s="11" t="s">
        <v>117</v>
      </c>
      <c r="B10" s="11" t="s">
        <v>118</v>
      </c>
      <c r="C10" s="11" t="str">
        <f>VLOOKUP(A10,import!A:C,3,0)</f>
        <v>DOĞRU</v>
      </c>
      <c r="D10" s="11" t="s">
        <v>100</v>
      </c>
      <c r="E10" s="11">
        <f>VLOOKUP(A10,import!A:J,5,0)</f>
        <v>140</v>
      </c>
      <c r="F10" s="11">
        <f>VLOOKUP(A10,import!A:J,6,0)</f>
        <v>32</v>
      </c>
      <c r="G10" s="11">
        <f>VLOOKUP(A10,import!A:J,7,0)</f>
        <v>9</v>
      </c>
      <c r="H10" s="11">
        <f>VLOOKUP(A10,import!A:J,8,0)</f>
        <v>2</v>
      </c>
      <c r="I10" s="11">
        <f>VLOOKUP(A10,import!A:J,9,0)</f>
        <v>11</v>
      </c>
      <c r="J10" s="12">
        <f>VLOOKUP(A10,import!A:J,10,0)</f>
        <v>0.82</v>
      </c>
      <c r="K10" s="11" t="s">
        <v>119</v>
      </c>
      <c r="L10" s="11">
        <v>5.465063838E9</v>
      </c>
      <c r="M10" s="11" t="s">
        <v>47</v>
      </c>
      <c r="N10" s="11" t="s">
        <v>48</v>
      </c>
      <c r="O10" s="11" t="s">
        <v>120</v>
      </c>
      <c r="P10" s="11" t="str">
        <f>VLOOKUP(A10,import!A:P,16,0)</f>
        <v>Geleneksel</v>
      </c>
      <c r="Q10" s="13"/>
      <c r="R10" s="13" t="b">
        <v>1</v>
      </c>
      <c r="S10" s="13" t="b">
        <v>0</v>
      </c>
      <c r="T10" s="14" t="s">
        <v>74</v>
      </c>
      <c r="U10" s="14" t="s">
        <v>110</v>
      </c>
      <c r="V10" s="23" t="s">
        <v>121</v>
      </c>
      <c r="W10" s="14"/>
      <c r="X10" s="24">
        <v>44571.0</v>
      </c>
      <c r="Y10" s="24">
        <v>44572.0</v>
      </c>
      <c r="Z10" s="18"/>
      <c r="AA10" s="29" t="s">
        <v>54</v>
      </c>
      <c r="AB10" s="20">
        <v>44571.0</v>
      </c>
      <c r="AC10" s="19"/>
      <c r="AD10" s="20"/>
      <c r="AE10" s="21"/>
      <c r="AF10" s="18"/>
      <c r="AG10" s="21"/>
      <c r="AH10" s="18"/>
      <c r="AI10" s="18"/>
      <c r="AJ10" s="18"/>
      <c r="AK10" s="19" t="s">
        <v>110</v>
      </c>
      <c r="AL10" s="19"/>
      <c r="AM10" s="18"/>
      <c r="AN10" s="18"/>
      <c r="AO10" s="18"/>
      <c r="AP10" s="22"/>
      <c r="AQ10" s="18"/>
    </row>
    <row r="11">
      <c r="A11" s="11" t="s">
        <v>122</v>
      </c>
      <c r="B11" s="11" t="s">
        <v>123</v>
      </c>
      <c r="C11" s="11" t="str">
        <f>VLOOKUP(A11,import!A:C,3,0)</f>
        <v>DOĞRU</v>
      </c>
      <c r="D11" s="11" t="s">
        <v>100</v>
      </c>
      <c r="E11" s="11">
        <f>VLOOKUP(A11,import!A:J,5,0)</f>
        <v>67</v>
      </c>
      <c r="F11" s="11">
        <f>VLOOKUP(A11,import!A:J,6,0)</f>
        <v>5</v>
      </c>
      <c r="G11" s="11">
        <f>VLOOKUP(A11,import!A:J,7,0)</f>
        <v>4</v>
      </c>
      <c r="H11" s="11">
        <f>VLOOKUP(A11,import!A:J,8,0)</f>
        <v>11</v>
      </c>
      <c r="I11" s="11">
        <f>VLOOKUP(A11,import!A:J,9,0)</f>
        <v>15</v>
      </c>
      <c r="J11" s="12">
        <f>VLOOKUP(A11,import!A:J,10,0)</f>
        <v>0.27</v>
      </c>
      <c r="K11" s="11" t="s">
        <v>124</v>
      </c>
      <c r="L11" s="11">
        <v>3.522350515E9</v>
      </c>
      <c r="M11" s="11" t="s">
        <v>47</v>
      </c>
      <c r="N11" s="11" t="s">
        <v>125</v>
      </c>
      <c r="O11" s="11" t="s">
        <v>126</v>
      </c>
      <c r="P11" s="11" t="str">
        <f>VLOOKUP(A11,import!A:P,16,0)</f>
        <v>Geleneksel</v>
      </c>
      <c r="Q11" s="13"/>
      <c r="R11" s="13" t="b">
        <v>1</v>
      </c>
      <c r="S11" s="13" t="b">
        <v>0</v>
      </c>
      <c r="T11" s="14" t="s">
        <v>74</v>
      </c>
      <c r="U11" s="14" t="s">
        <v>110</v>
      </c>
      <c r="V11" s="30" t="s">
        <v>76</v>
      </c>
      <c r="W11" s="14"/>
      <c r="X11" s="24">
        <v>44614.0</v>
      </c>
      <c r="Y11" s="24">
        <v>44615.0</v>
      </c>
      <c r="Z11" s="18"/>
      <c r="AA11" s="29" t="s">
        <v>54</v>
      </c>
      <c r="AB11" s="20">
        <v>44614.0</v>
      </c>
      <c r="AC11" s="19" t="s">
        <v>54</v>
      </c>
      <c r="AD11" s="20">
        <v>44631.0</v>
      </c>
      <c r="AE11" s="19"/>
      <c r="AF11" s="20"/>
      <c r="AG11" s="21"/>
      <c r="AH11" s="18"/>
      <c r="AI11" s="18"/>
      <c r="AJ11" s="18"/>
      <c r="AK11" s="19" t="s">
        <v>110</v>
      </c>
      <c r="AL11" s="19" t="s">
        <v>127</v>
      </c>
      <c r="AM11" s="19"/>
      <c r="AN11" s="18"/>
      <c r="AO11" s="18"/>
      <c r="AP11" s="22"/>
      <c r="AQ11" s="18"/>
    </row>
    <row r="12">
      <c r="A12" s="11" t="s">
        <v>128</v>
      </c>
      <c r="B12" s="11" t="s">
        <v>129</v>
      </c>
      <c r="C12" s="11" t="str">
        <f>VLOOKUP(A12,import!A:C,3,0)</f>
        <v>DOĞRU</v>
      </c>
      <c r="D12" s="11" t="s">
        <v>100</v>
      </c>
      <c r="E12" s="11">
        <f>VLOOKUP(A12,import!A:J,5,0)</f>
        <v>5</v>
      </c>
      <c r="F12" s="11" t="str">
        <f>VLOOKUP(A12,import!A:J,6,0)</f>
        <v/>
      </c>
      <c r="G12" s="11">
        <f>VLOOKUP(A12,import!A:J,7,0)</f>
        <v>0</v>
      </c>
      <c r="H12" s="11">
        <f>VLOOKUP(A12,import!A:J,8,0)</f>
        <v>7</v>
      </c>
      <c r="I12" s="11">
        <f>VLOOKUP(A12,import!A:J,9,0)</f>
        <v>7</v>
      </c>
      <c r="J12" s="12">
        <f>VLOOKUP(A12,import!A:J,10,0)</f>
        <v>0</v>
      </c>
      <c r="K12" s="11" t="s">
        <v>130</v>
      </c>
      <c r="L12" s="11">
        <v>5.076881502E9</v>
      </c>
      <c r="M12" s="11" t="s">
        <v>47</v>
      </c>
      <c r="N12" s="11" t="s">
        <v>131</v>
      </c>
      <c r="O12" s="11" t="s">
        <v>132</v>
      </c>
      <c r="P12" s="11" t="str">
        <f>VLOOKUP(A12,import!A:P,16,0)</f>
        <v>Geleneksel</v>
      </c>
      <c r="Q12" s="13"/>
      <c r="R12" s="13" t="b">
        <v>1</v>
      </c>
      <c r="S12" s="13" t="b">
        <v>0</v>
      </c>
      <c r="T12" s="14" t="s">
        <v>133</v>
      </c>
      <c r="U12" s="14"/>
      <c r="V12" s="14"/>
      <c r="W12" s="14" t="s">
        <v>134</v>
      </c>
      <c r="X12" s="24"/>
      <c r="Y12" s="24"/>
      <c r="Z12" s="18"/>
      <c r="AA12" s="19" t="s">
        <v>54</v>
      </c>
      <c r="AB12" s="20">
        <v>44587.0</v>
      </c>
      <c r="AC12" s="19" t="s">
        <v>54</v>
      </c>
      <c r="AD12" s="20">
        <v>44599.0</v>
      </c>
      <c r="AE12" s="19" t="s">
        <v>54</v>
      </c>
      <c r="AF12" s="20">
        <v>44614.0</v>
      </c>
      <c r="AG12" s="21"/>
      <c r="AH12" s="18"/>
      <c r="AI12" s="18"/>
      <c r="AJ12" s="18"/>
      <c r="AK12" s="19" t="s">
        <v>86</v>
      </c>
      <c r="AL12" s="19" t="s">
        <v>110</v>
      </c>
      <c r="AM12" s="19" t="s">
        <v>110</v>
      </c>
      <c r="AN12" s="18"/>
      <c r="AO12" s="18"/>
      <c r="AP12" s="22" t="s">
        <v>56</v>
      </c>
      <c r="AQ12" s="18"/>
    </row>
    <row r="13">
      <c r="A13" s="11" t="s">
        <v>135</v>
      </c>
      <c r="B13" s="11" t="s">
        <v>136</v>
      </c>
      <c r="C13" s="11" t="str">
        <f>VLOOKUP(A13,import!A:C,3,0)</f>
        <v>YANLIŞ</v>
      </c>
      <c r="D13" s="11" t="s">
        <v>100</v>
      </c>
      <c r="E13" s="11">
        <f>VLOOKUP(A13,import!A:J,5,0)</f>
        <v>296</v>
      </c>
      <c r="F13" s="11" t="str">
        <f>VLOOKUP(A13,import!A:J,6,0)</f>
        <v/>
      </c>
      <c r="G13" s="11">
        <f>VLOOKUP(A13,import!A:J,7,0)</f>
        <v>6</v>
      </c>
      <c r="H13" s="11">
        <f>VLOOKUP(A13,import!A:J,8,0)</f>
        <v>3</v>
      </c>
      <c r="I13" s="11">
        <f>VLOOKUP(A13,import!A:J,9,0)</f>
        <v>9</v>
      </c>
      <c r="J13" s="12">
        <f>VLOOKUP(A13,import!A:J,10,0)</f>
        <v>0.67</v>
      </c>
      <c r="K13" s="11" t="s">
        <v>137</v>
      </c>
      <c r="L13" s="11">
        <v>5.526300238E9</v>
      </c>
      <c r="M13" s="11" t="s">
        <v>47</v>
      </c>
      <c r="N13" s="11" t="s">
        <v>138</v>
      </c>
      <c r="O13" s="11" t="s">
        <v>139</v>
      </c>
      <c r="P13" s="11" t="str">
        <f>VLOOKUP(A13,import!A:P,16,0)</f>
        <v>Geleneksel</v>
      </c>
      <c r="Q13" s="13"/>
      <c r="R13" s="13" t="b">
        <v>1</v>
      </c>
      <c r="S13" s="13" t="b">
        <v>0</v>
      </c>
      <c r="T13" s="14" t="s">
        <v>74</v>
      </c>
      <c r="U13" s="14" t="s">
        <v>140</v>
      </c>
      <c r="V13" s="23" t="s">
        <v>76</v>
      </c>
      <c r="W13" s="14" t="s">
        <v>141</v>
      </c>
      <c r="X13" s="24">
        <v>44588.0</v>
      </c>
      <c r="Y13" s="24">
        <v>44589.0</v>
      </c>
      <c r="Z13" s="18"/>
      <c r="AA13" s="19" t="s">
        <v>54</v>
      </c>
      <c r="AB13" s="20">
        <v>44588.0</v>
      </c>
      <c r="AC13" s="19"/>
      <c r="AD13" s="20"/>
      <c r="AE13" s="21"/>
      <c r="AF13" s="18"/>
      <c r="AG13" s="21"/>
      <c r="AH13" s="18"/>
      <c r="AI13" s="18"/>
      <c r="AJ13" s="18"/>
      <c r="AK13" s="19" t="s">
        <v>140</v>
      </c>
      <c r="AL13" s="19"/>
      <c r="AM13" s="18"/>
      <c r="AN13" s="18"/>
      <c r="AO13" s="18"/>
      <c r="AP13" s="22" t="s">
        <v>56</v>
      </c>
      <c r="AQ13" s="18"/>
    </row>
    <row r="14">
      <c r="A14" s="11" t="s">
        <v>142</v>
      </c>
      <c r="B14" s="11" t="s">
        <v>136</v>
      </c>
      <c r="C14" s="11" t="str">
        <f>VLOOKUP(A14,import!A:C,3,0)</f>
        <v>DOĞRU</v>
      </c>
      <c r="D14" s="11" t="s">
        <v>100</v>
      </c>
      <c r="E14" s="11">
        <f>VLOOKUP(A14,import!A:J,5,0)</f>
        <v>426</v>
      </c>
      <c r="F14" s="11">
        <f>VLOOKUP(A14,import!A:J,6,0)</f>
        <v>22</v>
      </c>
      <c r="G14" s="11">
        <f>VLOOKUP(A14,import!A:J,7,0)</f>
        <v>0</v>
      </c>
      <c r="H14" s="11">
        <f>VLOOKUP(A14,import!A:J,8,0)</f>
        <v>10</v>
      </c>
      <c r="I14" s="11">
        <f>VLOOKUP(A14,import!A:J,9,0)</f>
        <v>10</v>
      </c>
      <c r="J14" s="12">
        <f>VLOOKUP(A14,import!A:J,10,0)</f>
        <v>0</v>
      </c>
      <c r="K14" s="11" t="s">
        <v>143</v>
      </c>
      <c r="L14" s="11">
        <v>5.526300238E9</v>
      </c>
      <c r="M14" s="11" t="s">
        <v>47</v>
      </c>
      <c r="N14" s="11" t="s">
        <v>138</v>
      </c>
      <c r="O14" s="11" t="s">
        <v>144</v>
      </c>
      <c r="P14" s="11" t="str">
        <f>VLOOKUP(A14,import!A:P,16,0)</f>
        <v>Geleneksel</v>
      </c>
      <c r="Q14" s="13"/>
      <c r="R14" s="13" t="b">
        <v>1</v>
      </c>
      <c r="S14" s="13" t="b">
        <v>0</v>
      </c>
      <c r="T14" s="14" t="s">
        <v>145</v>
      </c>
      <c r="U14" s="14"/>
      <c r="V14" s="14"/>
      <c r="W14" s="14"/>
      <c r="X14" s="24"/>
      <c r="Y14" s="24"/>
      <c r="Z14" s="18"/>
      <c r="AA14" s="19"/>
      <c r="AB14" s="20"/>
      <c r="AC14" s="19"/>
      <c r="AD14" s="20"/>
      <c r="AE14" s="21"/>
      <c r="AF14" s="18"/>
      <c r="AG14" s="21"/>
      <c r="AH14" s="18"/>
      <c r="AI14" s="18"/>
      <c r="AJ14" s="18"/>
      <c r="AK14" s="19"/>
      <c r="AL14" s="19"/>
      <c r="AM14" s="18"/>
      <c r="AN14" s="18"/>
      <c r="AO14" s="18"/>
      <c r="AP14" s="22" t="s">
        <v>56</v>
      </c>
      <c r="AQ14" s="18"/>
    </row>
    <row r="15">
      <c r="A15" s="11" t="s">
        <v>146</v>
      </c>
      <c r="B15" s="11" t="s">
        <v>147</v>
      </c>
      <c r="C15" s="11" t="str">
        <f>VLOOKUP(A15,import!A:C,3,0)</f>
        <v>DOĞRU</v>
      </c>
      <c r="D15" s="11" t="s">
        <v>100</v>
      </c>
      <c r="E15" s="11">
        <f>VLOOKUP(A15,import!A:J,5,0)</f>
        <v>10</v>
      </c>
      <c r="F15" s="11">
        <f>VLOOKUP(A15,import!A:J,6,0)</f>
        <v>6</v>
      </c>
      <c r="G15" s="11">
        <f>VLOOKUP(A15,import!A:J,7,0)</f>
        <v>0</v>
      </c>
      <c r="H15" s="11">
        <f>VLOOKUP(A15,import!A:J,8,0)</f>
        <v>13</v>
      </c>
      <c r="I15" s="11">
        <f>VLOOKUP(A15,import!A:J,9,0)</f>
        <v>13</v>
      </c>
      <c r="J15" s="12">
        <f>VLOOKUP(A15,import!A:J,10,0)</f>
        <v>0</v>
      </c>
      <c r="K15" s="11" t="s">
        <v>148</v>
      </c>
      <c r="L15" s="11">
        <v>5.345604096E9</v>
      </c>
      <c r="M15" s="11" t="s">
        <v>61</v>
      </c>
      <c r="N15" s="11" t="s">
        <v>62</v>
      </c>
      <c r="O15" s="11" t="s">
        <v>149</v>
      </c>
      <c r="P15" s="11" t="str">
        <f>VLOOKUP(A15,import!A:P,16,0)</f>
        <v>Geleneksel</v>
      </c>
      <c r="Q15" s="13"/>
      <c r="R15" s="13" t="b">
        <v>1</v>
      </c>
      <c r="S15" s="13" t="b">
        <v>0</v>
      </c>
      <c r="T15" s="14" t="s">
        <v>150</v>
      </c>
      <c r="U15" s="14"/>
      <c r="V15" s="31"/>
      <c r="W15" s="14" t="s">
        <v>151</v>
      </c>
      <c r="X15" s="24"/>
      <c r="Y15" s="24"/>
      <c r="Z15" s="18"/>
      <c r="AA15" s="19" t="s">
        <v>54</v>
      </c>
      <c r="AB15" s="20">
        <v>44594.0</v>
      </c>
      <c r="AC15" s="19"/>
      <c r="AD15" s="20"/>
      <c r="AE15" s="21"/>
      <c r="AF15" s="18"/>
      <c r="AG15" s="21"/>
      <c r="AH15" s="18"/>
      <c r="AI15" s="18"/>
      <c r="AJ15" s="18"/>
      <c r="AK15" s="19" t="s">
        <v>86</v>
      </c>
      <c r="AL15" s="19"/>
      <c r="AM15" s="18"/>
      <c r="AN15" s="18"/>
      <c r="AO15" s="18"/>
      <c r="AP15" s="22"/>
      <c r="AQ15" s="18"/>
    </row>
    <row r="16">
      <c r="A16" s="32" t="s">
        <v>152</v>
      </c>
      <c r="B16" s="32" t="s">
        <v>153</v>
      </c>
      <c r="C16" s="11" t="str">
        <f>VLOOKUP(A16,import!A:C,3,0)</f>
        <v>DOĞRU</v>
      </c>
      <c r="D16" s="32" t="s">
        <v>100</v>
      </c>
      <c r="E16" s="11">
        <f>VLOOKUP(A16,import!A:J,5,0)</f>
        <v>11</v>
      </c>
      <c r="F16" s="11">
        <f>VLOOKUP(A16,import!A:J,6,0)</f>
        <v>1</v>
      </c>
      <c r="G16" s="11">
        <f>VLOOKUP(A16,import!A:J,7,0)</f>
        <v>11</v>
      </c>
      <c r="H16" s="11">
        <f>VLOOKUP(A16,import!A:J,8,0)</f>
        <v>21</v>
      </c>
      <c r="I16" s="11">
        <f>VLOOKUP(A16,import!A:J,9,0)</f>
        <v>32</v>
      </c>
      <c r="J16" s="12">
        <f>VLOOKUP(A16,import!A:J,10,0)</f>
        <v>0.34</v>
      </c>
      <c r="K16" s="32" t="s">
        <v>154</v>
      </c>
      <c r="L16" s="32">
        <v>5.312730594E9</v>
      </c>
      <c r="M16" s="32" t="s">
        <v>47</v>
      </c>
      <c r="N16" s="32" t="s">
        <v>155</v>
      </c>
      <c r="O16" s="32" t="s">
        <v>156</v>
      </c>
      <c r="P16" s="11" t="str">
        <f>VLOOKUP(A16,import!A:P,16,0)</f>
        <v>Geleneksel</v>
      </c>
      <c r="Q16" s="13"/>
      <c r="R16" s="13" t="b">
        <v>1</v>
      </c>
      <c r="S16" s="13" t="b">
        <v>0</v>
      </c>
      <c r="T16" s="14" t="s">
        <v>74</v>
      </c>
      <c r="U16" s="14" t="s">
        <v>75</v>
      </c>
      <c r="V16" s="14" t="s">
        <v>76</v>
      </c>
      <c r="W16" s="14"/>
      <c r="X16" s="24">
        <v>44606.0</v>
      </c>
      <c r="Y16" s="24">
        <v>44606.0</v>
      </c>
      <c r="Z16" s="18"/>
      <c r="AA16" s="19" t="s">
        <v>54</v>
      </c>
      <c r="AB16" s="20">
        <v>44606.0</v>
      </c>
      <c r="AC16" s="19"/>
      <c r="AD16" s="20"/>
      <c r="AE16" s="19"/>
      <c r="AF16" s="20"/>
      <c r="AG16" s="21"/>
      <c r="AH16" s="18"/>
      <c r="AI16" s="18"/>
      <c r="AJ16" s="18"/>
      <c r="AK16" s="19" t="s">
        <v>75</v>
      </c>
      <c r="AL16" s="19"/>
      <c r="AM16" s="19"/>
      <c r="AN16" s="18"/>
      <c r="AO16" s="18"/>
      <c r="AP16" s="22"/>
      <c r="AQ16" s="18"/>
    </row>
    <row r="17">
      <c r="A17" s="11" t="s">
        <v>157</v>
      </c>
      <c r="B17" s="11" t="s">
        <v>158</v>
      </c>
      <c r="C17" s="11" t="str">
        <f>VLOOKUP(A17,import!A:C,3,0)</f>
        <v>YANLIŞ</v>
      </c>
      <c r="D17" s="11" t="s">
        <v>91</v>
      </c>
      <c r="E17" s="11">
        <f>VLOOKUP(A17,import!A:J,5,0)</f>
        <v>252</v>
      </c>
      <c r="F17" s="11" t="str">
        <f>VLOOKUP(A17,import!A:J,6,0)</f>
        <v/>
      </c>
      <c r="G17" s="11">
        <f>VLOOKUP(A17,import!A:J,7,0)</f>
        <v>0</v>
      </c>
      <c r="H17" s="11">
        <f>VLOOKUP(A17,import!A:J,8,0)</f>
        <v>19</v>
      </c>
      <c r="I17" s="11">
        <f>VLOOKUP(A17,import!A:J,9,0)</f>
        <v>19</v>
      </c>
      <c r="J17" s="12">
        <f>VLOOKUP(A17,import!A:J,10,0)</f>
        <v>0</v>
      </c>
      <c r="K17" s="11" t="s">
        <v>159</v>
      </c>
      <c r="L17" s="11">
        <v>3.524378971E9</v>
      </c>
      <c r="M17" s="11" t="s">
        <v>61</v>
      </c>
      <c r="N17" s="11" t="s">
        <v>160</v>
      </c>
      <c r="O17" s="11" t="s">
        <v>161</v>
      </c>
      <c r="P17" s="11" t="str">
        <f>VLOOKUP(A17,import!A:P,16,0)</f>
        <v>Geleneksel</v>
      </c>
      <c r="Q17" s="13"/>
      <c r="R17" s="13" t="b">
        <v>1</v>
      </c>
      <c r="S17" s="13" t="b">
        <v>0</v>
      </c>
      <c r="T17" s="15"/>
      <c r="U17" s="15"/>
      <c r="V17" s="15"/>
      <c r="W17" s="14" t="s">
        <v>162</v>
      </c>
      <c r="X17" s="17"/>
      <c r="Y17" s="17"/>
      <c r="Z17" s="18"/>
      <c r="AA17" s="18"/>
      <c r="AB17" s="18"/>
      <c r="AC17" s="18"/>
      <c r="AD17" s="18"/>
      <c r="AE17" s="21"/>
      <c r="AF17" s="18"/>
      <c r="AG17" s="21"/>
      <c r="AH17" s="18"/>
      <c r="AI17" s="18"/>
      <c r="AJ17" s="18"/>
      <c r="AK17" s="18"/>
      <c r="AL17" s="18"/>
      <c r="AM17" s="18"/>
      <c r="AN17" s="18"/>
      <c r="AO17" s="18"/>
      <c r="AP17" s="22" t="s">
        <v>56</v>
      </c>
      <c r="AQ17" s="18"/>
    </row>
    <row r="18">
      <c r="A18" s="11" t="s">
        <v>163</v>
      </c>
      <c r="B18" s="11" t="s">
        <v>164</v>
      </c>
      <c r="C18" s="11" t="str">
        <f>VLOOKUP(A18,import!A:C,3,0)</f>
        <v>DOĞRU</v>
      </c>
      <c r="D18" s="11" t="s">
        <v>165</v>
      </c>
      <c r="E18" s="11">
        <f>VLOOKUP(A18,import!A:J,5,0)</f>
        <v>910</v>
      </c>
      <c r="F18" s="11" t="str">
        <f>VLOOKUP(A18,import!A:J,6,0)</f>
        <v/>
      </c>
      <c r="G18" s="11">
        <f>VLOOKUP(A18,import!A:J,7,0)</f>
        <v>0</v>
      </c>
      <c r="H18" s="11">
        <f>VLOOKUP(A18,import!A:J,8,0)</f>
        <v>6</v>
      </c>
      <c r="I18" s="11">
        <f>VLOOKUP(A18,import!A:J,9,0)</f>
        <v>6</v>
      </c>
      <c r="J18" s="12">
        <f>VLOOKUP(A18,import!A:J,10,0)</f>
        <v>0</v>
      </c>
      <c r="K18" s="11" t="s">
        <v>166</v>
      </c>
      <c r="L18" s="11">
        <v>3.528883898E9</v>
      </c>
      <c r="M18" s="11" t="s">
        <v>61</v>
      </c>
      <c r="N18" s="11" t="s">
        <v>62</v>
      </c>
      <c r="O18" s="11" t="s">
        <v>167</v>
      </c>
      <c r="P18" s="11" t="str">
        <f>VLOOKUP(A18,import!A:P,16,0)</f>
        <v>Geleneksel</v>
      </c>
      <c r="Q18" s="13"/>
      <c r="R18" s="13" t="b">
        <v>1</v>
      </c>
      <c r="S18" s="13" t="b">
        <v>0</v>
      </c>
      <c r="T18" s="14" t="s">
        <v>168</v>
      </c>
      <c r="U18" s="14"/>
      <c r="V18" s="31"/>
      <c r="W18" s="14" t="s">
        <v>169</v>
      </c>
      <c r="X18" s="24"/>
      <c r="Y18" s="24"/>
      <c r="Z18" s="18"/>
      <c r="AA18" s="19" t="s">
        <v>54</v>
      </c>
      <c r="AB18" s="20">
        <v>44579.0</v>
      </c>
      <c r="AC18" s="19"/>
      <c r="AD18" s="20"/>
      <c r="AE18" s="21"/>
      <c r="AF18" s="18"/>
      <c r="AG18" s="21"/>
      <c r="AH18" s="18"/>
      <c r="AI18" s="18"/>
      <c r="AJ18" s="18"/>
      <c r="AK18" s="19" t="s">
        <v>86</v>
      </c>
      <c r="AL18" s="19"/>
      <c r="AM18" s="18"/>
      <c r="AN18" s="18"/>
      <c r="AO18" s="18"/>
      <c r="AP18" s="22" t="s">
        <v>56</v>
      </c>
      <c r="AQ18" s="18"/>
    </row>
    <row r="19">
      <c r="A19" s="11" t="s">
        <v>170</v>
      </c>
      <c r="B19" s="11" t="s">
        <v>171</v>
      </c>
      <c r="C19" s="11" t="str">
        <f>VLOOKUP(A19,import!A:C,3,0)</f>
        <v>DOĞRU</v>
      </c>
      <c r="D19" s="11" t="s">
        <v>172</v>
      </c>
      <c r="E19" s="11">
        <f>VLOOKUP(A19,import!A:J,5,0)</f>
        <v>105</v>
      </c>
      <c r="F19" s="11">
        <f>VLOOKUP(A19,import!A:J,6,0)</f>
        <v>14</v>
      </c>
      <c r="G19" s="11">
        <f>VLOOKUP(A19,import!A:J,7,0)</f>
        <v>13</v>
      </c>
      <c r="H19" s="11">
        <f>VLOOKUP(A19,import!A:J,8,0)</f>
        <v>4</v>
      </c>
      <c r="I19" s="11">
        <f>VLOOKUP(A19,import!A:J,9,0)</f>
        <v>17</v>
      </c>
      <c r="J19" s="12">
        <f>VLOOKUP(A19,import!A:J,10,0)</f>
        <v>0.76</v>
      </c>
      <c r="K19" s="11" t="s">
        <v>173</v>
      </c>
      <c r="L19" s="11">
        <v>3.523201239E9</v>
      </c>
      <c r="M19" s="11" t="s">
        <v>71</v>
      </c>
      <c r="N19" s="11" t="s">
        <v>174</v>
      </c>
      <c r="O19" s="11" t="s">
        <v>175</v>
      </c>
      <c r="P19" s="11" t="str">
        <f>VLOOKUP(A19,import!A:P,16,0)</f>
        <v>Geleneksel</v>
      </c>
      <c r="Q19" s="13"/>
      <c r="R19" s="13" t="b">
        <v>1</v>
      </c>
      <c r="S19" s="13" t="b">
        <v>0</v>
      </c>
      <c r="T19" s="14" t="s">
        <v>74</v>
      </c>
      <c r="U19" s="14" t="s">
        <v>75</v>
      </c>
      <c r="V19" s="33" t="s">
        <v>76</v>
      </c>
      <c r="W19" s="14">
        <v>5.5319898E9</v>
      </c>
      <c r="X19" s="24">
        <v>44627.0</v>
      </c>
      <c r="Y19" s="24">
        <v>44628.0</v>
      </c>
      <c r="Z19" s="18"/>
      <c r="AA19" s="19" t="s">
        <v>54</v>
      </c>
      <c r="AB19" s="24">
        <v>44627.0</v>
      </c>
      <c r="AC19" s="19"/>
      <c r="AD19" s="20"/>
      <c r="AE19" s="21"/>
      <c r="AF19" s="18"/>
      <c r="AG19" s="21"/>
      <c r="AH19" s="18"/>
      <c r="AI19" s="18"/>
      <c r="AJ19" s="18"/>
      <c r="AK19" s="19" t="s">
        <v>75</v>
      </c>
      <c r="AL19" s="19"/>
      <c r="AM19" s="18"/>
      <c r="AN19" s="18"/>
      <c r="AO19" s="18"/>
      <c r="AP19" s="22"/>
      <c r="AQ19" s="18"/>
    </row>
    <row r="20">
      <c r="A20" s="11" t="s">
        <v>176</v>
      </c>
      <c r="B20" s="11" t="s">
        <v>177</v>
      </c>
      <c r="C20" s="11" t="str">
        <f>VLOOKUP(A20,import!A:C,3,0)</f>
        <v>YANLIŞ</v>
      </c>
      <c r="D20" s="11" t="s">
        <v>83</v>
      </c>
      <c r="E20" s="11">
        <f>VLOOKUP(A20,import!A:J,5,0)</f>
        <v>1064</v>
      </c>
      <c r="F20" s="11" t="str">
        <f>VLOOKUP(A20,import!A:J,6,0)</f>
        <v/>
      </c>
      <c r="G20" s="11">
        <f>VLOOKUP(A20,import!A:J,7,0)</f>
        <v>19</v>
      </c>
      <c r="H20" s="11">
        <f>VLOOKUP(A20,import!A:J,8,0)</f>
        <v>5</v>
      </c>
      <c r="I20" s="11">
        <f>VLOOKUP(A20,import!A:J,9,0)</f>
        <v>24</v>
      </c>
      <c r="J20" s="12">
        <f>VLOOKUP(A20,import!A:J,10,0)</f>
        <v>0.79</v>
      </c>
      <c r="K20" s="11" t="s">
        <v>178</v>
      </c>
      <c r="L20" s="11">
        <v>5.303839538E9</v>
      </c>
      <c r="M20" s="11" t="s">
        <v>71</v>
      </c>
      <c r="N20" s="11" t="s">
        <v>179</v>
      </c>
      <c r="O20" s="11" t="s">
        <v>180</v>
      </c>
      <c r="P20" s="11" t="str">
        <f>VLOOKUP(A20,import!A:P,16,0)</f>
        <v>Geleneksel</v>
      </c>
      <c r="Q20" s="13"/>
      <c r="R20" s="13" t="b">
        <v>1</v>
      </c>
      <c r="S20" s="13" t="b">
        <v>0</v>
      </c>
      <c r="T20" s="25" t="s">
        <v>74</v>
      </c>
      <c r="U20" s="25" t="s">
        <v>181</v>
      </c>
      <c r="V20" s="25" t="s">
        <v>96</v>
      </c>
      <c r="W20" s="26"/>
      <c r="X20" s="34">
        <v>44287.0</v>
      </c>
      <c r="Y20" s="34">
        <v>44292.0</v>
      </c>
      <c r="Z20" s="18"/>
      <c r="AA20" s="18"/>
      <c r="AB20" s="18"/>
      <c r="AC20" s="18"/>
      <c r="AD20" s="18"/>
      <c r="AE20" s="21"/>
      <c r="AF20" s="18"/>
      <c r="AG20" s="21"/>
      <c r="AH20" s="18"/>
      <c r="AI20" s="18"/>
      <c r="AJ20" s="18"/>
      <c r="AK20" s="18"/>
      <c r="AL20" s="18"/>
      <c r="AM20" s="18"/>
      <c r="AN20" s="18"/>
      <c r="AO20" s="18"/>
      <c r="AP20" s="22" t="s">
        <v>56</v>
      </c>
      <c r="AQ20" s="18"/>
    </row>
    <row r="21">
      <c r="A21" s="11" t="s">
        <v>182</v>
      </c>
      <c r="B21" s="11" t="s">
        <v>183</v>
      </c>
      <c r="C21" s="11" t="str">
        <f>VLOOKUP(A21,import!A:C,3,0)</f>
        <v>DOĞRU</v>
      </c>
      <c r="D21" s="11" t="s">
        <v>83</v>
      </c>
      <c r="E21" s="11">
        <f>VLOOKUP(A21,import!A:J,5,0)</f>
        <v>835</v>
      </c>
      <c r="F21" s="11" t="str">
        <f>VLOOKUP(A21,import!A:J,6,0)</f>
        <v/>
      </c>
      <c r="G21" s="11">
        <f>VLOOKUP(A21,import!A:J,7,0)</f>
        <v>0</v>
      </c>
      <c r="H21" s="11">
        <f>VLOOKUP(A21,import!A:J,8,0)</f>
        <v>18</v>
      </c>
      <c r="I21" s="11">
        <f>VLOOKUP(A21,import!A:J,9,0)</f>
        <v>18</v>
      </c>
      <c r="J21" s="12">
        <f>VLOOKUP(A21,import!A:J,10,0)</f>
        <v>0</v>
      </c>
      <c r="K21" s="11" t="s">
        <v>184</v>
      </c>
      <c r="L21" s="11">
        <v>5.331429538E9</v>
      </c>
      <c r="M21" s="11" t="s">
        <v>47</v>
      </c>
      <c r="N21" s="11" t="s">
        <v>125</v>
      </c>
      <c r="O21" s="11" t="s">
        <v>185</v>
      </c>
      <c r="P21" s="11" t="str">
        <f>VLOOKUP(A21,import!A:P,16,0)</f>
        <v>Geleneksel</v>
      </c>
      <c r="Q21" s="13"/>
      <c r="R21" s="13" t="b">
        <v>1</v>
      </c>
      <c r="S21" s="13" t="b">
        <v>1</v>
      </c>
      <c r="T21" s="14"/>
      <c r="U21" s="14"/>
      <c r="V21" s="14"/>
      <c r="W21" s="14" t="s">
        <v>186</v>
      </c>
      <c r="X21" s="24"/>
      <c r="Y21" s="24"/>
      <c r="Z21" s="18"/>
      <c r="AA21" s="19" t="s">
        <v>78</v>
      </c>
      <c r="AB21" s="20">
        <v>44476.0</v>
      </c>
      <c r="AC21" s="19" t="s">
        <v>54</v>
      </c>
      <c r="AD21" s="20">
        <v>44586.0</v>
      </c>
      <c r="AE21" s="19" t="s">
        <v>54</v>
      </c>
      <c r="AF21" s="20">
        <v>44614.0</v>
      </c>
      <c r="AG21" s="21"/>
      <c r="AH21" s="18"/>
      <c r="AI21" s="18"/>
      <c r="AJ21" s="18"/>
      <c r="AK21" s="19" t="s">
        <v>95</v>
      </c>
      <c r="AL21" s="19" t="s">
        <v>110</v>
      </c>
      <c r="AM21" s="19" t="s">
        <v>110</v>
      </c>
      <c r="AN21" s="18"/>
      <c r="AO21" s="18"/>
      <c r="AP21" s="22" t="s">
        <v>56</v>
      </c>
      <c r="AQ21" s="18"/>
    </row>
    <row r="22">
      <c r="A22" s="11" t="s">
        <v>187</v>
      </c>
      <c r="B22" s="11" t="s">
        <v>183</v>
      </c>
      <c r="C22" s="11" t="str">
        <f>VLOOKUP(A22,import!A:C,3,0)</f>
        <v>DOĞRU</v>
      </c>
      <c r="D22" s="11" t="s">
        <v>83</v>
      </c>
      <c r="E22" s="11">
        <f>VLOOKUP(A22,import!A:J,5,0)</f>
        <v>53</v>
      </c>
      <c r="F22" s="11">
        <f>VLOOKUP(A22,import!A:J,6,0)</f>
        <v>14</v>
      </c>
      <c r="G22" s="11">
        <f>VLOOKUP(A22,import!A:J,7,0)</f>
        <v>0</v>
      </c>
      <c r="H22" s="11">
        <f>VLOOKUP(A22,import!A:J,8,0)</f>
        <v>26</v>
      </c>
      <c r="I22" s="11">
        <f>VLOOKUP(A22,import!A:J,9,0)</f>
        <v>26</v>
      </c>
      <c r="J22" s="12">
        <f>VLOOKUP(A22,import!A:J,10,0)</f>
        <v>0</v>
      </c>
      <c r="K22" s="11" t="s">
        <v>188</v>
      </c>
      <c r="L22" s="11">
        <v>5.331429538E9</v>
      </c>
      <c r="M22" s="11" t="s">
        <v>47</v>
      </c>
      <c r="N22" s="11" t="s">
        <v>125</v>
      </c>
      <c r="O22" s="11" t="s">
        <v>185</v>
      </c>
      <c r="P22" s="11" t="str">
        <f>VLOOKUP(A22,import!A:P,16,0)</f>
        <v>Geleneksel</v>
      </c>
      <c r="Q22" s="13"/>
      <c r="R22" s="13" t="b">
        <v>1</v>
      </c>
      <c r="S22" s="13" t="b">
        <v>0</v>
      </c>
      <c r="T22" s="14"/>
      <c r="U22" s="14"/>
      <c r="V22" s="31"/>
      <c r="W22" s="14" t="s">
        <v>189</v>
      </c>
      <c r="X22" s="24"/>
      <c r="Y22" s="24"/>
      <c r="Z22" s="18"/>
      <c r="AA22" s="19" t="s">
        <v>54</v>
      </c>
      <c r="AB22" s="20">
        <v>44634.0</v>
      </c>
      <c r="AC22" s="19"/>
      <c r="AD22" s="20"/>
      <c r="AE22" s="19"/>
      <c r="AF22" s="20"/>
      <c r="AG22" s="21"/>
      <c r="AH22" s="18"/>
      <c r="AI22" s="18"/>
      <c r="AJ22" s="18"/>
      <c r="AK22" s="19" t="s">
        <v>75</v>
      </c>
      <c r="AL22" s="19"/>
      <c r="AM22" s="19"/>
      <c r="AN22" s="18"/>
      <c r="AO22" s="18"/>
      <c r="AP22" s="22"/>
      <c r="AQ22" s="18"/>
    </row>
    <row r="23">
      <c r="A23" s="11" t="s">
        <v>190</v>
      </c>
      <c r="B23" s="11" t="s">
        <v>191</v>
      </c>
      <c r="C23" s="11" t="str">
        <f>VLOOKUP(A23,import!A:C,3,0)</f>
        <v>YANLIŞ</v>
      </c>
      <c r="D23" s="11" t="s">
        <v>83</v>
      </c>
      <c r="E23" s="11">
        <f>VLOOKUP(A23,import!A:J,5,0)</f>
        <v>537</v>
      </c>
      <c r="F23" s="11" t="str">
        <f>VLOOKUP(A23,import!A:J,6,0)</f>
        <v/>
      </c>
      <c r="G23" s="11">
        <f>VLOOKUP(A23,import!A:J,7,0)</f>
        <v>0</v>
      </c>
      <c r="H23" s="11">
        <f>VLOOKUP(A23,import!A:J,8,0)</f>
        <v>24</v>
      </c>
      <c r="I23" s="11">
        <f>VLOOKUP(A23,import!A:J,9,0)</f>
        <v>24</v>
      </c>
      <c r="J23" s="12">
        <f>VLOOKUP(A23,import!A:J,10,0)</f>
        <v>0</v>
      </c>
      <c r="K23" s="11" t="s">
        <v>192</v>
      </c>
      <c r="L23" s="11">
        <v>5.435740503E9</v>
      </c>
      <c r="M23" s="11" t="s">
        <v>61</v>
      </c>
      <c r="N23" s="11" t="s">
        <v>62</v>
      </c>
      <c r="O23" s="11" t="s">
        <v>193</v>
      </c>
      <c r="P23" s="11" t="str">
        <f>VLOOKUP(A23,import!A:P,16,0)</f>
        <v>Geleneksel</v>
      </c>
      <c r="Q23" s="13"/>
      <c r="R23" s="13" t="b">
        <v>1</v>
      </c>
      <c r="S23" s="13" t="b">
        <v>0</v>
      </c>
      <c r="T23" s="14" t="s">
        <v>145</v>
      </c>
      <c r="U23" s="14"/>
      <c r="V23" s="14"/>
      <c r="W23" s="14" t="s">
        <v>194</v>
      </c>
      <c r="X23" s="24"/>
      <c r="Y23" s="24"/>
      <c r="Z23" s="18"/>
      <c r="AA23" s="18"/>
      <c r="AB23" s="18"/>
      <c r="AC23" s="18"/>
      <c r="AD23" s="18"/>
      <c r="AE23" s="21"/>
      <c r="AF23" s="18"/>
      <c r="AG23" s="21"/>
      <c r="AH23" s="18"/>
      <c r="AI23" s="18"/>
      <c r="AJ23" s="18"/>
      <c r="AK23" s="18"/>
      <c r="AL23" s="18"/>
      <c r="AM23" s="18"/>
      <c r="AN23" s="18"/>
      <c r="AO23" s="18"/>
      <c r="AP23" s="22" t="s">
        <v>56</v>
      </c>
      <c r="AQ23" s="18"/>
    </row>
    <row r="24">
      <c r="A24" s="11" t="s">
        <v>195</v>
      </c>
      <c r="B24" s="11" t="s">
        <v>196</v>
      </c>
      <c r="C24" s="11" t="str">
        <f>VLOOKUP(A24,import!A:C,3,0)</f>
        <v>DOĞRU</v>
      </c>
      <c r="D24" s="11" t="s">
        <v>100</v>
      </c>
      <c r="E24" s="11">
        <f>VLOOKUP(A24,import!A:J,5,0)</f>
        <v>142</v>
      </c>
      <c r="F24" s="11">
        <f>VLOOKUP(A24,import!A:J,6,0)</f>
        <v>2</v>
      </c>
      <c r="G24" s="11">
        <f>VLOOKUP(A24,import!A:J,7,0)</f>
        <v>0</v>
      </c>
      <c r="H24" s="11">
        <f>VLOOKUP(A24,import!A:J,8,0)</f>
        <v>6</v>
      </c>
      <c r="I24" s="11">
        <f>VLOOKUP(A24,import!A:J,9,0)</f>
        <v>6</v>
      </c>
      <c r="J24" s="12">
        <f>VLOOKUP(A24,import!A:J,10,0)</f>
        <v>0</v>
      </c>
      <c r="K24" s="11" t="s">
        <v>197</v>
      </c>
      <c r="L24" s="11">
        <v>5.523557126E9</v>
      </c>
      <c r="M24" s="11" t="s">
        <v>47</v>
      </c>
      <c r="N24" s="11" t="s">
        <v>48</v>
      </c>
      <c r="O24" s="11" t="s">
        <v>198</v>
      </c>
      <c r="P24" s="11" t="str">
        <f>VLOOKUP(A24,import!A:P,16,0)</f>
        <v>Geleneksel</v>
      </c>
      <c r="Q24" s="13"/>
      <c r="R24" s="13" t="b">
        <v>1</v>
      </c>
      <c r="S24" s="13" t="b">
        <v>0</v>
      </c>
      <c r="T24" s="14" t="s">
        <v>199</v>
      </c>
      <c r="U24" s="14" t="s">
        <v>110</v>
      </c>
      <c r="V24" s="23" t="s">
        <v>76</v>
      </c>
      <c r="W24" s="14" t="s">
        <v>200</v>
      </c>
      <c r="X24" s="24">
        <v>44596.0</v>
      </c>
      <c r="Y24" s="24">
        <v>44602.0</v>
      </c>
      <c r="Z24" s="18"/>
      <c r="AA24" s="19" t="s">
        <v>54</v>
      </c>
      <c r="AB24" s="20">
        <v>44588.0</v>
      </c>
      <c r="AC24" s="19" t="s">
        <v>54</v>
      </c>
      <c r="AD24" s="20">
        <v>44589.0</v>
      </c>
      <c r="AE24" s="19" t="s">
        <v>54</v>
      </c>
      <c r="AF24" s="20">
        <v>44596.0</v>
      </c>
      <c r="AG24" s="21"/>
      <c r="AH24" s="18"/>
      <c r="AI24" s="18"/>
      <c r="AJ24" s="18"/>
      <c r="AK24" s="19" t="s">
        <v>110</v>
      </c>
      <c r="AL24" s="19" t="s">
        <v>110</v>
      </c>
      <c r="AM24" s="18"/>
      <c r="AN24" s="18"/>
      <c r="AO24" s="18"/>
      <c r="AP24" s="22" t="s">
        <v>56</v>
      </c>
      <c r="AQ24" s="18"/>
    </row>
    <row r="25">
      <c r="A25" s="22" t="s">
        <v>201</v>
      </c>
      <c r="B25" s="22" t="s">
        <v>202</v>
      </c>
      <c r="C25" s="11" t="str">
        <f>VLOOKUP(A25,import!A:C,3,0)</f>
        <v>DOĞRU</v>
      </c>
      <c r="D25" s="22" t="s">
        <v>100</v>
      </c>
      <c r="E25" s="11" t="str">
        <f>VLOOKUP(A25,import!A:J,5,0)</f>
        <v/>
      </c>
      <c r="F25" s="11" t="str">
        <f>VLOOKUP(A25,import!A:J,6,0)</f>
        <v/>
      </c>
      <c r="G25" s="11">
        <f>VLOOKUP(A25,import!A:J,7,0)</f>
        <v>0</v>
      </c>
      <c r="H25" s="11">
        <f>VLOOKUP(A25,import!A:J,8,0)</f>
        <v>12</v>
      </c>
      <c r="I25" s="11">
        <f>VLOOKUP(A25,import!A:J,9,0)</f>
        <v>12</v>
      </c>
      <c r="J25" s="12">
        <f>VLOOKUP(A25,import!A:J,10,0)</f>
        <v>0</v>
      </c>
      <c r="K25" s="22" t="s">
        <v>203</v>
      </c>
      <c r="L25" s="22">
        <v>3.525043339E9</v>
      </c>
      <c r="M25" s="22" t="s">
        <v>71</v>
      </c>
      <c r="N25" s="22" t="s">
        <v>204</v>
      </c>
      <c r="O25" s="22" t="s">
        <v>205</v>
      </c>
      <c r="P25" s="11" t="str">
        <f>VLOOKUP(A25,import!A:P,16,0)</f>
        <v>Geleneksel</v>
      </c>
      <c r="Q25" s="13"/>
      <c r="R25" s="13" t="b">
        <v>0</v>
      </c>
      <c r="S25" s="13" t="b">
        <v>0</v>
      </c>
      <c r="T25" s="14" t="s">
        <v>50</v>
      </c>
      <c r="U25" s="14"/>
      <c r="V25" s="14"/>
      <c r="W25" s="14"/>
      <c r="X25" s="24"/>
      <c r="Y25" s="24"/>
      <c r="Z25" s="18"/>
      <c r="AA25" s="19"/>
      <c r="AB25" s="20"/>
      <c r="AC25" s="19"/>
      <c r="AD25" s="20"/>
      <c r="AE25" s="19"/>
      <c r="AF25" s="20"/>
      <c r="AG25" s="21"/>
      <c r="AH25" s="18"/>
      <c r="AI25" s="18"/>
      <c r="AJ25" s="18"/>
      <c r="AK25" s="19"/>
      <c r="AL25" s="19"/>
      <c r="AM25" s="19"/>
      <c r="AN25" s="18"/>
      <c r="AO25" s="18"/>
      <c r="AP25" s="22"/>
      <c r="AQ25" s="18"/>
    </row>
    <row r="26">
      <c r="A26" s="11" t="s">
        <v>206</v>
      </c>
      <c r="B26" s="11" t="s">
        <v>207</v>
      </c>
      <c r="C26" s="11" t="str">
        <f>VLOOKUP(A26,import!A:C,3,0)</f>
        <v>DOĞRU</v>
      </c>
      <c r="D26" s="11" t="s">
        <v>100</v>
      </c>
      <c r="E26" s="11">
        <f>VLOOKUP(A26,import!A:J,5,0)</f>
        <v>17</v>
      </c>
      <c r="F26" s="11" t="str">
        <f>VLOOKUP(A26,import!A:J,6,0)</f>
        <v/>
      </c>
      <c r="G26" s="11">
        <f>VLOOKUP(A26,import!A:J,7,0)</f>
        <v>0</v>
      </c>
      <c r="H26" s="11">
        <f>VLOOKUP(A26,import!A:J,8,0)</f>
        <v>4</v>
      </c>
      <c r="I26" s="11">
        <f>VLOOKUP(A26,import!A:J,9,0)</f>
        <v>4</v>
      </c>
      <c r="J26" s="12">
        <f>VLOOKUP(A26,import!A:J,10,0)</f>
        <v>0</v>
      </c>
      <c r="K26" s="11" t="s">
        <v>208</v>
      </c>
      <c r="L26" s="11">
        <v>5.300329892E9</v>
      </c>
      <c r="M26" s="11" t="s">
        <v>71</v>
      </c>
      <c r="N26" s="11" t="s">
        <v>209</v>
      </c>
      <c r="O26" s="11" t="s">
        <v>210</v>
      </c>
      <c r="P26" s="11" t="str">
        <f>VLOOKUP(A26,import!A:P,16,0)</f>
        <v>Geleneksel</v>
      </c>
      <c r="Q26" s="13"/>
      <c r="R26" s="13" t="b">
        <v>0</v>
      </c>
      <c r="S26" s="13" t="b">
        <v>0</v>
      </c>
      <c r="T26" s="14" t="s">
        <v>50</v>
      </c>
      <c r="U26" s="14"/>
      <c r="V26" s="14"/>
      <c r="W26" s="14"/>
      <c r="X26" s="24"/>
      <c r="Y26" s="24"/>
      <c r="Z26" s="18"/>
      <c r="AA26" s="19"/>
      <c r="AB26" s="20"/>
      <c r="AC26" s="19"/>
      <c r="AD26" s="20"/>
      <c r="AE26" s="19"/>
      <c r="AF26" s="20"/>
      <c r="AG26" s="21"/>
      <c r="AH26" s="18"/>
      <c r="AI26" s="18"/>
      <c r="AJ26" s="18"/>
      <c r="AK26" s="19"/>
      <c r="AL26" s="19"/>
      <c r="AM26" s="19"/>
      <c r="AN26" s="18"/>
      <c r="AO26" s="18"/>
      <c r="AP26" s="22"/>
      <c r="AQ26" s="18"/>
    </row>
    <row r="27">
      <c r="A27" s="11" t="s">
        <v>211</v>
      </c>
      <c r="B27" s="11" t="s">
        <v>212</v>
      </c>
      <c r="C27" s="11" t="str">
        <f>VLOOKUP(A27,import!A:C,3,0)</f>
        <v>DOĞRU</v>
      </c>
      <c r="D27" s="11" t="s">
        <v>100</v>
      </c>
      <c r="E27" s="11">
        <f>VLOOKUP(A27,import!A:J,5,0)</f>
        <v>36</v>
      </c>
      <c r="F27" s="11" t="str">
        <f>VLOOKUP(A27,import!A:J,6,0)</f>
        <v/>
      </c>
      <c r="G27" s="11">
        <f>VLOOKUP(A27,import!A:J,7,0)</f>
        <v>7</v>
      </c>
      <c r="H27" s="11">
        <f>VLOOKUP(A27,import!A:J,8,0)</f>
        <v>1</v>
      </c>
      <c r="I27" s="11">
        <f>VLOOKUP(A27,import!A:J,9,0)</f>
        <v>8</v>
      </c>
      <c r="J27" s="12">
        <f>VLOOKUP(A27,import!A:J,10,0)</f>
        <v>0.88</v>
      </c>
      <c r="K27" s="11" t="s">
        <v>213</v>
      </c>
      <c r="L27" s="11">
        <v>5.436649359E9</v>
      </c>
      <c r="M27" s="11" t="s">
        <v>71</v>
      </c>
      <c r="N27" s="11" t="s">
        <v>214</v>
      </c>
      <c r="O27" s="11" t="s">
        <v>215</v>
      </c>
      <c r="P27" s="11" t="str">
        <f>VLOOKUP(A27,import!A:P,16,0)</f>
        <v>Geleneksel</v>
      </c>
      <c r="Q27" s="13"/>
      <c r="R27" s="13" t="b">
        <v>1</v>
      </c>
      <c r="S27" s="13" t="b">
        <v>0</v>
      </c>
      <c r="T27" s="14" t="s">
        <v>74</v>
      </c>
      <c r="U27" s="14" t="s">
        <v>110</v>
      </c>
      <c r="V27" s="30" t="s">
        <v>76</v>
      </c>
      <c r="W27" s="14" t="s">
        <v>216</v>
      </c>
      <c r="X27" s="24">
        <v>44621.0</v>
      </c>
      <c r="Y27" s="24">
        <v>44648.0</v>
      </c>
      <c r="Z27" s="18"/>
      <c r="AA27" s="19" t="s">
        <v>54</v>
      </c>
      <c r="AB27" s="20">
        <v>44621.0</v>
      </c>
      <c r="AC27" s="19"/>
      <c r="AD27" s="20"/>
      <c r="AE27" s="21"/>
      <c r="AF27" s="18"/>
      <c r="AG27" s="21"/>
      <c r="AH27" s="18"/>
      <c r="AI27" s="18"/>
      <c r="AJ27" s="18"/>
      <c r="AK27" s="19" t="s">
        <v>110</v>
      </c>
      <c r="AL27" s="19"/>
      <c r="AM27" s="18"/>
      <c r="AN27" s="18"/>
      <c r="AO27" s="18"/>
      <c r="AP27" s="22" t="s">
        <v>56</v>
      </c>
      <c r="AQ27" s="18"/>
    </row>
    <row r="28">
      <c r="A28" s="11" t="s">
        <v>217</v>
      </c>
      <c r="B28" s="11" t="s">
        <v>218</v>
      </c>
      <c r="C28" s="11" t="str">
        <f>VLOOKUP(A28,import!A:C,3,0)</f>
        <v>DOĞRU</v>
      </c>
      <c r="D28" s="11" t="s">
        <v>100</v>
      </c>
      <c r="E28" s="11">
        <f>VLOOKUP(A28,import!A:J,5,0)</f>
        <v>810</v>
      </c>
      <c r="F28" s="11">
        <f>VLOOKUP(A28,import!A:J,6,0)</f>
        <v>7</v>
      </c>
      <c r="G28" s="11">
        <f>VLOOKUP(A28,import!A:J,7,0)</f>
        <v>0</v>
      </c>
      <c r="H28" s="11">
        <f>VLOOKUP(A28,import!A:J,8,0)</f>
        <v>10</v>
      </c>
      <c r="I28" s="11">
        <f>VLOOKUP(A28,import!A:J,9,0)</f>
        <v>10</v>
      </c>
      <c r="J28" s="12">
        <f>VLOOKUP(A28,import!A:J,10,0)</f>
        <v>0</v>
      </c>
      <c r="K28" s="11" t="s">
        <v>219</v>
      </c>
      <c r="L28" s="11">
        <v>5.46694557E9</v>
      </c>
      <c r="M28" s="11" t="s">
        <v>47</v>
      </c>
      <c r="N28" s="11" t="s">
        <v>138</v>
      </c>
      <c r="O28" s="11" t="s">
        <v>220</v>
      </c>
      <c r="P28" s="11" t="str">
        <f>VLOOKUP(A28,import!A:P,16,0)</f>
        <v>Geleneksel</v>
      </c>
      <c r="Q28" s="13"/>
      <c r="R28" s="13" t="b">
        <v>1</v>
      </c>
      <c r="S28" s="13" t="b">
        <v>0</v>
      </c>
      <c r="T28" s="14" t="s">
        <v>50</v>
      </c>
      <c r="U28" s="15"/>
      <c r="V28" s="15"/>
      <c r="W28" s="14"/>
      <c r="X28" s="17"/>
      <c r="Y28" s="17"/>
      <c r="Z28" s="18"/>
      <c r="AA28" s="18"/>
      <c r="AB28" s="18"/>
      <c r="AC28" s="18"/>
      <c r="AD28" s="18"/>
      <c r="AE28" s="21"/>
      <c r="AF28" s="18"/>
      <c r="AG28" s="21"/>
      <c r="AH28" s="18"/>
      <c r="AI28" s="18"/>
      <c r="AJ28" s="18"/>
      <c r="AK28" s="18"/>
      <c r="AL28" s="18"/>
      <c r="AM28" s="18"/>
      <c r="AN28" s="18"/>
      <c r="AO28" s="18"/>
      <c r="AP28" s="22" t="s">
        <v>56</v>
      </c>
      <c r="AQ28" s="18"/>
    </row>
    <row r="29">
      <c r="A29" s="11" t="s">
        <v>221</v>
      </c>
      <c r="B29" s="11" t="s">
        <v>222</v>
      </c>
      <c r="C29" s="11" t="str">
        <f>VLOOKUP(A29,import!A:C,3,0)</f>
        <v>DOĞRU</v>
      </c>
      <c r="D29" s="11" t="s">
        <v>100</v>
      </c>
      <c r="E29" s="11">
        <f>VLOOKUP(A29,import!A:J,5,0)</f>
        <v>701</v>
      </c>
      <c r="F29" s="11">
        <f>VLOOKUP(A29,import!A:J,6,0)</f>
        <v>17</v>
      </c>
      <c r="G29" s="11">
        <f>VLOOKUP(A29,import!A:J,7,0)</f>
        <v>0</v>
      </c>
      <c r="H29" s="11">
        <f>VLOOKUP(A29,import!A:J,8,0)</f>
        <v>31</v>
      </c>
      <c r="I29" s="11">
        <f>VLOOKUP(A29,import!A:J,9,0)</f>
        <v>31</v>
      </c>
      <c r="J29" s="12">
        <f>VLOOKUP(A29,import!A:J,10,0)</f>
        <v>0</v>
      </c>
      <c r="K29" s="11" t="s">
        <v>223</v>
      </c>
      <c r="L29" s="11">
        <v>5.534434688E9</v>
      </c>
      <c r="M29" s="11" t="s">
        <v>71</v>
      </c>
      <c r="N29" s="11" t="s">
        <v>224</v>
      </c>
      <c r="O29" s="11" t="s">
        <v>225</v>
      </c>
      <c r="P29" s="11" t="str">
        <f>VLOOKUP(A29,import!A:P,16,0)</f>
        <v>Geleneksel</v>
      </c>
      <c r="Q29" s="13"/>
      <c r="R29" s="13" t="b">
        <v>1</v>
      </c>
      <c r="S29" s="13" t="b">
        <v>0</v>
      </c>
      <c r="T29" s="14" t="s">
        <v>53</v>
      </c>
      <c r="U29" s="14" t="s">
        <v>66</v>
      </c>
      <c r="V29" s="30" t="s">
        <v>76</v>
      </c>
      <c r="W29" s="14" t="s">
        <v>226</v>
      </c>
      <c r="X29" s="24">
        <v>44614.0</v>
      </c>
      <c r="Y29" s="24">
        <v>44617.0</v>
      </c>
      <c r="Z29" s="18"/>
      <c r="AA29" s="19" t="s">
        <v>54</v>
      </c>
      <c r="AB29" s="24">
        <v>44614.0</v>
      </c>
      <c r="AC29" s="19"/>
      <c r="AD29" s="20"/>
      <c r="AE29" s="21"/>
      <c r="AF29" s="18"/>
      <c r="AG29" s="21"/>
      <c r="AH29" s="18"/>
      <c r="AI29" s="18"/>
      <c r="AJ29" s="18"/>
      <c r="AK29" s="19" t="s">
        <v>66</v>
      </c>
      <c r="AL29" s="19"/>
      <c r="AM29" s="18"/>
      <c r="AN29" s="18"/>
      <c r="AO29" s="18"/>
      <c r="AP29" s="22" t="s">
        <v>56</v>
      </c>
      <c r="AQ29" s="18"/>
    </row>
    <row r="30">
      <c r="A30" s="11" t="s">
        <v>227</v>
      </c>
      <c r="B30" s="11" t="s">
        <v>228</v>
      </c>
      <c r="C30" s="11" t="str">
        <f>VLOOKUP(A30,import!A:C,3,0)</f>
        <v>DOĞRU</v>
      </c>
      <c r="D30" s="11" t="s">
        <v>100</v>
      </c>
      <c r="E30" s="11">
        <f>VLOOKUP(A30,import!A:J,5,0)</f>
        <v>283</v>
      </c>
      <c r="F30" s="11">
        <f>VLOOKUP(A30,import!A:J,6,0)</f>
        <v>4</v>
      </c>
      <c r="G30" s="11">
        <f>VLOOKUP(A30,import!A:J,7,0)</f>
        <v>0</v>
      </c>
      <c r="H30" s="11">
        <f>VLOOKUP(A30,import!A:J,8,0)</f>
        <v>9</v>
      </c>
      <c r="I30" s="11">
        <f>VLOOKUP(A30,import!A:J,9,0)</f>
        <v>9</v>
      </c>
      <c r="J30" s="12">
        <f>VLOOKUP(A30,import!A:J,10,0)</f>
        <v>0</v>
      </c>
      <c r="K30" s="11" t="s">
        <v>229</v>
      </c>
      <c r="L30" s="11">
        <v>3.523380233E9</v>
      </c>
      <c r="M30" s="11" t="s">
        <v>71</v>
      </c>
      <c r="N30" s="11" t="s">
        <v>230</v>
      </c>
      <c r="O30" s="11" t="s">
        <v>231</v>
      </c>
      <c r="P30" s="11" t="str">
        <f>VLOOKUP(A30,import!A:P,16,0)</f>
        <v>Geleneksel</v>
      </c>
      <c r="Q30" s="13"/>
      <c r="R30" s="13" t="b">
        <v>0</v>
      </c>
      <c r="S30" s="13" t="b">
        <v>0</v>
      </c>
      <c r="T30" s="14" t="s">
        <v>50</v>
      </c>
      <c r="U30" s="15"/>
      <c r="V30" s="15"/>
      <c r="W30" s="14"/>
      <c r="X30" s="17"/>
      <c r="Y30" s="17"/>
      <c r="Z30" s="18"/>
      <c r="AA30" s="18"/>
      <c r="AB30" s="18"/>
      <c r="AC30" s="18"/>
      <c r="AD30" s="18"/>
      <c r="AE30" s="21"/>
      <c r="AF30" s="18"/>
      <c r="AG30" s="21"/>
      <c r="AH30" s="18"/>
      <c r="AI30" s="18"/>
      <c r="AJ30" s="18"/>
      <c r="AK30" s="18"/>
      <c r="AL30" s="18"/>
      <c r="AM30" s="18"/>
      <c r="AN30" s="18"/>
      <c r="AO30" s="18"/>
      <c r="AP30" s="22" t="s">
        <v>56</v>
      </c>
      <c r="AQ30" s="18"/>
    </row>
    <row r="31" ht="15.0" customHeight="1">
      <c r="A31" s="11" t="s">
        <v>232</v>
      </c>
      <c r="B31" s="11" t="s">
        <v>233</v>
      </c>
      <c r="C31" s="11" t="str">
        <f>VLOOKUP(A31,import!A:C,3,0)</f>
        <v>YANLIŞ</v>
      </c>
      <c r="D31" s="11" t="s">
        <v>100</v>
      </c>
      <c r="E31" s="11">
        <f>VLOOKUP(A31,import!A:J,5,0)</f>
        <v>1</v>
      </c>
      <c r="F31" s="11" t="str">
        <f>VLOOKUP(A31,import!A:J,6,0)</f>
        <v/>
      </c>
      <c r="G31" s="11">
        <f>VLOOKUP(A31,import!A:J,7,0)</f>
        <v>0</v>
      </c>
      <c r="H31" s="11">
        <f>VLOOKUP(A31,import!A:J,8,0)</f>
        <v>7</v>
      </c>
      <c r="I31" s="11">
        <f>VLOOKUP(A31,import!A:J,9,0)</f>
        <v>7</v>
      </c>
      <c r="J31" s="12">
        <f>VLOOKUP(A31,import!A:J,10,0)</f>
        <v>0</v>
      </c>
      <c r="K31" s="11" t="s">
        <v>234</v>
      </c>
      <c r="L31" s="11">
        <v>5.427253357E9</v>
      </c>
      <c r="M31" s="11" t="s">
        <v>47</v>
      </c>
      <c r="N31" s="11" t="s">
        <v>48</v>
      </c>
      <c r="O31" s="11" t="s">
        <v>235</v>
      </c>
      <c r="P31" s="11" t="str">
        <f>VLOOKUP(A31,import!A:P,16,0)</f>
        <v>Geleneksel</v>
      </c>
      <c r="Q31" s="13"/>
      <c r="R31" s="13" t="b">
        <v>1</v>
      </c>
      <c r="S31" s="13" t="b">
        <v>0</v>
      </c>
      <c r="T31" s="14" t="s">
        <v>50</v>
      </c>
      <c r="U31" s="14"/>
      <c r="V31" s="31"/>
      <c r="W31" s="14"/>
      <c r="X31" s="24"/>
      <c r="Y31" s="24"/>
      <c r="Z31" s="18"/>
      <c r="AA31" s="19"/>
      <c r="AB31" s="20"/>
      <c r="AC31" s="19"/>
      <c r="AD31" s="20"/>
      <c r="AE31" s="21"/>
      <c r="AF31" s="18"/>
      <c r="AG31" s="21"/>
      <c r="AH31" s="18"/>
      <c r="AI31" s="18"/>
      <c r="AJ31" s="18"/>
      <c r="AK31" s="19"/>
      <c r="AL31" s="19"/>
      <c r="AM31" s="18"/>
      <c r="AN31" s="18"/>
      <c r="AO31" s="18"/>
      <c r="AP31" s="22"/>
      <c r="AQ31" s="18"/>
    </row>
    <row r="32">
      <c r="A32" s="32" t="s">
        <v>236</v>
      </c>
      <c r="B32" s="32" t="s">
        <v>233</v>
      </c>
      <c r="C32" s="11" t="str">
        <f>VLOOKUP(A32,import!A:C,3,0)</f>
        <v>DOĞRU</v>
      </c>
      <c r="D32" s="32" t="s">
        <v>100</v>
      </c>
      <c r="E32" s="11">
        <f>VLOOKUP(A32,import!A:J,5,0)</f>
        <v>215</v>
      </c>
      <c r="F32" s="11">
        <f>VLOOKUP(A32,import!A:J,6,0)</f>
        <v>27</v>
      </c>
      <c r="G32" s="11">
        <f>VLOOKUP(A32,import!A:J,7,0)</f>
        <v>0</v>
      </c>
      <c r="H32" s="11">
        <f>VLOOKUP(A32,import!A:J,8,0)</f>
        <v>7</v>
      </c>
      <c r="I32" s="11">
        <f>VLOOKUP(A32,import!A:J,9,0)</f>
        <v>7</v>
      </c>
      <c r="J32" s="12">
        <f>VLOOKUP(A32,import!A:J,10,0)</f>
        <v>0</v>
      </c>
      <c r="K32" s="32" t="s">
        <v>237</v>
      </c>
      <c r="L32" s="32">
        <v>5.392978018E9</v>
      </c>
      <c r="M32" s="32" t="s">
        <v>47</v>
      </c>
      <c r="N32" s="32" t="s">
        <v>48</v>
      </c>
      <c r="O32" s="32" t="s">
        <v>235</v>
      </c>
      <c r="P32" s="11" t="str">
        <f>VLOOKUP(A32,import!A:P,16,0)</f>
        <v>Geleneksel</v>
      </c>
      <c r="Q32" s="13"/>
      <c r="R32" s="13" t="b">
        <v>1</v>
      </c>
      <c r="S32" s="13" t="b">
        <v>0</v>
      </c>
      <c r="T32" s="14" t="s">
        <v>50</v>
      </c>
      <c r="U32" s="14"/>
      <c r="V32" s="14"/>
      <c r="W32" s="14"/>
      <c r="X32" s="24"/>
      <c r="Y32" s="24"/>
      <c r="Z32" s="18"/>
      <c r="AA32" s="19"/>
      <c r="AB32" s="20"/>
      <c r="AC32" s="19"/>
      <c r="AD32" s="20"/>
      <c r="AE32" s="19"/>
      <c r="AF32" s="20"/>
      <c r="AG32" s="21"/>
      <c r="AH32" s="18"/>
      <c r="AI32" s="18"/>
      <c r="AJ32" s="18"/>
      <c r="AK32" s="19"/>
      <c r="AL32" s="19"/>
      <c r="AM32" s="19"/>
      <c r="AN32" s="18"/>
      <c r="AO32" s="18"/>
      <c r="AP32" s="22"/>
      <c r="AQ32" s="18"/>
    </row>
    <row r="33">
      <c r="A33" s="11" t="s">
        <v>238</v>
      </c>
      <c r="B33" s="11" t="s">
        <v>239</v>
      </c>
      <c r="C33" s="11" t="str">
        <f>VLOOKUP(A33,import!A:C,3,0)</f>
        <v>DOĞRU</v>
      </c>
      <c r="D33" s="11" t="s">
        <v>100</v>
      </c>
      <c r="E33" s="11">
        <f>VLOOKUP(A33,import!A:J,5,0)</f>
        <v>89</v>
      </c>
      <c r="F33" s="11">
        <f>VLOOKUP(A33,import!A:J,6,0)</f>
        <v>1</v>
      </c>
      <c r="G33" s="11">
        <f>VLOOKUP(A33,import!A:J,7,0)</f>
        <v>0</v>
      </c>
      <c r="H33" s="11">
        <f>VLOOKUP(A33,import!A:J,8,0)</f>
        <v>7</v>
      </c>
      <c r="I33" s="11">
        <f>VLOOKUP(A33,import!A:J,9,0)</f>
        <v>7</v>
      </c>
      <c r="J33" s="12">
        <f>VLOOKUP(A33,import!A:J,10,0)</f>
        <v>0</v>
      </c>
      <c r="K33" s="11" t="s">
        <v>240</v>
      </c>
      <c r="L33" s="11">
        <v>5.382683726E9</v>
      </c>
      <c r="M33" s="11" t="s">
        <v>47</v>
      </c>
      <c r="N33" s="11" t="s">
        <v>107</v>
      </c>
      <c r="O33" s="11" t="s">
        <v>241</v>
      </c>
      <c r="P33" s="11" t="str">
        <f>VLOOKUP(A33,import!A:P,16,0)</f>
        <v>Geleneksel</v>
      </c>
      <c r="Q33" s="13"/>
      <c r="R33" s="13" t="b">
        <v>1</v>
      </c>
      <c r="S33" s="13" t="b">
        <v>1</v>
      </c>
      <c r="T33" s="14"/>
      <c r="U33" s="14"/>
      <c r="V33" s="14"/>
      <c r="W33" s="14" t="s">
        <v>242</v>
      </c>
      <c r="X33" s="24"/>
      <c r="Y33" s="24"/>
      <c r="Z33" s="18"/>
      <c r="AA33" s="19" t="s">
        <v>54</v>
      </c>
      <c r="AB33" s="20">
        <v>44588.0</v>
      </c>
      <c r="AC33" s="19"/>
      <c r="AD33" s="20"/>
      <c r="AE33" s="21"/>
      <c r="AF33" s="18"/>
      <c r="AG33" s="21"/>
      <c r="AH33" s="18"/>
      <c r="AI33" s="18"/>
      <c r="AJ33" s="18"/>
      <c r="AK33" s="19" t="s">
        <v>110</v>
      </c>
      <c r="AL33" s="19"/>
      <c r="AM33" s="18"/>
      <c r="AN33" s="18"/>
      <c r="AO33" s="18"/>
      <c r="AP33" s="22" t="s">
        <v>56</v>
      </c>
      <c r="AQ33" s="18"/>
    </row>
    <row r="34">
      <c r="A34" s="22" t="s">
        <v>243</v>
      </c>
      <c r="B34" s="22" t="s">
        <v>244</v>
      </c>
      <c r="C34" s="11" t="str">
        <f>VLOOKUP(A34,import!A:C,3,0)</f>
        <v>DOĞRU</v>
      </c>
      <c r="D34" s="22" t="s">
        <v>100</v>
      </c>
      <c r="E34" s="11">
        <f>VLOOKUP(A34,import!A:J,5,0)</f>
        <v>405</v>
      </c>
      <c r="F34" s="11">
        <f>VLOOKUP(A34,import!A:J,6,0)</f>
        <v>390</v>
      </c>
      <c r="G34" s="11">
        <f>VLOOKUP(A34,import!A:J,7,0)</f>
        <v>0</v>
      </c>
      <c r="H34" s="11">
        <f>VLOOKUP(A34,import!A:J,8,0)</f>
        <v>16</v>
      </c>
      <c r="I34" s="11">
        <f>VLOOKUP(A34,import!A:J,9,0)</f>
        <v>16</v>
      </c>
      <c r="J34" s="12">
        <f>VLOOKUP(A34,import!A:J,10,0)</f>
        <v>0</v>
      </c>
      <c r="K34" s="22" t="s">
        <v>245</v>
      </c>
      <c r="L34" s="22">
        <v>5.417382611E9</v>
      </c>
      <c r="M34" s="22" t="s">
        <v>61</v>
      </c>
      <c r="N34" s="22" t="s">
        <v>62</v>
      </c>
      <c r="O34" s="22" t="s">
        <v>246</v>
      </c>
      <c r="P34" s="11" t="str">
        <f>VLOOKUP(A34,import!A:P,16,0)</f>
        <v>Geleneksel</v>
      </c>
      <c r="Q34" s="13"/>
      <c r="R34" s="13" t="b">
        <v>0</v>
      </c>
      <c r="S34" s="13" t="b">
        <v>0</v>
      </c>
      <c r="T34" s="14" t="s">
        <v>50</v>
      </c>
      <c r="U34" s="14"/>
      <c r="V34" s="35"/>
      <c r="W34" s="14"/>
      <c r="X34" s="24"/>
      <c r="Y34" s="24"/>
      <c r="Z34" s="18"/>
      <c r="AA34" s="19"/>
      <c r="AB34" s="20"/>
      <c r="AC34" s="19"/>
      <c r="AD34" s="20"/>
      <c r="AE34" s="19"/>
      <c r="AF34" s="20"/>
      <c r="AG34" s="21"/>
      <c r="AH34" s="18"/>
      <c r="AI34" s="18"/>
      <c r="AJ34" s="18"/>
      <c r="AK34" s="19"/>
      <c r="AL34" s="19"/>
      <c r="AM34" s="19"/>
      <c r="AN34" s="18"/>
      <c r="AO34" s="18"/>
      <c r="AP34" s="22"/>
      <c r="AQ34" s="18"/>
    </row>
    <row r="35">
      <c r="A35" s="11" t="s">
        <v>247</v>
      </c>
      <c r="B35" s="11" t="s">
        <v>248</v>
      </c>
      <c r="C35" s="11" t="str">
        <f>VLOOKUP(A35,import!A:C,3,0)</f>
        <v>DOĞRU</v>
      </c>
      <c r="D35" s="11" t="s">
        <v>100</v>
      </c>
      <c r="E35" s="11">
        <f>VLOOKUP(A35,import!A:J,5,0)</f>
        <v>953</v>
      </c>
      <c r="F35" s="11">
        <f>VLOOKUP(A35,import!A:J,6,0)</f>
        <v>47</v>
      </c>
      <c r="G35" s="11">
        <f>VLOOKUP(A35,import!A:J,7,0)</f>
        <v>0</v>
      </c>
      <c r="H35" s="11">
        <f>VLOOKUP(A35,import!A:J,8,0)</f>
        <v>18</v>
      </c>
      <c r="I35" s="11">
        <f>VLOOKUP(A35,import!A:J,9,0)</f>
        <v>18</v>
      </c>
      <c r="J35" s="12">
        <f>VLOOKUP(A35,import!A:J,10,0)</f>
        <v>0</v>
      </c>
      <c r="K35" s="11" t="s">
        <v>249</v>
      </c>
      <c r="L35" s="11">
        <v>3.525013388E9</v>
      </c>
      <c r="M35" s="11" t="s">
        <v>61</v>
      </c>
      <c r="N35" s="11" t="s">
        <v>250</v>
      </c>
      <c r="O35" s="11" t="s">
        <v>251</v>
      </c>
      <c r="P35" s="11" t="str">
        <f>VLOOKUP(A35,import!A:P,16,0)</f>
        <v>Geleneksel</v>
      </c>
      <c r="Q35" s="13"/>
      <c r="R35" s="13" t="b">
        <v>1</v>
      </c>
      <c r="S35" s="13" t="b">
        <v>0</v>
      </c>
      <c r="T35" s="14" t="s">
        <v>50</v>
      </c>
      <c r="U35" s="14"/>
      <c r="V35" s="14"/>
      <c r="W35" s="14"/>
      <c r="X35" s="24"/>
      <c r="Y35" s="24"/>
      <c r="Z35" s="18"/>
      <c r="AA35" s="19"/>
      <c r="AB35" s="20"/>
      <c r="AC35" s="19"/>
      <c r="AD35" s="20"/>
      <c r="AE35" s="21"/>
      <c r="AF35" s="18"/>
      <c r="AG35" s="21"/>
      <c r="AH35" s="18"/>
      <c r="AI35" s="18"/>
      <c r="AJ35" s="18"/>
      <c r="AK35" s="19"/>
      <c r="AL35" s="19"/>
      <c r="AM35" s="18"/>
      <c r="AN35" s="18"/>
      <c r="AO35" s="18"/>
      <c r="AP35" s="22" t="s">
        <v>56</v>
      </c>
      <c r="AQ35" s="18"/>
    </row>
    <row r="36">
      <c r="A36" s="11" t="s">
        <v>252</v>
      </c>
      <c r="B36" s="11" t="s">
        <v>253</v>
      </c>
      <c r="C36" s="11" t="str">
        <f>VLOOKUP(A36,import!A:C,3,0)</f>
        <v>YANLIŞ</v>
      </c>
      <c r="D36" s="11" t="s">
        <v>100</v>
      </c>
      <c r="E36" s="11" t="str">
        <f>VLOOKUP(A36,import!A:J,5,0)</f>
        <v/>
      </c>
      <c r="F36" s="11" t="str">
        <f>VLOOKUP(A36,import!A:J,6,0)</f>
        <v/>
      </c>
      <c r="G36" s="11">
        <f>VLOOKUP(A36,import!A:J,7,0)</f>
        <v>9</v>
      </c>
      <c r="H36" s="11">
        <f>VLOOKUP(A36,import!A:J,8,0)</f>
        <v>11</v>
      </c>
      <c r="I36" s="11">
        <f>VLOOKUP(A36,import!A:J,9,0)</f>
        <v>20</v>
      </c>
      <c r="J36" s="12">
        <f>VLOOKUP(A36,import!A:J,10,0)</f>
        <v>0.45</v>
      </c>
      <c r="K36" s="11" t="s">
        <v>254</v>
      </c>
      <c r="L36" s="11">
        <v>5.541120402E9</v>
      </c>
      <c r="M36" s="11" t="s">
        <v>47</v>
      </c>
      <c r="N36" s="11" t="s">
        <v>131</v>
      </c>
      <c r="O36" s="11" t="s">
        <v>255</v>
      </c>
      <c r="P36" s="11" t="str">
        <f>VLOOKUP(A36,import!A:P,16,0)</f>
        <v>Geleneksel</v>
      </c>
      <c r="Q36" s="13"/>
      <c r="R36" s="13" t="b">
        <v>1</v>
      </c>
      <c r="S36" s="13" t="b">
        <v>0</v>
      </c>
      <c r="T36" s="14" t="s">
        <v>50</v>
      </c>
      <c r="U36" s="14"/>
      <c r="V36" s="14"/>
      <c r="W36" s="14"/>
      <c r="X36" s="24"/>
      <c r="Y36" s="24"/>
      <c r="Z36" s="18"/>
      <c r="AA36" s="19"/>
      <c r="AB36" s="20"/>
      <c r="AC36" s="19"/>
      <c r="AD36" s="20"/>
      <c r="AE36" s="21"/>
      <c r="AF36" s="18"/>
      <c r="AG36" s="21"/>
      <c r="AH36" s="18"/>
      <c r="AI36" s="18"/>
      <c r="AJ36" s="18"/>
      <c r="AK36" s="19"/>
      <c r="AL36" s="19"/>
      <c r="AM36" s="18"/>
      <c r="AN36" s="18"/>
      <c r="AO36" s="18"/>
      <c r="AP36" s="22"/>
      <c r="AQ36" s="18"/>
    </row>
    <row r="37">
      <c r="A37" s="11" t="s">
        <v>256</v>
      </c>
      <c r="B37" s="11" t="s">
        <v>257</v>
      </c>
      <c r="C37" s="11" t="str">
        <f>VLOOKUP(A37,import!A:C,3,0)</f>
        <v>DOĞRU</v>
      </c>
      <c r="D37" s="11" t="s">
        <v>100</v>
      </c>
      <c r="E37" s="11">
        <f>VLOOKUP(A37,import!A:J,5,0)</f>
        <v>399</v>
      </c>
      <c r="F37" s="11">
        <f>VLOOKUP(A37,import!A:J,6,0)</f>
        <v>14</v>
      </c>
      <c r="G37" s="11">
        <f>VLOOKUP(A37,import!A:J,7,0)</f>
        <v>0</v>
      </c>
      <c r="H37" s="11">
        <f>VLOOKUP(A37,import!A:J,8,0)</f>
        <v>24</v>
      </c>
      <c r="I37" s="11">
        <f>VLOOKUP(A37,import!A:J,9,0)</f>
        <v>24</v>
      </c>
      <c r="J37" s="12">
        <f>VLOOKUP(A37,import!A:J,10,0)</f>
        <v>0</v>
      </c>
      <c r="K37" s="11" t="s">
        <v>258</v>
      </c>
      <c r="L37" s="11">
        <v>5.520655893E9</v>
      </c>
      <c r="M37" s="11" t="s">
        <v>47</v>
      </c>
      <c r="N37" s="11" t="s">
        <v>259</v>
      </c>
      <c r="O37" s="11" t="s">
        <v>260</v>
      </c>
      <c r="P37" s="11" t="str">
        <f>VLOOKUP(A37,import!A:P,16,0)</f>
        <v>Geleneksel</v>
      </c>
      <c r="Q37" s="13"/>
      <c r="R37" s="13" t="b">
        <v>1</v>
      </c>
      <c r="S37" s="13" t="b">
        <v>0</v>
      </c>
      <c r="T37" s="14" t="s">
        <v>74</v>
      </c>
      <c r="U37" s="14" t="s">
        <v>140</v>
      </c>
      <c r="V37" s="23" t="s">
        <v>76</v>
      </c>
      <c r="W37" s="14" t="s">
        <v>261</v>
      </c>
      <c r="X37" s="24">
        <v>44586.0</v>
      </c>
      <c r="Y37" s="24">
        <v>44587.0</v>
      </c>
      <c r="Z37" s="18"/>
      <c r="AA37" s="19" t="s">
        <v>54</v>
      </c>
      <c r="AB37" s="20">
        <v>44586.0</v>
      </c>
      <c r="AC37" s="19"/>
      <c r="AD37" s="20"/>
      <c r="AE37" s="21"/>
      <c r="AF37" s="18"/>
      <c r="AG37" s="21"/>
      <c r="AH37" s="18"/>
      <c r="AI37" s="18"/>
      <c r="AJ37" s="18"/>
      <c r="AK37" s="19" t="s">
        <v>140</v>
      </c>
      <c r="AL37" s="19"/>
      <c r="AM37" s="18"/>
      <c r="AN37" s="18"/>
      <c r="AO37" s="18"/>
      <c r="AP37" s="22" t="s">
        <v>56</v>
      </c>
      <c r="AQ37" s="18"/>
    </row>
    <row r="38">
      <c r="A38" s="11" t="s">
        <v>262</v>
      </c>
      <c r="B38" s="11" t="s">
        <v>263</v>
      </c>
      <c r="C38" s="11" t="str">
        <f>VLOOKUP(A38,import!A:C,3,0)</f>
        <v>DOĞRU</v>
      </c>
      <c r="D38" s="11" t="s">
        <v>100</v>
      </c>
      <c r="E38" s="11">
        <f>VLOOKUP(A38,import!A:J,5,0)</f>
        <v>2248</v>
      </c>
      <c r="F38" s="11">
        <f>VLOOKUP(A38,import!A:J,6,0)</f>
        <v>51</v>
      </c>
      <c r="G38" s="11">
        <f>VLOOKUP(A38,import!A:J,7,0)</f>
        <v>0</v>
      </c>
      <c r="H38" s="11">
        <f>VLOOKUP(A38,import!A:J,8,0)</f>
        <v>22</v>
      </c>
      <c r="I38" s="11">
        <f>VLOOKUP(A38,import!A:J,9,0)</f>
        <v>22</v>
      </c>
      <c r="J38" s="12">
        <f>VLOOKUP(A38,import!A:J,10,0)</f>
        <v>0</v>
      </c>
      <c r="K38" s="11" t="s">
        <v>264</v>
      </c>
      <c r="L38" s="11">
        <v>5.345200917E9</v>
      </c>
      <c r="M38" s="11" t="s">
        <v>71</v>
      </c>
      <c r="N38" s="11" t="s">
        <v>265</v>
      </c>
      <c r="O38" s="11" t="s">
        <v>266</v>
      </c>
      <c r="P38" s="11" t="str">
        <f>VLOOKUP(A38,import!A:P,16,0)</f>
        <v>Geleneksel</v>
      </c>
      <c r="Q38" s="13"/>
      <c r="R38" s="13" t="b">
        <v>1</v>
      </c>
      <c r="S38" s="13" t="b">
        <v>0</v>
      </c>
      <c r="T38" s="14" t="s">
        <v>53</v>
      </c>
      <c r="U38" s="15"/>
      <c r="V38" s="15"/>
      <c r="W38" s="14" t="s">
        <v>267</v>
      </c>
      <c r="X38" s="17"/>
      <c r="Y38" s="17"/>
      <c r="Z38" s="18"/>
      <c r="AA38" s="19" t="s">
        <v>53</v>
      </c>
      <c r="AB38" s="20">
        <v>44378.0</v>
      </c>
      <c r="AC38" s="18"/>
      <c r="AD38" s="18"/>
      <c r="AE38" s="21"/>
      <c r="AF38" s="18"/>
      <c r="AG38" s="21"/>
      <c r="AH38" s="18"/>
      <c r="AI38" s="18"/>
      <c r="AJ38" s="18"/>
      <c r="AK38" s="19" t="s">
        <v>79</v>
      </c>
      <c r="AL38" s="18"/>
      <c r="AM38" s="18"/>
      <c r="AN38" s="18"/>
      <c r="AO38" s="18"/>
      <c r="AP38" s="22" t="s">
        <v>56</v>
      </c>
      <c r="AQ38" s="18"/>
    </row>
    <row r="39">
      <c r="A39" s="11" t="s">
        <v>268</v>
      </c>
      <c r="B39" s="11" t="s">
        <v>269</v>
      </c>
      <c r="C39" s="11" t="str">
        <f>VLOOKUP(A39,import!A:C,3,0)</f>
        <v>DOĞRU</v>
      </c>
      <c r="D39" s="11" t="s">
        <v>100</v>
      </c>
      <c r="E39" s="11">
        <f>VLOOKUP(A39,import!A:J,5,0)</f>
        <v>86</v>
      </c>
      <c r="F39" s="11">
        <f>VLOOKUP(A39,import!A:J,6,0)</f>
        <v>4</v>
      </c>
      <c r="G39" s="11">
        <f>VLOOKUP(A39,import!A:J,7,0)</f>
        <v>0</v>
      </c>
      <c r="H39" s="11">
        <f>VLOOKUP(A39,import!A:J,8,0)</f>
        <v>25</v>
      </c>
      <c r="I39" s="11">
        <f>VLOOKUP(A39,import!A:J,9,0)</f>
        <v>25</v>
      </c>
      <c r="J39" s="12">
        <f>VLOOKUP(A39,import!A:J,10,0)</f>
        <v>0</v>
      </c>
      <c r="K39" s="11" t="s">
        <v>270</v>
      </c>
      <c r="L39" s="11">
        <v>5.300651695E9</v>
      </c>
      <c r="M39" s="11" t="s">
        <v>47</v>
      </c>
      <c r="N39" s="11" t="s">
        <v>271</v>
      </c>
      <c r="O39" s="11" t="s">
        <v>272</v>
      </c>
      <c r="P39" s="11" t="str">
        <f>VLOOKUP(A39,import!A:P,16,0)</f>
        <v>Geleneksel</v>
      </c>
      <c r="Q39" s="13"/>
      <c r="R39" s="13" t="b">
        <v>1</v>
      </c>
      <c r="S39" s="13" t="b">
        <v>0</v>
      </c>
      <c r="T39" s="25" t="s">
        <v>50</v>
      </c>
      <c r="U39" s="14"/>
      <c r="V39" s="14"/>
      <c r="W39" s="14" t="s">
        <v>273</v>
      </c>
      <c r="X39" s="24"/>
      <c r="Y39" s="24"/>
      <c r="Z39" s="18"/>
      <c r="AA39" s="19" t="s">
        <v>54</v>
      </c>
      <c r="AB39" s="20">
        <v>44327.0</v>
      </c>
      <c r="AC39" s="18"/>
      <c r="AD39" s="18"/>
      <c r="AE39" s="21"/>
      <c r="AF39" s="18"/>
      <c r="AG39" s="21"/>
      <c r="AH39" s="18"/>
      <c r="AI39" s="18"/>
      <c r="AJ39" s="18"/>
      <c r="AK39" s="19" t="s">
        <v>55</v>
      </c>
      <c r="AL39" s="18"/>
      <c r="AM39" s="18"/>
      <c r="AN39" s="18"/>
      <c r="AO39" s="18"/>
      <c r="AP39" s="22" t="s">
        <v>56</v>
      </c>
      <c r="AQ39" s="18"/>
    </row>
    <row r="40">
      <c r="A40" s="11" t="s">
        <v>274</v>
      </c>
      <c r="B40" s="11" t="s">
        <v>275</v>
      </c>
      <c r="C40" s="11" t="str">
        <f>VLOOKUP(A40,import!A:C,3,0)</f>
        <v>DOĞRU</v>
      </c>
      <c r="D40" s="11" t="s">
        <v>100</v>
      </c>
      <c r="E40" s="11">
        <f>VLOOKUP(A40,import!A:J,5,0)</f>
        <v>115</v>
      </c>
      <c r="F40" s="11" t="str">
        <f>VLOOKUP(A40,import!A:J,6,0)</f>
        <v/>
      </c>
      <c r="G40" s="11">
        <f>VLOOKUP(A40,import!A:J,7,0)</f>
        <v>6</v>
      </c>
      <c r="H40" s="11">
        <f>VLOOKUP(A40,import!A:J,8,0)</f>
        <v>3</v>
      </c>
      <c r="I40" s="11">
        <f>VLOOKUP(A40,import!A:J,9,0)</f>
        <v>9</v>
      </c>
      <c r="J40" s="12">
        <f>VLOOKUP(A40,import!A:J,10,0)</f>
        <v>0.67</v>
      </c>
      <c r="K40" s="11" t="s">
        <v>276</v>
      </c>
      <c r="L40" s="11">
        <v>5.070934768E9</v>
      </c>
      <c r="M40" s="11" t="s">
        <v>47</v>
      </c>
      <c r="N40" s="11" t="s">
        <v>277</v>
      </c>
      <c r="O40" s="11" t="s">
        <v>278</v>
      </c>
      <c r="P40" s="11" t="str">
        <f>VLOOKUP(A40,import!A:P,16,0)</f>
        <v>Geleneksel</v>
      </c>
      <c r="Q40" s="13"/>
      <c r="R40" s="13" t="b">
        <v>1</v>
      </c>
      <c r="S40" s="13" t="b">
        <v>0</v>
      </c>
      <c r="T40" s="14" t="s">
        <v>74</v>
      </c>
      <c r="U40" s="14" t="s">
        <v>95</v>
      </c>
      <c r="V40" s="19" t="s">
        <v>76</v>
      </c>
      <c r="W40" s="36">
        <v>5.07570142E9</v>
      </c>
      <c r="X40" s="24">
        <v>44586.0</v>
      </c>
      <c r="Y40" s="24">
        <v>44587.0</v>
      </c>
      <c r="Z40" s="18"/>
      <c r="AA40" s="19" t="s">
        <v>54</v>
      </c>
      <c r="AB40" s="20">
        <v>44586.0</v>
      </c>
      <c r="AC40" s="19"/>
      <c r="AD40" s="20"/>
      <c r="AE40" s="21"/>
      <c r="AF40" s="18"/>
      <c r="AG40" s="21"/>
      <c r="AH40" s="18"/>
      <c r="AI40" s="18"/>
      <c r="AJ40" s="18"/>
      <c r="AK40" s="19" t="s">
        <v>95</v>
      </c>
      <c r="AL40" s="19"/>
      <c r="AM40" s="18"/>
      <c r="AN40" s="18"/>
      <c r="AO40" s="18"/>
      <c r="AP40" s="22" t="s">
        <v>56</v>
      </c>
      <c r="AQ40" s="18"/>
    </row>
    <row r="41">
      <c r="A41" s="11" t="s">
        <v>279</v>
      </c>
      <c r="B41" s="11" t="s">
        <v>280</v>
      </c>
      <c r="C41" s="11" t="str">
        <f>VLOOKUP(A41,import!A:C,3,0)</f>
        <v>DOĞRU</v>
      </c>
      <c r="D41" s="11" t="s">
        <v>100</v>
      </c>
      <c r="E41" s="11">
        <f>VLOOKUP(A41,import!A:J,5,0)</f>
        <v>1531</v>
      </c>
      <c r="F41" s="11">
        <f>VLOOKUP(A41,import!A:J,6,0)</f>
        <v>9</v>
      </c>
      <c r="G41" s="11">
        <f>VLOOKUP(A41,import!A:J,7,0)</f>
        <v>6</v>
      </c>
      <c r="H41" s="11">
        <f>VLOOKUP(A41,import!A:J,8,0)</f>
        <v>22</v>
      </c>
      <c r="I41" s="11">
        <f>VLOOKUP(A41,import!A:J,9,0)</f>
        <v>28</v>
      </c>
      <c r="J41" s="12">
        <f>VLOOKUP(A41,import!A:J,10,0)</f>
        <v>0.21</v>
      </c>
      <c r="K41" s="11" t="s">
        <v>281</v>
      </c>
      <c r="L41" s="11">
        <v>5.526383824E9</v>
      </c>
      <c r="M41" s="11" t="s">
        <v>61</v>
      </c>
      <c r="N41" s="11" t="s">
        <v>62</v>
      </c>
      <c r="O41" s="11" t="s">
        <v>282</v>
      </c>
      <c r="P41" s="11" t="str">
        <f>VLOOKUP(A41,import!A:P,16,0)</f>
        <v>Geleneksel</v>
      </c>
      <c r="Q41" s="13"/>
      <c r="R41" s="13" t="b">
        <v>1</v>
      </c>
      <c r="S41" s="13" t="b">
        <v>0</v>
      </c>
      <c r="T41" s="14" t="s">
        <v>50</v>
      </c>
      <c r="U41" s="15"/>
      <c r="V41" s="15"/>
      <c r="W41" s="14" t="s">
        <v>283</v>
      </c>
      <c r="X41" s="17"/>
      <c r="Y41" s="17"/>
      <c r="Z41" s="18"/>
      <c r="AA41" s="18"/>
      <c r="AB41" s="18"/>
      <c r="AC41" s="18"/>
      <c r="AD41" s="18"/>
      <c r="AE41" s="21"/>
      <c r="AF41" s="18"/>
      <c r="AG41" s="21"/>
      <c r="AH41" s="18"/>
      <c r="AI41" s="18"/>
      <c r="AJ41" s="18"/>
      <c r="AK41" s="18"/>
      <c r="AL41" s="18"/>
      <c r="AM41" s="18"/>
      <c r="AN41" s="18"/>
      <c r="AO41" s="18"/>
      <c r="AP41" s="22" t="s">
        <v>56</v>
      </c>
      <c r="AQ41" s="18"/>
    </row>
    <row r="42">
      <c r="A42" s="11" t="s">
        <v>284</v>
      </c>
      <c r="B42" s="11" t="s">
        <v>285</v>
      </c>
      <c r="C42" s="11" t="str">
        <f>VLOOKUP(A42,import!A:C,3,0)</f>
        <v>DOĞRU</v>
      </c>
      <c r="D42" s="11" t="s">
        <v>100</v>
      </c>
      <c r="E42" s="11">
        <f>VLOOKUP(A42,import!A:J,5,0)</f>
        <v>1258</v>
      </c>
      <c r="F42" s="11">
        <f>VLOOKUP(A42,import!A:J,6,0)</f>
        <v>5</v>
      </c>
      <c r="G42" s="11">
        <f>VLOOKUP(A42,import!A:J,7,0)</f>
        <v>8</v>
      </c>
      <c r="H42" s="11">
        <f>VLOOKUP(A42,import!A:J,8,0)</f>
        <v>1</v>
      </c>
      <c r="I42" s="11">
        <f>VLOOKUP(A42,import!A:J,9,0)</f>
        <v>9</v>
      </c>
      <c r="J42" s="12">
        <f>VLOOKUP(A42,import!A:J,10,0)</f>
        <v>0.89</v>
      </c>
      <c r="K42" s="11" t="s">
        <v>286</v>
      </c>
      <c r="L42" s="11">
        <v>5.417138734E9</v>
      </c>
      <c r="M42" s="11" t="s">
        <v>61</v>
      </c>
      <c r="N42" s="11" t="s">
        <v>62</v>
      </c>
      <c r="O42" s="11" t="s">
        <v>287</v>
      </c>
      <c r="P42" s="11" t="str">
        <f>VLOOKUP(A42,import!A:P,16,0)</f>
        <v>Geleneksel</v>
      </c>
      <c r="Q42" s="13"/>
      <c r="R42" s="13" t="b">
        <v>1</v>
      </c>
      <c r="S42" s="13" t="b">
        <v>0</v>
      </c>
      <c r="T42" s="14" t="s">
        <v>50</v>
      </c>
      <c r="U42" s="15"/>
      <c r="V42" s="15"/>
      <c r="W42" s="14" t="s">
        <v>283</v>
      </c>
      <c r="X42" s="17"/>
      <c r="Y42" s="17"/>
      <c r="Z42" s="18"/>
      <c r="AA42" s="18"/>
      <c r="AB42" s="18"/>
      <c r="AC42" s="18"/>
      <c r="AD42" s="18"/>
      <c r="AE42" s="21"/>
      <c r="AF42" s="18"/>
      <c r="AG42" s="21"/>
      <c r="AH42" s="18"/>
      <c r="AI42" s="18"/>
      <c r="AJ42" s="18"/>
      <c r="AK42" s="18"/>
      <c r="AL42" s="18"/>
      <c r="AM42" s="18"/>
      <c r="AN42" s="18"/>
      <c r="AO42" s="18"/>
      <c r="AP42" s="22" t="s">
        <v>56</v>
      </c>
      <c r="AQ42" s="18"/>
    </row>
    <row r="43">
      <c r="A43" s="11" t="s">
        <v>288</v>
      </c>
      <c r="B43" s="11" t="s">
        <v>289</v>
      </c>
      <c r="C43" s="11" t="str">
        <f>VLOOKUP(A43,import!A:C,3,0)</f>
        <v>YANLIŞ</v>
      </c>
      <c r="D43" s="11" t="s">
        <v>100</v>
      </c>
      <c r="E43" s="11">
        <f>VLOOKUP(A43,import!A:J,5,0)</f>
        <v>273</v>
      </c>
      <c r="F43" s="11" t="str">
        <f>VLOOKUP(A43,import!A:J,6,0)</f>
        <v/>
      </c>
      <c r="G43" s="11">
        <f>VLOOKUP(A43,import!A:J,7,0)</f>
        <v>6</v>
      </c>
      <c r="H43" s="11">
        <f>VLOOKUP(A43,import!A:J,8,0)</f>
        <v>10</v>
      </c>
      <c r="I43" s="11">
        <f>VLOOKUP(A43,import!A:J,9,0)</f>
        <v>16</v>
      </c>
      <c r="J43" s="12">
        <f>VLOOKUP(A43,import!A:J,10,0)</f>
        <v>0.38</v>
      </c>
      <c r="K43" s="11" t="s">
        <v>290</v>
      </c>
      <c r="L43" s="11">
        <v>5.454249333E9</v>
      </c>
      <c r="M43" s="11" t="s">
        <v>71</v>
      </c>
      <c r="N43" s="11" t="s">
        <v>291</v>
      </c>
      <c r="O43" s="11" t="s">
        <v>292</v>
      </c>
      <c r="P43" s="11" t="str">
        <f>VLOOKUP(A43,import!A:P,16,0)</f>
        <v>Geleneksel</v>
      </c>
      <c r="Q43" s="13"/>
      <c r="R43" s="13" t="b">
        <v>0</v>
      </c>
      <c r="S43" s="13" t="b">
        <v>0</v>
      </c>
      <c r="T43" s="14"/>
      <c r="U43" s="14"/>
      <c r="V43" s="14"/>
      <c r="W43" s="14"/>
      <c r="X43" s="24"/>
      <c r="Y43" s="24"/>
      <c r="Z43" s="18"/>
      <c r="AA43" s="18"/>
      <c r="AB43" s="18"/>
      <c r="AC43" s="18"/>
      <c r="AD43" s="18"/>
      <c r="AE43" s="21"/>
      <c r="AF43" s="18"/>
      <c r="AG43" s="21"/>
      <c r="AH43" s="18"/>
      <c r="AI43" s="18"/>
      <c r="AJ43" s="18"/>
      <c r="AK43" s="18"/>
      <c r="AL43" s="18"/>
      <c r="AM43" s="18"/>
      <c r="AN43" s="18"/>
      <c r="AO43" s="18"/>
      <c r="AP43" s="22" t="s">
        <v>56</v>
      </c>
      <c r="AQ43" s="18"/>
    </row>
    <row r="44">
      <c r="A44" s="11" t="s">
        <v>293</v>
      </c>
      <c r="B44" s="11" t="s">
        <v>294</v>
      </c>
      <c r="C44" s="11" t="str">
        <f>VLOOKUP(A44,import!A:C,3,0)</f>
        <v>DOĞRU</v>
      </c>
      <c r="D44" s="11" t="s">
        <v>100</v>
      </c>
      <c r="E44" s="11">
        <f>VLOOKUP(A44,import!A:J,5,0)</f>
        <v>4</v>
      </c>
      <c r="F44" s="11">
        <f>VLOOKUP(A44,import!A:J,6,0)</f>
        <v>1</v>
      </c>
      <c r="G44" s="11">
        <f>VLOOKUP(A44,import!A:J,7,0)</f>
        <v>9</v>
      </c>
      <c r="H44" s="11">
        <f>VLOOKUP(A44,import!A:J,8,0)</f>
        <v>22</v>
      </c>
      <c r="I44" s="11">
        <f>VLOOKUP(A44,import!A:J,9,0)</f>
        <v>31</v>
      </c>
      <c r="J44" s="12">
        <f>VLOOKUP(A44,import!A:J,10,0)</f>
        <v>0.29</v>
      </c>
      <c r="K44" s="11" t="s">
        <v>295</v>
      </c>
      <c r="L44" s="11">
        <v>5.392215824E9</v>
      </c>
      <c r="M44" s="11" t="s">
        <v>71</v>
      </c>
      <c r="N44" s="11" t="s">
        <v>296</v>
      </c>
      <c r="O44" s="11" t="s">
        <v>297</v>
      </c>
      <c r="P44" s="11" t="str">
        <f>VLOOKUP(A44,import!A:P,16,0)</f>
        <v>Geleneksel</v>
      </c>
      <c r="Q44" s="13"/>
      <c r="R44" s="13" t="b">
        <v>1</v>
      </c>
      <c r="S44" s="13" t="b">
        <v>0</v>
      </c>
      <c r="T44" s="14" t="s">
        <v>74</v>
      </c>
      <c r="U44" s="14" t="s">
        <v>75</v>
      </c>
      <c r="V44" s="30" t="s">
        <v>76</v>
      </c>
      <c r="W44" s="14" t="s">
        <v>298</v>
      </c>
      <c r="X44" s="24">
        <v>44645.0</v>
      </c>
      <c r="Y44" s="24">
        <v>44648.0</v>
      </c>
      <c r="Z44" s="18"/>
      <c r="AA44" s="19" t="s">
        <v>54</v>
      </c>
      <c r="AB44" s="24">
        <v>44645.0</v>
      </c>
      <c r="AC44" s="19"/>
      <c r="AD44" s="20"/>
      <c r="AE44" s="19"/>
      <c r="AF44" s="20"/>
      <c r="AG44" s="21"/>
      <c r="AH44" s="18"/>
      <c r="AI44" s="18"/>
      <c r="AJ44" s="18"/>
      <c r="AK44" s="19" t="s">
        <v>75</v>
      </c>
      <c r="AL44" s="19"/>
      <c r="AM44" s="19"/>
      <c r="AN44" s="18"/>
      <c r="AO44" s="18"/>
      <c r="AP44" s="22"/>
      <c r="AQ44" s="18"/>
    </row>
    <row r="45">
      <c r="A45" s="11" t="s">
        <v>299</v>
      </c>
      <c r="B45" s="11" t="s">
        <v>300</v>
      </c>
      <c r="C45" s="11" t="str">
        <f>VLOOKUP(A45,import!A:C,3,0)</f>
        <v>DOĞRU</v>
      </c>
      <c r="D45" s="11" t="s">
        <v>100</v>
      </c>
      <c r="E45" s="11">
        <f>VLOOKUP(A45,import!A:J,5,0)</f>
        <v>82</v>
      </c>
      <c r="F45" s="11" t="str">
        <f>VLOOKUP(A45,import!A:J,6,0)</f>
        <v/>
      </c>
      <c r="G45" s="11">
        <f>VLOOKUP(A45,import!A:J,7,0)</f>
        <v>7</v>
      </c>
      <c r="H45" s="11">
        <f>VLOOKUP(A45,import!A:J,8,0)</f>
        <v>13</v>
      </c>
      <c r="I45" s="11">
        <f>VLOOKUP(A45,import!A:J,9,0)</f>
        <v>20</v>
      </c>
      <c r="J45" s="12">
        <f>VLOOKUP(A45,import!A:J,10,0)</f>
        <v>0.35</v>
      </c>
      <c r="K45" s="11" t="s">
        <v>301</v>
      </c>
      <c r="L45" s="11">
        <v>5.312840476E9</v>
      </c>
      <c r="M45" s="11" t="s">
        <v>71</v>
      </c>
      <c r="N45" s="11" t="s">
        <v>302</v>
      </c>
      <c r="O45" s="11" t="s">
        <v>303</v>
      </c>
      <c r="P45" s="11" t="str">
        <f>VLOOKUP(A45,import!A:P,16,0)</f>
        <v>Geleneksel</v>
      </c>
      <c r="Q45" s="13"/>
      <c r="R45" s="13" t="b">
        <v>0</v>
      </c>
      <c r="S45" s="13" t="b">
        <v>0</v>
      </c>
      <c r="T45" s="14"/>
      <c r="U45" s="14"/>
      <c r="V45" s="14"/>
      <c r="W45" s="15"/>
      <c r="X45" s="24"/>
      <c r="Y45" s="24"/>
      <c r="Z45" s="18"/>
      <c r="AA45" s="18"/>
      <c r="AB45" s="18"/>
      <c r="AC45" s="18"/>
      <c r="AD45" s="18"/>
      <c r="AE45" s="21"/>
      <c r="AF45" s="18"/>
      <c r="AG45" s="21"/>
      <c r="AH45" s="18"/>
      <c r="AI45" s="18"/>
      <c r="AJ45" s="18"/>
      <c r="AK45" s="18"/>
      <c r="AL45" s="18"/>
      <c r="AM45" s="18"/>
      <c r="AN45" s="18"/>
      <c r="AO45" s="18"/>
      <c r="AP45" s="22" t="s">
        <v>56</v>
      </c>
      <c r="AQ45" s="18"/>
    </row>
    <row r="46">
      <c r="A46" s="11" t="s">
        <v>304</v>
      </c>
      <c r="B46" s="11" t="s">
        <v>305</v>
      </c>
      <c r="C46" s="11" t="str">
        <f>VLOOKUP(A46,import!A:C,3,0)</f>
        <v>DOĞRU</v>
      </c>
      <c r="D46" s="11" t="s">
        <v>100</v>
      </c>
      <c r="E46" s="11">
        <f>VLOOKUP(A46,import!A:J,5,0)</f>
        <v>167</v>
      </c>
      <c r="F46" s="11" t="str">
        <f>VLOOKUP(A46,import!A:J,6,0)</f>
        <v/>
      </c>
      <c r="G46" s="11">
        <f>VLOOKUP(A46,import!A:J,7,0)</f>
        <v>6</v>
      </c>
      <c r="H46" s="11">
        <f>VLOOKUP(A46,import!A:J,8,0)</f>
        <v>6</v>
      </c>
      <c r="I46" s="11">
        <f>VLOOKUP(A46,import!A:J,9,0)</f>
        <v>12</v>
      </c>
      <c r="J46" s="12">
        <f>VLOOKUP(A46,import!A:J,10,0)</f>
        <v>0.5</v>
      </c>
      <c r="K46" s="11" t="s">
        <v>306</v>
      </c>
      <c r="L46" s="11">
        <v>5.436176727E9</v>
      </c>
      <c r="M46" s="11" t="s">
        <v>47</v>
      </c>
      <c r="N46" s="11" t="s">
        <v>307</v>
      </c>
      <c r="O46" s="11" t="s">
        <v>308</v>
      </c>
      <c r="P46" s="11" t="str">
        <f>VLOOKUP(A46,import!A:P,16,0)</f>
        <v>Geleneksel</v>
      </c>
      <c r="Q46" s="13"/>
      <c r="R46" s="13" t="b">
        <v>1</v>
      </c>
      <c r="S46" s="13" t="b">
        <v>0</v>
      </c>
      <c r="T46" s="14" t="s">
        <v>50</v>
      </c>
      <c r="U46" s="14"/>
      <c r="V46" s="14"/>
      <c r="W46" s="14"/>
      <c r="X46" s="24"/>
      <c r="Y46" s="24"/>
      <c r="Z46" s="18"/>
      <c r="AA46" s="19"/>
      <c r="AB46" s="20"/>
      <c r="AC46" s="19"/>
      <c r="AD46" s="20"/>
      <c r="AE46" s="21"/>
      <c r="AF46" s="18"/>
      <c r="AG46" s="21"/>
      <c r="AH46" s="18"/>
      <c r="AI46" s="18"/>
      <c r="AJ46" s="18"/>
      <c r="AK46" s="19"/>
      <c r="AL46" s="19"/>
      <c r="AM46" s="18"/>
      <c r="AN46" s="18"/>
      <c r="AO46" s="18"/>
      <c r="AP46" s="22" t="s">
        <v>56</v>
      </c>
      <c r="AQ46" s="18"/>
    </row>
    <row r="47">
      <c r="A47" s="11" t="s">
        <v>309</v>
      </c>
      <c r="B47" s="11" t="s">
        <v>310</v>
      </c>
      <c r="C47" s="11" t="str">
        <f>VLOOKUP(A47,import!A:C,3,0)</f>
        <v>DOĞRU</v>
      </c>
      <c r="D47" s="11" t="s">
        <v>100</v>
      </c>
      <c r="E47" s="11">
        <f>VLOOKUP(A47,import!A:J,5,0)</f>
        <v>126</v>
      </c>
      <c r="F47" s="11" t="str">
        <f>VLOOKUP(A47,import!A:J,6,0)</f>
        <v/>
      </c>
      <c r="G47" s="11">
        <f>VLOOKUP(A47,import!A:J,7,0)</f>
        <v>7</v>
      </c>
      <c r="H47" s="11">
        <f>VLOOKUP(A47,import!A:J,8,0)</f>
        <v>5</v>
      </c>
      <c r="I47" s="11">
        <f>VLOOKUP(A47,import!A:J,9,0)</f>
        <v>12</v>
      </c>
      <c r="J47" s="12">
        <f>VLOOKUP(A47,import!A:J,10,0)</f>
        <v>0.58</v>
      </c>
      <c r="K47" s="11" t="s">
        <v>311</v>
      </c>
      <c r="L47" s="11">
        <v>5.449090446E9</v>
      </c>
      <c r="M47" s="11" t="s">
        <v>47</v>
      </c>
      <c r="N47" s="11" t="s">
        <v>48</v>
      </c>
      <c r="O47" s="11" t="s">
        <v>312</v>
      </c>
      <c r="P47" s="11" t="str">
        <f>VLOOKUP(A47,import!A:P,16,0)</f>
        <v>Geleneksel</v>
      </c>
      <c r="Q47" s="13"/>
      <c r="R47" s="13" t="b">
        <v>1</v>
      </c>
      <c r="S47" s="13" t="b">
        <v>0</v>
      </c>
      <c r="T47" s="25" t="s">
        <v>50</v>
      </c>
      <c r="U47" s="15"/>
      <c r="V47" s="15"/>
      <c r="W47" s="37"/>
      <c r="X47" s="17"/>
      <c r="Y47" s="17"/>
      <c r="Z47" s="18"/>
      <c r="AA47" s="18"/>
      <c r="AB47" s="18"/>
      <c r="AC47" s="18"/>
      <c r="AD47" s="18"/>
      <c r="AE47" s="21"/>
      <c r="AF47" s="18"/>
      <c r="AG47" s="21"/>
      <c r="AH47" s="18"/>
      <c r="AI47" s="18"/>
      <c r="AJ47" s="18"/>
      <c r="AK47" s="18"/>
      <c r="AL47" s="18"/>
      <c r="AM47" s="18"/>
      <c r="AN47" s="18"/>
      <c r="AO47" s="18"/>
      <c r="AP47" s="22" t="s">
        <v>56</v>
      </c>
      <c r="AQ47" s="18"/>
    </row>
    <row r="48">
      <c r="A48" s="11" t="s">
        <v>313</v>
      </c>
      <c r="B48" s="11" t="s">
        <v>314</v>
      </c>
      <c r="C48" s="11" t="str">
        <f>VLOOKUP(A48,import!A:C,3,0)</f>
        <v>DOĞRU</v>
      </c>
      <c r="D48" s="11" t="s">
        <v>100</v>
      </c>
      <c r="E48" s="11">
        <f>VLOOKUP(A48,import!A:J,5,0)</f>
        <v>16</v>
      </c>
      <c r="F48" s="11" t="str">
        <f>VLOOKUP(A48,import!A:J,6,0)</f>
        <v/>
      </c>
      <c r="G48" s="11">
        <f>VLOOKUP(A48,import!A:J,7,0)</f>
        <v>9</v>
      </c>
      <c r="H48" s="11">
        <f>VLOOKUP(A48,import!A:J,8,0)</f>
        <v>13</v>
      </c>
      <c r="I48" s="11">
        <f>VLOOKUP(A48,import!A:J,9,0)</f>
        <v>22</v>
      </c>
      <c r="J48" s="12">
        <f>VLOOKUP(A48,import!A:J,10,0)</f>
        <v>0.41</v>
      </c>
      <c r="K48" s="11" t="s">
        <v>315</v>
      </c>
      <c r="L48" s="11">
        <v>3.523550404E9</v>
      </c>
      <c r="M48" s="11" t="s">
        <v>47</v>
      </c>
      <c r="N48" s="11" t="s">
        <v>155</v>
      </c>
      <c r="O48" s="11" t="s">
        <v>316</v>
      </c>
      <c r="P48" s="11" t="str">
        <f>VLOOKUP(A48,import!A:P,16,0)</f>
        <v>Geleneksel</v>
      </c>
      <c r="Q48" s="13"/>
      <c r="R48" s="13" t="b">
        <v>1</v>
      </c>
      <c r="S48" s="13" t="b">
        <v>0</v>
      </c>
      <c r="T48" s="14" t="s">
        <v>50</v>
      </c>
      <c r="U48" s="14"/>
      <c r="V48" s="31"/>
      <c r="W48" s="14"/>
      <c r="X48" s="24"/>
      <c r="Y48" s="24"/>
      <c r="Z48" s="18"/>
      <c r="AA48" s="19"/>
      <c r="AB48" s="20"/>
      <c r="AC48" s="19"/>
      <c r="AD48" s="20"/>
      <c r="AE48" s="21"/>
      <c r="AF48" s="18"/>
      <c r="AG48" s="21"/>
      <c r="AH48" s="18"/>
      <c r="AI48" s="18"/>
      <c r="AJ48" s="18"/>
      <c r="AK48" s="19"/>
      <c r="AL48" s="19"/>
      <c r="AM48" s="18"/>
      <c r="AN48" s="18"/>
      <c r="AO48" s="18"/>
      <c r="AP48" s="22"/>
      <c r="AQ48" s="18"/>
    </row>
    <row r="49">
      <c r="A49" s="11" t="s">
        <v>317</v>
      </c>
      <c r="B49" s="11" t="s">
        <v>318</v>
      </c>
      <c r="C49" s="11" t="str">
        <f>VLOOKUP(A49,import!A:C,3,0)</f>
        <v>DOĞRU</v>
      </c>
      <c r="D49" s="11" t="s">
        <v>100</v>
      </c>
      <c r="E49" s="11">
        <f>VLOOKUP(A49,import!A:J,5,0)</f>
        <v>828</v>
      </c>
      <c r="F49" s="11">
        <f>VLOOKUP(A49,import!A:J,6,0)</f>
        <v>46</v>
      </c>
      <c r="G49" s="11">
        <f>VLOOKUP(A49,import!A:J,7,0)</f>
        <v>5</v>
      </c>
      <c r="H49" s="11">
        <f>VLOOKUP(A49,import!A:J,8,0)</f>
        <v>24</v>
      </c>
      <c r="I49" s="11">
        <f>VLOOKUP(A49,import!A:J,9,0)</f>
        <v>29</v>
      </c>
      <c r="J49" s="12">
        <f>VLOOKUP(A49,import!A:J,10,0)</f>
        <v>0.17</v>
      </c>
      <c r="K49" s="11" t="s">
        <v>319</v>
      </c>
      <c r="L49" s="11">
        <v>3.52437102E9</v>
      </c>
      <c r="M49" s="11" t="s">
        <v>61</v>
      </c>
      <c r="N49" s="11" t="s">
        <v>320</v>
      </c>
      <c r="O49" s="11" t="s">
        <v>321</v>
      </c>
      <c r="P49" s="11" t="str">
        <f>VLOOKUP(A49,import!A:P,16,0)</f>
        <v>Geleneksel</v>
      </c>
      <c r="Q49" s="13"/>
      <c r="R49" s="13" t="b">
        <v>0</v>
      </c>
      <c r="S49" s="13" t="b">
        <v>0</v>
      </c>
      <c r="T49" s="14" t="s">
        <v>50</v>
      </c>
      <c r="U49" s="14"/>
      <c r="V49" s="31"/>
      <c r="W49" s="14"/>
      <c r="X49" s="24"/>
      <c r="Y49" s="24"/>
      <c r="Z49" s="18"/>
      <c r="AA49" s="19"/>
      <c r="AB49" s="20"/>
      <c r="AC49" s="19"/>
      <c r="AD49" s="20"/>
      <c r="AE49" s="21"/>
      <c r="AF49" s="18"/>
      <c r="AG49" s="21"/>
      <c r="AH49" s="18"/>
      <c r="AI49" s="18"/>
      <c r="AJ49" s="18"/>
      <c r="AK49" s="19"/>
      <c r="AL49" s="19"/>
      <c r="AM49" s="18"/>
      <c r="AN49" s="18"/>
      <c r="AO49" s="18"/>
      <c r="AP49" s="22" t="s">
        <v>56</v>
      </c>
      <c r="AQ49" s="18"/>
    </row>
    <row r="50">
      <c r="A50" s="11" t="s">
        <v>322</v>
      </c>
      <c r="B50" s="11" t="s">
        <v>323</v>
      </c>
      <c r="C50" s="11" t="str">
        <f>VLOOKUP(A50,import!A:C,3,0)</f>
        <v>DOĞRU</v>
      </c>
      <c r="D50" s="11" t="s">
        <v>100</v>
      </c>
      <c r="E50" s="11">
        <f>VLOOKUP(A50,import!A:J,5,0)</f>
        <v>258</v>
      </c>
      <c r="F50" s="11">
        <f>VLOOKUP(A50,import!A:J,6,0)</f>
        <v>15</v>
      </c>
      <c r="G50" s="11">
        <f>VLOOKUP(A50,import!A:J,7,0)</f>
        <v>6</v>
      </c>
      <c r="H50" s="11">
        <f>VLOOKUP(A50,import!A:J,8,0)</f>
        <v>16</v>
      </c>
      <c r="I50" s="11">
        <f>VLOOKUP(A50,import!A:J,9,0)</f>
        <v>22</v>
      </c>
      <c r="J50" s="12">
        <f>VLOOKUP(A50,import!A:J,10,0)</f>
        <v>0.27</v>
      </c>
      <c r="K50" s="11" t="s">
        <v>324</v>
      </c>
      <c r="L50" s="11">
        <v>5.525342551E9</v>
      </c>
      <c r="M50" s="11" t="s">
        <v>61</v>
      </c>
      <c r="N50" s="11" t="s">
        <v>62</v>
      </c>
      <c r="O50" s="11" t="s">
        <v>325</v>
      </c>
      <c r="P50" s="11" t="str">
        <f>VLOOKUP(A50,import!A:P,16,0)</f>
        <v>Geleneksel</v>
      </c>
      <c r="Q50" s="13"/>
      <c r="R50" s="13" t="b">
        <v>0</v>
      </c>
      <c r="S50" s="13" t="b">
        <v>0</v>
      </c>
      <c r="T50" s="14" t="s">
        <v>50</v>
      </c>
      <c r="U50" s="14"/>
      <c r="V50" s="14"/>
      <c r="W50" s="14"/>
      <c r="X50" s="24"/>
      <c r="Y50" s="24"/>
      <c r="Z50" s="18"/>
      <c r="AA50" s="19"/>
      <c r="AB50" s="20"/>
      <c r="AC50" s="19"/>
      <c r="AD50" s="20"/>
      <c r="AE50" s="21"/>
      <c r="AF50" s="18"/>
      <c r="AG50" s="21"/>
      <c r="AH50" s="18"/>
      <c r="AI50" s="18"/>
      <c r="AJ50" s="18"/>
      <c r="AK50" s="19"/>
      <c r="AL50" s="19"/>
      <c r="AM50" s="18"/>
      <c r="AN50" s="18"/>
      <c r="AO50" s="18"/>
      <c r="AP50" s="22" t="s">
        <v>56</v>
      </c>
      <c r="AQ50" s="18"/>
    </row>
    <row r="51">
      <c r="A51" s="11" t="s">
        <v>326</v>
      </c>
      <c r="B51" s="11" t="s">
        <v>327</v>
      </c>
      <c r="C51" s="11" t="str">
        <f>VLOOKUP(A51,import!A:C,3,0)</f>
        <v>DOĞRU</v>
      </c>
      <c r="D51" s="11" t="s">
        <v>100</v>
      </c>
      <c r="E51" s="11">
        <f>VLOOKUP(A51,import!A:J,5,0)</f>
        <v>27</v>
      </c>
      <c r="F51" s="11" t="str">
        <f>VLOOKUP(A51,import!A:J,6,0)</f>
        <v/>
      </c>
      <c r="G51" s="11">
        <f>VLOOKUP(A51,import!A:J,7,0)</f>
        <v>7</v>
      </c>
      <c r="H51" s="11">
        <f>VLOOKUP(A51,import!A:J,8,0)</f>
        <v>4</v>
      </c>
      <c r="I51" s="11">
        <f>VLOOKUP(A51,import!A:J,9,0)</f>
        <v>11</v>
      </c>
      <c r="J51" s="12">
        <f>VLOOKUP(A51,import!A:J,10,0)</f>
        <v>0.64</v>
      </c>
      <c r="K51" s="11" t="s">
        <v>328</v>
      </c>
      <c r="L51" s="11">
        <v>3.524374E9</v>
      </c>
      <c r="M51" s="11" t="s">
        <v>61</v>
      </c>
      <c r="N51" s="11" t="s">
        <v>250</v>
      </c>
      <c r="O51" s="11" t="s">
        <v>329</v>
      </c>
      <c r="P51" s="11" t="str">
        <f>VLOOKUP(A51,import!A:P,16,0)</f>
        <v>Geleneksel</v>
      </c>
      <c r="Q51" s="13"/>
      <c r="R51" s="13" t="b">
        <v>0</v>
      </c>
      <c r="S51" s="13" t="b">
        <v>0</v>
      </c>
      <c r="T51" s="14" t="s">
        <v>50</v>
      </c>
      <c r="U51" s="14"/>
      <c r="V51" s="14"/>
      <c r="W51" s="14"/>
      <c r="X51" s="24"/>
      <c r="Y51" s="24"/>
      <c r="Z51" s="18"/>
      <c r="AA51" s="19"/>
      <c r="AB51" s="20"/>
      <c r="AC51" s="19"/>
      <c r="AD51" s="20"/>
      <c r="AE51" s="21"/>
      <c r="AF51" s="18"/>
      <c r="AG51" s="21"/>
      <c r="AH51" s="18"/>
      <c r="AI51" s="18"/>
      <c r="AJ51" s="18"/>
      <c r="AK51" s="19"/>
      <c r="AL51" s="19"/>
      <c r="AM51" s="18"/>
      <c r="AN51" s="18"/>
      <c r="AO51" s="18"/>
      <c r="AP51" s="22" t="s">
        <v>56</v>
      </c>
      <c r="AQ51" s="18"/>
    </row>
    <row r="52">
      <c r="A52" s="11" t="s">
        <v>330</v>
      </c>
      <c r="B52" s="11" t="s">
        <v>331</v>
      </c>
      <c r="C52" s="11" t="str">
        <f>VLOOKUP(A52,import!A:C,3,0)</f>
        <v>DOĞRU</v>
      </c>
      <c r="D52" s="11" t="s">
        <v>69</v>
      </c>
      <c r="E52" s="11">
        <f>VLOOKUP(A52,import!A:J,5,0)</f>
        <v>485</v>
      </c>
      <c r="F52" s="11">
        <f>VLOOKUP(A52,import!A:J,6,0)</f>
        <v>125</v>
      </c>
      <c r="G52" s="11">
        <f>VLOOKUP(A52,import!A:J,7,0)</f>
        <v>27</v>
      </c>
      <c r="H52" s="11">
        <f>VLOOKUP(A52,import!A:J,8,0)</f>
        <v>39</v>
      </c>
      <c r="I52" s="11">
        <f>VLOOKUP(A52,import!A:J,9,0)</f>
        <v>66</v>
      </c>
      <c r="J52" s="12">
        <f>VLOOKUP(A52,import!A:J,10,0)</f>
        <v>0.41</v>
      </c>
      <c r="K52" s="11" t="s">
        <v>332</v>
      </c>
      <c r="L52" s="11">
        <v>5.454619844E9</v>
      </c>
      <c r="M52" s="11" t="s">
        <v>47</v>
      </c>
      <c r="N52" s="11" t="s">
        <v>333</v>
      </c>
      <c r="O52" s="11" t="s">
        <v>334</v>
      </c>
      <c r="P52" s="11" t="str">
        <f>VLOOKUP(A52,import!A:P,16,0)</f>
        <v>Geleneksel</v>
      </c>
      <c r="Q52" s="13"/>
      <c r="R52" s="13" t="b">
        <v>1</v>
      </c>
      <c r="S52" s="13" t="b">
        <v>0</v>
      </c>
      <c r="T52" s="14" t="s">
        <v>74</v>
      </c>
      <c r="U52" s="14" t="s">
        <v>140</v>
      </c>
      <c r="V52" s="38" t="s">
        <v>76</v>
      </c>
      <c r="W52" s="14" t="s">
        <v>335</v>
      </c>
      <c r="X52" s="24">
        <v>44599.0</v>
      </c>
      <c r="Y52" s="24">
        <v>44599.0</v>
      </c>
      <c r="Z52" s="18"/>
      <c r="AA52" s="19" t="s">
        <v>53</v>
      </c>
      <c r="AB52" s="20">
        <v>44587.0</v>
      </c>
      <c r="AC52" s="19" t="s">
        <v>53</v>
      </c>
      <c r="AD52" s="20">
        <v>44595.0</v>
      </c>
      <c r="AE52" s="19" t="s">
        <v>54</v>
      </c>
      <c r="AF52" s="20">
        <v>44599.0</v>
      </c>
      <c r="AG52" s="21"/>
      <c r="AH52" s="18"/>
      <c r="AI52" s="18"/>
      <c r="AJ52" s="18"/>
      <c r="AK52" s="19" t="s">
        <v>86</v>
      </c>
      <c r="AL52" s="19" t="s">
        <v>127</v>
      </c>
      <c r="AM52" s="19" t="s">
        <v>140</v>
      </c>
      <c r="AN52" s="18"/>
      <c r="AO52" s="18"/>
      <c r="AP52" s="22"/>
      <c r="AQ52" s="18"/>
    </row>
    <row r="53">
      <c r="A53" s="11" t="s">
        <v>336</v>
      </c>
      <c r="B53" s="11" t="s">
        <v>337</v>
      </c>
      <c r="C53" s="11" t="str">
        <f>VLOOKUP(A53,import!A:C,3,0)</f>
        <v>DOĞRU</v>
      </c>
      <c r="D53" s="11" t="s">
        <v>69</v>
      </c>
      <c r="E53" s="11">
        <f>VLOOKUP(A53,import!A:J,5,0)</f>
        <v>80</v>
      </c>
      <c r="F53" s="11" t="str">
        <f>VLOOKUP(A53,import!A:J,6,0)</f>
        <v/>
      </c>
      <c r="G53" s="11">
        <f>VLOOKUP(A53,import!A:J,7,0)</f>
        <v>17</v>
      </c>
      <c r="H53" s="11">
        <f>VLOOKUP(A53,import!A:J,8,0)</f>
        <v>26</v>
      </c>
      <c r="I53" s="11">
        <f>VLOOKUP(A53,import!A:J,9,0)</f>
        <v>43</v>
      </c>
      <c r="J53" s="12">
        <f>VLOOKUP(A53,import!A:J,10,0)</f>
        <v>0.4</v>
      </c>
      <c r="K53" s="11" t="s">
        <v>338</v>
      </c>
      <c r="L53" s="11">
        <v>3.523330222E9</v>
      </c>
      <c r="M53" s="11" t="s">
        <v>71</v>
      </c>
      <c r="N53" s="11" t="s">
        <v>339</v>
      </c>
      <c r="O53" s="11" t="s">
        <v>340</v>
      </c>
      <c r="P53" s="11" t="str">
        <f>VLOOKUP(A53,import!A:P,16,0)</f>
        <v>Geleneksel</v>
      </c>
      <c r="Q53" s="13"/>
      <c r="R53" s="13" t="b">
        <v>1</v>
      </c>
      <c r="S53" s="13" t="b">
        <v>0</v>
      </c>
      <c r="T53" s="14" t="s">
        <v>74</v>
      </c>
      <c r="U53" s="14" t="s">
        <v>75</v>
      </c>
      <c r="V53" s="30" t="s">
        <v>76</v>
      </c>
      <c r="W53" s="14" t="s">
        <v>341</v>
      </c>
      <c r="X53" s="24">
        <v>44617.0</v>
      </c>
      <c r="Y53" s="24">
        <v>44620.0</v>
      </c>
      <c r="Z53" s="18"/>
      <c r="AA53" s="19" t="s">
        <v>54</v>
      </c>
      <c r="AB53" s="24">
        <v>44617.0</v>
      </c>
      <c r="AC53" s="18"/>
      <c r="AD53" s="18"/>
      <c r="AE53" s="21"/>
      <c r="AF53" s="18"/>
      <c r="AG53" s="21"/>
      <c r="AH53" s="18"/>
      <c r="AI53" s="18"/>
      <c r="AJ53" s="18"/>
      <c r="AK53" s="19" t="s">
        <v>75</v>
      </c>
      <c r="AL53" s="18"/>
      <c r="AM53" s="18"/>
      <c r="AN53" s="18"/>
      <c r="AO53" s="18"/>
      <c r="AP53" s="22" t="s">
        <v>56</v>
      </c>
      <c r="AQ53" s="18"/>
    </row>
    <row r="54">
      <c r="A54" s="11" t="s">
        <v>342</v>
      </c>
      <c r="B54" s="11" t="s">
        <v>343</v>
      </c>
      <c r="C54" s="11" t="str">
        <f>VLOOKUP(A54,import!A:C,3,0)</f>
        <v>DOĞRU</v>
      </c>
      <c r="D54" s="11" t="s">
        <v>59</v>
      </c>
      <c r="E54" s="11">
        <f>VLOOKUP(A54,import!A:J,5,0)</f>
        <v>124</v>
      </c>
      <c r="F54" s="11">
        <f>VLOOKUP(A54,import!A:J,6,0)</f>
        <v>20</v>
      </c>
      <c r="G54" s="11">
        <f>VLOOKUP(A54,import!A:J,7,0)</f>
        <v>0</v>
      </c>
      <c r="H54" s="11">
        <f>VLOOKUP(A54,import!A:J,8,0)</f>
        <v>8</v>
      </c>
      <c r="I54" s="11">
        <f>VLOOKUP(A54,import!A:J,9,0)</f>
        <v>8</v>
      </c>
      <c r="J54" s="12">
        <f>VLOOKUP(A54,import!A:J,10,0)</f>
        <v>0</v>
      </c>
      <c r="K54" s="11" t="s">
        <v>344</v>
      </c>
      <c r="L54" s="11">
        <v>3.52503304E9</v>
      </c>
      <c r="M54" s="11" t="s">
        <v>61</v>
      </c>
      <c r="N54" s="11" t="s">
        <v>62</v>
      </c>
      <c r="O54" s="11" t="s">
        <v>345</v>
      </c>
      <c r="P54" s="11" t="str">
        <f>VLOOKUP(A54,import!A:P,16,0)</f>
        <v>Geleneksel</v>
      </c>
      <c r="Q54" s="13"/>
      <c r="R54" s="13" t="b">
        <v>1</v>
      </c>
      <c r="S54" s="13" t="b">
        <v>0</v>
      </c>
      <c r="T54" s="14" t="s">
        <v>64</v>
      </c>
      <c r="U54" s="14"/>
      <c r="V54" s="16"/>
      <c r="W54" s="14" t="s">
        <v>346</v>
      </c>
      <c r="X54" s="24"/>
      <c r="Y54" s="24"/>
      <c r="Z54" s="18"/>
      <c r="AA54" s="19" t="s">
        <v>347</v>
      </c>
      <c r="AB54" s="20">
        <v>44578.0</v>
      </c>
      <c r="AC54" s="19"/>
      <c r="AD54" s="20"/>
      <c r="AE54" s="21"/>
      <c r="AF54" s="18"/>
      <c r="AG54" s="21"/>
      <c r="AH54" s="18"/>
      <c r="AI54" s="18"/>
      <c r="AJ54" s="18"/>
      <c r="AK54" s="19" t="s">
        <v>95</v>
      </c>
      <c r="AL54" s="19"/>
      <c r="AM54" s="18"/>
      <c r="AN54" s="18"/>
      <c r="AO54" s="18"/>
      <c r="AP54" s="22"/>
      <c r="AQ54" s="18"/>
    </row>
    <row r="55">
      <c r="A55" s="11" t="s">
        <v>348</v>
      </c>
      <c r="B55" s="11" t="s">
        <v>349</v>
      </c>
      <c r="C55" s="11" t="str">
        <f>VLOOKUP(A55,import!A:C,3,0)</f>
        <v>DOĞRU</v>
      </c>
      <c r="D55" s="11" t="s">
        <v>59</v>
      </c>
      <c r="E55" s="11">
        <f>VLOOKUP(A55,import!A:J,5,0)</f>
        <v>1236</v>
      </c>
      <c r="F55" s="11">
        <f>VLOOKUP(A55,import!A:J,6,0)</f>
        <v>11</v>
      </c>
      <c r="G55" s="11">
        <f>VLOOKUP(A55,import!A:J,7,0)</f>
        <v>0</v>
      </c>
      <c r="H55" s="11">
        <f>VLOOKUP(A55,import!A:J,8,0)</f>
        <v>14</v>
      </c>
      <c r="I55" s="11">
        <f>VLOOKUP(A55,import!A:J,9,0)</f>
        <v>14</v>
      </c>
      <c r="J55" s="12">
        <f>VLOOKUP(A55,import!A:J,10,0)</f>
        <v>0</v>
      </c>
      <c r="K55" s="11" t="s">
        <v>350</v>
      </c>
      <c r="L55" s="11">
        <v>3.52504309E9</v>
      </c>
      <c r="M55" s="11" t="s">
        <v>61</v>
      </c>
      <c r="N55" s="11" t="s">
        <v>107</v>
      </c>
      <c r="O55" s="11" t="s">
        <v>351</v>
      </c>
      <c r="P55" s="11" t="str">
        <f>VLOOKUP(A55,import!A:P,16,0)</f>
        <v>Geleneksel</v>
      </c>
      <c r="Q55" s="13"/>
      <c r="R55" s="13" t="b">
        <v>1</v>
      </c>
      <c r="S55" s="13" t="b">
        <v>1</v>
      </c>
      <c r="T55" s="14" t="s">
        <v>168</v>
      </c>
      <c r="U55" s="14" t="s">
        <v>352</v>
      </c>
      <c r="V55" s="31" t="s">
        <v>96</v>
      </c>
      <c r="W55" s="14" t="s">
        <v>353</v>
      </c>
      <c r="X55" s="24">
        <v>44301.0</v>
      </c>
      <c r="Y55" s="24">
        <v>44307.0</v>
      </c>
      <c r="Z55" s="18"/>
      <c r="AA55" s="19" t="s">
        <v>54</v>
      </c>
      <c r="AB55" s="20">
        <v>44595.0</v>
      </c>
      <c r="AC55" s="19" t="s">
        <v>54</v>
      </c>
      <c r="AD55" s="20">
        <v>44595.0</v>
      </c>
      <c r="AE55" s="21"/>
      <c r="AF55" s="18"/>
      <c r="AG55" s="21"/>
      <c r="AH55" s="18"/>
      <c r="AI55" s="18"/>
      <c r="AJ55" s="18"/>
      <c r="AK55" s="19" t="s">
        <v>75</v>
      </c>
      <c r="AL55" s="19" t="s">
        <v>127</v>
      </c>
      <c r="AM55" s="18"/>
      <c r="AN55" s="18"/>
      <c r="AO55" s="18"/>
      <c r="AP55" s="22" t="s">
        <v>56</v>
      </c>
      <c r="AQ55" s="18"/>
    </row>
    <row r="56">
      <c r="A56" s="11" t="s">
        <v>354</v>
      </c>
      <c r="B56" s="11" t="s">
        <v>355</v>
      </c>
      <c r="C56" s="11" t="str">
        <f>VLOOKUP(A56,import!A:C,3,0)</f>
        <v>DOĞRU</v>
      </c>
      <c r="D56" s="11" t="s">
        <v>59</v>
      </c>
      <c r="E56" s="11">
        <f>VLOOKUP(A56,import!A:J,5,0)</f>
        <v>240</v>
      </c>
      <c r="F56" s="11">
        <f>VLOOKUP(A56,import!A:J,6,0)</f>
        <v>7</v>
      </c>
      <c r="G56" s="11">
        <f>VLOOKUP(A56,import!A:J,7,0)</f>
        <v>0</v>
      </c>
      <c r="H56" s="11">
        <f>VLOOKUP(A56,import!A:J,8,0)</f>
        <v>14</v>
      </c>
      <c r="I56" s="11">
        <f>VLOOKUP(A56,import!A:J,9,0)</f>
        <v>14</v>
      </c>
      <c r="J56" s="12">
        <f>VLOOKUP(A56,import!A:J,10,0)</f>
        <v>0</v>
      </c>
      <c r="K56" s="11" t="s">
        <v>356</v>
      </c>
      <c r="L56" s="11">
        <v>5.417423195E9</v>
      </c>
      <c r="M56" s="11" t="s">
        <v>71</v>
      </c>
      <c r="N56" s="11" t="s">
        <v>357</v>
      </c>
      <c r="O56" s="11" t="s">
        <v>358</v>
      </c>
      <c r="P56" s="11" t="str">
        <f>VLOOKUP(A56,import!A:P,16,0)</f>
        <v>Geleneksel</v>
      </c>
      <c r="Q56" s="13"/>
      <c r="R56" s="13" t="b">
        <v>1</v>
      </c>
      <c r="S56" s="13" t="b">
        <v>0</v>
      </c>
      <c r="T56" s="14" t="s">
        <v>168</v>
      </c>
      <c r="U56" s="14"/>
      <c r="V56" s="14"/>
      <c r="W56" s="14" t="s">
        <v>359</v>
      </c>
      <c r="X56" s="24"/>
      <c r="Y56" s="24"/>
      <c r="Z56" s="18"/>
      <c r="AA56" s="19" t="s">
        <v>54</v>
      </c>
      <c r="AB56" s="24">
        <v>44624.0</v>
      </c>
      <c r="AC56" s="19"/>
      <c r="AD56" s="20"/>
      <c r="AE56" s="21"/>
      <c r="AF56" s="18"/>
      <c r="AG56" s="21"/>
      <c r="AH56" s="18"/>
      <c r="AI56" s="18"/>
      <c r="AJ56" s="18"/>
      <c r="AK56" s="19" t="s">
        <v>75</v>
      </c>
      <c r="AL56" s="19"/>
      <c r="AM56" s="18"/>
      <c r="AN56" s="18"/>
      <c r="AO56" s="18"/>
      <c r="AP56" s="22" t="s">
        <v>56</v>
      </c>
      <c r="AQ56" s="18"/>
    </row>
    <row r="57">
      <c r="A57" s="11" t="s">
        <v>360</v>
      </c>
      <c r="B57" s="11" t="s">
        <v>361</v>
      </c>
      <c r="C57" s="11" t="str">
        <f>VLOOKUP(A57,import!A:C,3,0)</f>
        <v>DOĞRU</v>
      </c>
      <c r="D57" s="11" t="s">
        <v>69</v>
      </c>
      <c r="E57" s="11">
        <f>VLOOKUP(A57,import!A:J,5,0)</f>
        <v>245</v>
      </c>
      <c r="F57" s="11">
        <f>VLOOKUP(A57,import!A:J,6,0)</f>
        <v>15</v>
      </c>
      <c r="G57" s="11">
        <f>VLOOKUP(A57,import!A:J,7,0)</f>
        <v>35</v>
      </c>
      <c r="H57" s="11">
        <f>VLOOKUP(A57,import!A:J,8,0)</f>
        <v>67</v>
      </c>
      <c r="I57" s="11">
        <f>VLOOKUP(A57,import!A:J,9,0)</f>
        <v>102</v>
      </c>
      <c r="J57" s="12">
        <f>VLOOKUP(A57,import!A:J,10,0)</f>
        <v>0.34</v>
      </c>
      <c r="K57" s="11" t="s">
        <v>362</v>
      </c>
      <c r="L57" s="11">
        <v>8.502207022E9</v>
      </c>
      <c r="M57" s="11" t="s">
        <v>61</v>
      </c>
      <c r="N57" s="11" t="s">
        <v>107</v>
      </c>
      <c r="O57" s="11" t="s">
        <v>363</v>
      </c>
      <c r="P57" s="11" t="str">
        <f>VLOOKUP(A57,import!A:P,16,0)</f>
        <v>Geleneksel</v>
      </c>
      <c r="Q57" s="13"/>
      <c r="R57" s="13" t="b">
        <v>1</v>
      </c>
      <c r="S57" s="13" t="b">
        <v>0</v>
      </c>
      <c r="T57" s="14" t="s">
        <v>94</v>
      </c>
      <c r="U57" s="14" t="s">
        <v>364</v>
      </c>
      <c r="V57" s="31" t="s">
        <v>96</v>
      </c>
      <c r="W57" s="14" t="s">
        <v>365</v>
      </c>
      <c r="X57" s="24">
        <v>44355.0</v>
      </c>
      <c r="Y57" s="24">
        <v>44357.0</v>
      </c>
      <c r="Z57" s="18"/>
      <c r="AA57" s="19" t="s">
        <v>54</v>
      </c>
      <c r="AB57" s="20">
        <v>44355.0</v>
      </c>
      <c r="AC57" s="18"/>
      <c r="AD57" s="18"/>
      <c r="AE57" s="21"/>
      <c r="AF57" s="18"/>
      <c r="AG57" s="21"/>
      <c r="AH57" s="18"/>
      <c r="AI57" s="18"/>
      <c r="AJ57" s="18"/>
      <c r="AK57" s="19" t="s">
        <v>364</v>
      </c>
      <c r="AL57" s="18"/>
      <c r="AM57" s="18"/>
      <c r="AN57" s="18"/>
      <c r="AO57" s="18"/>
      <c r="AP57" s="22" t="s">
        <v>56</v>
      </c>
      <c r="AQ57" s="18"/>
    </row>
    <row r="58">
      <c r="A58" s="11" t="s">
        <v>366</v>
      </c>
      <c r="B58" s="11" t="s">
        <v>367</v>
      </c>
      <c r="C58" s="11" t="str">
        <f>VLOOKUP(A58,import!A:C,3,0)</f>
        <v>DOĞRU</v>
      </c>
      <c r="D58" s="11" t="s">
        <v>368</v>
      </c>
      <c r="E58" s="11">
        <f>VLOOKUP(A58,import!A:J,5,0)</f>
        <v>498</v>
      </c>
      <c r="F58" s="11" t="str">
        <f>VLOOKUP(A58,import!A:J,6,0)</f>
        <v/>
      </c>
      <c r="G58" s="11">
        <f>VLOOKUP(A58,import!A:J,7,0)</f>
        <v>0</v>
      </c>
      <c r="H58" s="11">
        <f>VLOOKUP(A58,import!A:J,8,0)</f>
        <v>14</v>
      </c>
      <c r="I58" s="11">
        <f>VLOOKUP(A58,import!A:J,9,0)</f>
        <v>14</v>
      </c>
      <c r="J58" s="12">
        <f>VLOOKUP(A58,import!A:J,10,0)</f>
        <v>0</v>
      </c>
      <c r="K58" s="11" t="s">
        <v>369</v>
      </c>
      <c r="L58" s="11">
        <v>5.466966569E9</v>
      </c>
      <c r="M58" s="11" t="s">
        <v>61</v>
      </c>
      <c r="N58" s="11" t="s">
        <v>62</v>
      </c>
      <c r="O58" s="11" t="s">
        <v>370</v>
      </c>
      <c r="P58" s="11" t="str">
        <f>VLOOKUP(A58,import!A:P,16,0)</f>
        <v>Geleneksel</v>
      </c>
      <c r="Q58" s="13"/>
      <c r="R58" s="13" t="b">
        <v>1</v>
      </c>
      <c r="S58" s="13" t="b">
        <v>1</v>
      </c>
      <c r="T58" s="14" t="s">
        <v>115</v>
      </c>
      <c r="U58" s="15"/>
      <c r="V58" s="37"/>
      <c r="W58" s="14" t="s">
        <v>371</v>
      </c>
      <c r="X58" s="17"/>
      <c r="Y58" s="17"/>
      <c r="Z58" s="18"/>
      <c r="AA58" s="19" t="s">
        <v>54</v>
      </c>
      <c r="AB58" s="20">
        <v>44622.0</v>
      </c>
      <c r="AC58" s="19" t="s">
        <v>54</v>
      </c>
      <c r="AD58" s="20">
        <v>44666.0</v>
      </c>
      <c r="AE58" s="21"/>
      <c r="AF58" s="18"/>
      <c r="AG58" s="21"/>
      <c r="AH58" s="18"/>
      <c r="AI58" s="18"/>
      <c r="AJ58" s="18"/>
      <c r="AK58" s="19" t="s">
        <v>75</v>
      </c>
      <c r="AL58" s="19" t="s">
        <v>110</v>
      </c>
      <c r="AM58" s="18"/>
      <c r="AN58" s="18"/>
      <c r="AO58" s="18"/>
      <c r="AP58" s="22" t="s">
        <v>56</v>
      </c>
      <c r="AQ58" s="18"/>
    </row>
    <row r="59">
      <c r="A59" s="11" t="s">
        <v>372</v>
      </c>
      <c r="B59" s="11" t="s">
        <v>373</v>
      </c>
      <c r="C59" s="11" t="str">
        <f>VLOOKUP(A59,import!A:C,3,0)</f>
        <v>DOĞRU</v>
      </c>
      <c r="D59" s="11" t="s">
        <v>59</v>
      </c>
      <c r="E59" s="11">
        <f>VLOOKUP(A59,import!A:J,5,0)</f>
        <v>227</v>
      </c>
      <c r="F59" s="11" t="str">
        <f>VLOOKUP(A59,import!A:J,6,0)</f>
        <v/>
      </c>
      <c r="G59" s="11">
        <f>VLOOKUP(A59,import!A:J,7,0)</f>
        <v>2</v>
      </c>
      <c r="H59" s="11">
        <f>VLOOKUP(A59,import!A:J,8,0)</f>
        <v>3</v>
      </c>
      <c r="I59" s="11">
        <f>VLOOKUP(A59,import!A:J,9,0)</f>
        <v>5</v>
      </c>
      <c r="J59" s="12">
        <f>VLOOKUP(A59,import!A:J,10,0)</f>
        <v>0.4</v>
      </c>
      <c r="K59" s="11" t="s">
        <v>374</v>
      </c>
      <c r="L59" s="11">
        <v>5.073683307E9</v>
      </c>
      <c r="M59" s="11" t="s">
        <v>61</v>
      </c>
      <c r="N59" s="11" t="s">
        <v>160</v>
      </c>
      <c r="O59" s="11" t="s">
        <v>375</v>
      </c>
      <c r="P59" s="11" t="str">
        <f>VLOOKUP(A59,import!A:P,16,0)</f>
        <v>Geleneksel</v>
      </c>
      <c r="Q59" s="13"/>
      <c r="R59" s="13" t="b">
        <v>1</v>
      </c>
      <c r="S59" s="13" t="b">
        <v>0</v>
      </c>
      <c r="T59" s="14" t="s">
        <v>74</v>
      </c>
      <c r="U59" s="14" t="s">
        <v>86</v>
      </c>
      <c r="V59" s="23" t="s">
        <v>76</v>
      </c>
      <c r="W59" s="14"/>
      <c r="X59" s="24">
        <v>44594.0</v>
      </c>
      <c r="Y59" s="24">
        <v>44595.0</v>
      </c>
      <c r="Z59" s="18"/>
      <c r="AA59" s="19" t="s">
        <v>54</v>
      </c>
      <c r="AB59" s="20">
        <v>44594.0</v>
      </c>
      <c r="AC59" s="19"/>
      <c r="AD59" s="20"/>
      <c r="AE59" s="21"/>
      <c r="AF59" s="18"/>
      <c r="AG59" s="21"/>
      <c r="AH59" s="18"/>
      <c r="AI59" s="18"/>
      <c r="AJ59" s="18"/>
      <c r="AK59" s="19" t="s">
        <v>86</v>
      </c>
      <c r="AL59" s="19"/>
      <c r="AM59" s="18"/>
      <c r="AN59" s="18"/>
      <c r="AO59" s="18"/>
      <c r="AP59" s="22"/>
      <c r="AQ59" s="18"/>
    </row>
    <row r="60">
      <c r="A60" s="11" t="s">
        <v>376</v>
      </c>
      <c r="B60" s="11" t="s">
        <v>377</v>
      </c>
      <c r="C60" s="11" t="str">
        <f>VLOOKUP(A60,import!A:C,3,0)</f>
        <v>DOĞRU</v>
      </c>
      <c r="D60" s="11" t="s">
        <v>91</v>
      </c>
      <c r="E60" s="11">
        <f>VLOOKUP(A60,import!A:J,5,0)</f>
        <v>51</v>
      </c>
      <c r="F60" s="11">
        <f>VLOOKUP(A60,import!A:J,6,0)</f>
        <v>3</v>
      </c>
      <c r="G60" s="11">
        <f>VLOOKUP(A60,import!A:J,7,0)</f>
        <v>0</v>
      </c>
      <c r="H60" s="11">
        <f>VLOOKUP(A60,import!A:J,8,0)</f>
        <v>29</v>
      </c>
      <c r="I60" s="11">
        <f>VLOOKUP(A60,import!A:J,9,0)</f>
        <v>29</v>
      </c>
      <c r="J60" s="12">
        <f>VLOOKUP(A60,import!A:J,10,0)</f>
        <v>0</v>
      </c>
      <c r="K60" s="11" t="s">
        <v>378</v>
      </c>
      <c r="L60" s="11">
        <v>3.525040144E9</v>
      </c>
      <c r="M60" s="11" t="s">
        <v>61</v>
      </c>
      <c r="N60" s="11" t="s">
        <v>62</v>
      </c>
      <c r="O60" s="11" t="s">
        <v>379</v>
      </c>
      <c r="P60" s="11" t="str">
        <f>VLOOKUP(A60,import!A:P,16,0)</f>
        <v>Geleneksel</v>
      </c>
      <c r="Q60" s="13"/>
      <c r="R60" s="13" t="b">
        <v>1</v>
      </c>
      <c r="S60" s="13" t="b">
        <v>1</v>
      </c>
      <c r="T60" s="14" t="s">
        <v>168</v>
      </c>
      <c r="U60" s="14"/>
      <c r="V60" s="16"/>
      <c r="W60" s="14" t="s">
        <v>380</v>
      </c>
      <c r="X60" s="24"/>
      <c r="Y60" s="24"/>
      <c r="Z60" s="18"/>
      <c r="AA60" s="19" t="s">
        <v>54</v>
      </c>
      <c r="AB60" s="20">
        <v>44578.0</v>
      </c>
      <c r="AC60" s="19" t="s">
        <v>54</v>
      </c>
      <c r="AD60" s="20">
        <v>44595.0</v>
      </c>
      <c r="AE60" s="21"/>
      <c r="AF60" s="18"/>
      <c r="AG60" s="21"/>
      <c r="AH60" s="18"/>
      <c r="AI60" s="18"/>
      <c r="AJ60" s="18"/>
      <c r="AK60" s="19" t="s">
        <v>381</v>
      </c>
      <c r="AL60" s="19" t="s">
        <v>127</v>
      </c>
      <c r="AM60" s="18"/>
      <c r="AN60" s="18"/>
      <c r="AO60" s="18"/>
      <c r="AP60" s="22"/>
      <c r="AQ60" s="18"/>
    </row>
    <row r="61">
      <c r="A61" s="11" t="s">
        <v>382</v>
      </c>
      <c r="B61" s="11" t="s">
        <v>383</v>
      </c>
      <c r="C61" s="11" t="str">
        <f>VLOOKUP(A61,import!A:C,3,0)</f>
        <v>DOĞRU</v>
      </c>
      <c r="D61" s="11" t="s">
        <v>172</v>
      </c>
      <c r="E61" s="11">
        <f>VLOOKUP(A61,import!A:J,5,0)</f>
        <v>8</v>
      </c>
      <c r="F61" s="11">
        <f>VLOOKUP(A61,import!A:J,6,0)</f>
        <v>2</v>
      </c>
      <c r="G61" s="11">
        <f>VLOOKUP(A61,import!A:J,7,0)</f>
        <v>16</v>
      </c>
      <c r="H61" s="11">
        <f>VLOOKUP(A61,import!A:J,8,0)</f>
        <v>1</v>
      </c>
      <c r="I61" s="11">
        <f>VLOOKUP(A61,import!A:J,9,0)</f>
        <v>17</v>
      </c>
      <c r="J61" s="12">
        <f>VLOOKUP(A61,import!A:J,10,0)</f>
        <v>0.94</v>
      </c>
      <c r="K61" s="11" t="s">
        <v>384</v>
      </c>
      <c r="L61" s="11">
        <v>3.522322034E9</v>
      </c>
      <c r="M61" s="11" t="s">
        <v>71</v>
      </c>
      <c r="N61" s="11" t="s">
        <v>385</v>
      </c>
      <c r="O61" s="11" t="s">
        <v>386</v>
      </c>
      <c r="P61" s="11" t="str">
        <f>VLOOKUP(A61,import!A:P,16,0)</f>
        <v>Geleneksel</v>
      </c>
      <c r="Q61" s="13"/>
      <c r="R61" s="13" t="b">
        <v>1</v>
      </c>
      <c r="S61" s="13" t="b">
        <v>0</v>
      </c>
      <c r="T61" s="14" t="s">
        <v>74</v>
      </c>
      <c r="U61" s="14" t="s">
        <v>381</v>
      </c>
      <c r="V61" s="35" t="s">
        <v>76</v>
      </c>
      <c r="W61" s="14" t="s">
        <v>387</v>
      </c>
      <c r="X61" s="24">
        <v>44611.0</v>
      </c>
      <c r="Y61" s="24">
        <v>44613.0</v>
      </c>
      <c r="Z61" s="18"/>
      <c r="AA61" s="19" t="s">
        <v>54</v>
      </c>
      <c r="AB61" s="20">
        <v>44611.0</v>
      </c>
      <c r="AC61" s="19"/>
      <c r="AD61" s="20"/>
      <c r="AE61" s="19"/>
      <c r="AF61" s="20"/>
      <c r="AG61" s="21"/>
      <c r="AH61" s="18"/>
      <c r="AI61" s="18"/>
      <c r="AJ61" s="18"/>
      <c r="AK61" s="19" t="s">
        <v>381</v>
      </c>
      <c r="AL61" s="19"/>
      <c r="AM61" s="19"/>
      <c r="AN61" s="18"/>
      <c r="AO61" s="18"/>
      <c r="AP61" s="22"/>
      <c r="AQ61" s="18"/>
    </row>
    <row r="62">
      <c r="A62" s="11" t="s">
        <v>388</v>
      </c>
      <c r="B62" s="11" t="s">
        <v>389</v>
      </c>
      <c r="C62" s="11" t="str">
        <f>VLOOKUP(A62,import!A:C,3,0)</f>
        <v>DOĞRU</v>
      </c>
      <c r="D62" s="11" t="s">
        <v>83</v>
      </c>
      <c r="E62" s="11">
        <f>VLOOKUP(A62,import!A:J,5,0)</f>
        <v>572</v>
      </c>
      <c r="F62" s="11">
        <f>VLOOKUP(A62,import!A:J,6,0)</f>
        <v>97</v>
      </c>
      <c r="G62" s="11">
        <f>VLOOKUP(A62,import!A:J,7,0)</f>
        <v>16</v>
      </c>
      <c r="H62" s="11">
        <f>VLOOKUP(A62,import!A:J,8,0)</f>
        <v>9</v>
      </c>
      <c r="I62" s="11">
        <f>VLOOKUP(A62,import!A:J,9,0)</f>
        <v>25</v>
      </c>
      <c r="J62" s="12">
        <f>VLOOKUP(A62,import!A:J,10,0)</f>
        <v>0.64</v>
      </c>
      <c r="K62" s="11" t="s">
        <v>390</v>
      </c>
      <c r="L62" s="11">
        <v>3.522222736E9</v>
      </c>
      <c r="M62" s="11" t="s">
        <v>47</v>
      </c>
      <c r="N62" s="11" t="s">
        <v>391</v>
      </c>
      <c r="O62" s="11" t="s">
        <v>392</v>
      </c>
      <c r="P62" s="11" t="str">
        <f>VLOOKUP(A62,import!A:P,16,0)</f>
        <v>Geleneksel</v>
      </c>
      <c r="Q62" s="13"/>
      <c r="R62" s="13" t="b">
        <v>1</v>
      </c>
      <c r="S62" s="13" t="b">
        <v>0</v>
      </c>
      <c r="T62" s="14" t="s">
        <v>74</v>
      </c>
      <c r="U62" s="14" t="s">
        <v>110</v>
      </c>
      <c r="V62" s="23" t="s">
        <v>76</v>
      </c>
      <c r="W62" s="14"/>
      <c r="X62" s="24">
        <v>44599.0</v>
      </c>
      <c r="Y62" s="24">
        <v>44603.0</v>
      </c>
      <c r="Z62" s="18"/>
      <c r="AA62" s="19" t="s">
        <v>54</v>
      </c>
      <c r="AB62" s="20">
        <v>44599.0</v>
      </c>
      <c r="AC62" s="19"/>
      <c r="AD62" s="20"/>
      <c r="AE62" s="19"/>
      <c r="AF62" s="20"/>
      <c r="AG62" s="21"/>
      <c r="AH62" s="18"/>
      <c r="AI62" s="18"/>
      <c r="AJ62" s="18"/>
      <c r="AK62" s="19" t="s">
        <v>110</v>
      </c>
      <c r="AL62" s="19"/>
      <c r="AM62" s="19"/>
      <c r="AN62" s="18"/>
      <c r="AO62" s="18"/>
      <c r="AP62" s="22"/>
      <c r="AQ62" s="18"/>
    </row>
    <row r="63">
      <c r="A63" s="11" t="s">
        <v>393</v>
      </c>
      <c r="B63" s="11" t="s">
        <v>394</v>
      </c>
      <c r="C63" s="11" t="str">
        <f>VLOOKUP(A63,import!A:C,3,0)</f>
        <v>DOĞRU</v>
      </c>
      <c r="D63" s="11" t="s">
        <v>172</v>
      </c>
      <c r="E63" s="11">
        <f>VLOOKUP(A63,import!A:J,5,0)</f>
        <v>570</v>
      </c>
      <c r="F63" s="11">
        <f>VLOOKUP(A63,import!A:J,6,0)</f>
        <v>3</v>
      </c>
      <c r="G63" s="11">
        <f>VLOOKUP(A63,import!A:J,7,0)</f>
        <v>0</v>
      </c>
      <c r="H63" s="11">
        <f>VLOOKUP(A63,import!A:J,8,0)</f>
        <v>9</v>
      </c>
      <c r="I63" s="11">
        <f>VLOOKUP(A63,import!A:J,9,0)</f>
        <v>9</v>
      </c>
      <c r="J63" s="12">
        <f>VLOOKUP(A63,import!A:J,10,0)</f>
        <v>0</v>
      </c>
      <c r="K63" s="11" t="s">
        <v>395</v>
      </c>
      <c r="L63" s="11">
        <v>3.526661238E9</v>
      </c>
      <c r="M63" s="11" t="s">
        <v>47</v>
      </c>
      <c r="N63" s="11" t="s">
        <v>138</v>
      </c>
      <c r="O63" s="11" t="s">
        <v>396</v>
      </c>
      <c r="P63" s="11" t="str">
        <f>VLOOKUP(A63,import!A:P,16,0)</f>
        <v>Geleneksel</v>
      </c>
      <c r="Q63" s="13"/>
      <c r="R63" s="13" t="b">
        <v>1</v>
      </c>
      <c r="S63" s="13" t="b">
        <v>0</v>
      </c>
      <c r="T63" s="14" t="s">
        <v>168</v>
      </c>
      <c r="U63" s="14" t="s">
        <v>352</v>
      </c>
      <c r="V63" s="14" t="s">
        <v>96</v>
      </c>
      <c r="W63" s="14" t="s">
        <v>397</v>
      </c>
      <c r="X63" s="24">
        <v>44293.0</v>
      </c>
      <c r="Y63" s="24">
        <v>44295.0</v>
      </c>
      <c r="Z63" s="18"/>
      <c r="AA63" s="19" t="s">
        <v>53</v>
      </c>
      <c r="AB63" s="20">
        <v>44365.0</v>
      </c>
      <c r="AC63" s="19" t="s">
        <v>54</v>
      </c>
      <c r="AD63" s="20">
        <v>44370.0</v>
      </c>
      <c r="AE63" s="21"/>
      <c r="AF63" s="18"/>
      <c r="AG63" s="21"/>
      <c r="AH63" s="18"/>
      <c r="AI63" s="18"/>
      <c r="AJ63" s="18"/>
      <c r="AK63" s="19" t="s">
        <v>55</v>
      </c>
      <c r="AL63" s="19" t="s">
        <v>95</v>
      </c>
      <c r="AM63" s="18"/>
      <c r="AN63" s="18"/>
      <c r="AO63" s="18"/>
      <c r="AP63" s="22" t="s">
        <v>56</v>
      </c>
      <c r="AQ63" s="18"/>
    </row>
    <row r="64">
      <c r="A64" s="11" t="s">
        <v>398</v>
      </c>
      <c r="B64" s="11" t="s">
        <v>399</v>
      </c>
      <c r="C64" s="11" t="str">
        <f>VLOOKUP(A64,import!A:C,3,0)</f>
        <v>DOĞRU</v>
      </c>
      <c r="D64" s="11" t="s">
        <v>172</v>
      </c>
      <c r="E64" s="11">
        <f>VLOOKUP(A64,import!A:J,5,0)</f>
        <v>2044</v>
      </c>
      <c r="F64" s="11">
        <f>VLOOKUP(A64,import!A:J,6,0)</f>
        <v>13</v>
      </c>
      <c r="G64" s="11">
        <f>VLOOKUP(A64,import!A:J,7,0)</f>
        <v>0</v>
      </c>
      <c r="H64" s="11">
        <f>VLOOKUP(A64,import!A:J,8,0)</f>
        <v>7</v>
      </c>
      <c r="I64" s="11">
        <f>VLOOKUP(A64,import!A:J,9,0)</f>
        <v>7</v>
      </c>
      <c r="J64" s="12">
        <f>VLOOKUP(A64,import!A:J,10,0)</f>
        <v>0</v>
      </c>
      <c r="K64" s="11" t="s">
        <v>400</v>
      </c>
      <c r="L64" s="11">
        <v>3.523362538E9</v>
      </c>
      <c r="M64" s="11" t="s">
        <v>47</v>
      </c>
      <c r="N64" s="11" t="s">
        <v>401</v>
      </c>
      <c r="O64" s="11" t="s">
        <v>402</v>
      </c>
      <c r="P64" s="11" t="str">
        <f>VLOOKUP(A64,import!A:P,16,0)</f>
        <v>Geleneksel</v>
      </c>
      <c r="Q64" s="13"/>
      <c r="R64" s="13" t="b">
        <v>1</v>
      </c>
      <c r="S64" s="13" t="b">
        <v>0</v>
      </c>
      <c r="T64" s="14" t="s">
        <v>168</v>
      </c>
      <c r="U64" s="14"/>
      <c r="V64" s="16"/>
      <c r="W64" s="14" t="s">
        <v>403</v>
      </c>
      <c r="X64" s="24"/>
      <c r="Y64" s="24"/>
      <c r="Z64" s="18"/>
      <c r="AA64" s="19" t="s">
        <v>78</v>
      </c>
      <c r="AB64" s="20">
        <v>44354.0</v>
      </c>
      <c r="AC64" s="19" t="s">
        <v>54</v>
      </c>
      <c r="AD64" s="20">
        <v>44358.0</v>
      </c>
      <c r="AE64" s="19" t="s">
        <v>54</v>
      </c>
      <c r="AF64" s="20">
        <v>44631.0</v>
      </c>
      <c r="AG64" s="21"/>
      <c r="AH64" s="18"/>
      <c r="AI64" s="18"/>
      <c r="AJ64" s="18"/>
      <c r="AK64" s="19" t="s">
        <v>79</v>
      </c>
      <c r="AL64" s="19" t="s">
        <v>55</v>
      </c>
      <c r="AM64" s="19" t="s">
        <v>86</v>
      </c>
      <c r="AN64" s="18"/>
      <c r="AO64" s="18"/>
      <c r="AP64" s="22" t="s">
        <v>56</v>
      </c>
      <c r="AQ64" s="18"/>
    </row>
    <row r="65">
      <c r="A65" s="11" t="s">
        <v>404</v>
      </c>
      <c r="B65" s="11" t="s">
        <v>405</v>
      </c>
      <c r="C65" s="11" t="str">
        <f>VLOOKUP(A65,import!A:C,3,0)</f>
        <v>DOĞRU</v>
      </c>
      <c r="D65" s="11" t="s">
        <v>406</v>
      </c>
      <c r="E65" s="11">
        <f>VLOOKUP(A65,import!A:J,5,0)</f>
        <v>155</v>
      </c>
      <c r="F65" s="11" t="str">
        <f>VLOOKUP(A65,import!A:J,6,0)</f>
        <v/>
      </c>
      <c r="G65" s="11">
        <f>VLOOKUP(A65,import!A:J,7,0)</f>
        <v>0</v>
      </c>
      <c r="H65" s="11">
        <f>VLOOKUP(A65,import!A:J,8,0)</f>
        <v>12</v>
      </c>
      <c r="I65" s="11">
        <f>VLOOKUP(A65,import!A:J,9,0)</f>
        <v>12</v>
      </c>
      <c r="J65" s="12">
        <f>VLOOKUP(A65,import!A:J,10,0)</f>
        <v>0</v>
      </c>
      <c r="K65" s="11" t="s">
        <v>407</v>
      </c>
      <c r="L65" s="11">
        <v>5.32525914E9</v>
      </c>
      <c r="M65" s="11" t="s">
        <v>47</v>
      </c>
      <c r="N65" s="11" t="s">
        <v>408</v>
      </c>
      <c r="O65" s="11" t="s">
        <v>409</v>
      </c>
      <c r="P65" s="11" t="str">
        <f>VLOOKUP(A65,import!A:P,16,0)</f>
        <v>Geleneksel</v>
      </c>
      <c r="Q65" s="13"/>
      <c r="R65" s="13" t="b">
        <v>1</v>
      </c>
      <c r="S65" s="13" t="b">
        <v>1</v>
      </c>
      <c r="T65" s="14"/>
      <c r="U65" s="14"/>
      <c r="V65" s="14"/>
      <c r="W65" s="14" t="s">
        <v>410</v>
      </c>
      <c r="X65" s="24"/>
      <c r="Y65" s="24"/>
      <c r="Z65" s="18"/>
      <c r="AA65" s="19" t="s">
        <v>54</v>
      </c>
      <c r="AB65" s="20">
        <v>44589.0</v>
      </c>
      <c r="AC65" s="19"/>
      <c r="AD65" s="20"/>
      <c r="AE65" s="21"/>
      <c r="AF65" s="18"/>
      <c r="AG65" s="21"/>
      <c r="AH65" s="18"/>
      <c r="AI65" s="18"/>
      <c r="AJ65" s="18"/>
      <c r="AK65" s="19" t="s">
        <v>110</v>
      </c>
      <c r="AL65" s="19"/>
      <c r="AM65" s="18"/>
      <c r="AN65" s="18"/>
      <c r="AO65" s="18"/>
      <c r="AP65" s="22" t="s">
        <v>56</v>
      </c>
      <c r="AQ65" s="18"/>
    </row>
    <row r="66">
      <c r="A66" s="11" t="s">
        <v>411</v>
      </c>
      <c r="B66" s="11" t="s">
        <v>412</v>
      </c>
      <c r="C66" s="11" t="str">
        <f>VLOOKUP(A66,import!A:C,3,0)</f>
        <v>DOĞRU</v>
      </c>
      <c r="D66" s="11" t="s">
        <v>172</v>
      </c>
      <c r="E66" s="11">
        <f>VLOOKUP(A66,import!A:J,5,0)</f>
        <v>1344</v>
      </c>
      <c r="F66" s="11" t="str">
        <f>VLOOKUP(A66,import!A:J,6,0)</f>
        <v/>
      </c>
      <c r="G66" s="11">
        <f>VLOOKUP(A66,import!A:J,7,0)</f>
        <v>0</v>
      </c>
      <c r="H66" s="11">
        <f>VLOOKUP(A66,import!A:J,8,0)</f>
        <v>15</v>
      </c>
      <c r="I66" s="11">
        <f>VLOOKUP(A66,import!A:J,9,0)</f>
        <v>15</v>
      </c>
      <c r="J66" s="12">
        <f>VLOOKUP(A66,import!A:J,10,0)</f>
        <v>0</v>
      </c>
      <c r="K66" s="11" t="s">
        <v>413</v>
      </c>
      <c r="L66" s="11">
        <v>3.522473033E9</v>
      </c>
      <c r="M66" s="11" t="s">
        <v>47</v>
      </c>
      <c r="N66" s="11" t="s">
        <v>48</v>
      </c>
      <c r="O66" s="11" t="s">
        <v>414</v>
      </c>
      <c r="P66" s="11" t="str">
        <f>VLOOKUP(A66,import!A:P,16,0)</f>
        <v>Geleneksel</v>
      </c>
      <c r="Q66" s="13"/>
      <c r="R66" s="13" t="b">
        <v>1</v>
      </c>
      <c r="S66" s="13" t="b">
        <v>0</v>
      </c>
      <c r="T66" s="14" t="s">
        <v>145</v>
      </c>
      <c r="U66" s="14" t="s">
        <v>80</v>
      </c>
      <c r="V66" s="14" t="s">
        <v>415</v>
      </c>
      <c r="W66" s="14" t="s">
        <v>416</v>
      </c>
      <c r="X66" s="24">
        <v>44480.0</v>
      </c>
      <c r="Y66" s="24">
        <v>44481.0</v>
      </c>
      <c r="Z66" s="18"/>
      <c r="AA66" s="19" t="s">
        <v>54</v>
      </c>
      <c r="AB66" s="20">
        <v>44480.0</v>
      </c>
      <c r="AC66" s="19" t="s">
        <v>54</v>
      </c>
      <c r="AD66" s="20">
        <v>44601.0</v>
      </c>
      <c r="AE66" s="19" t="s">
        <v>54</v>
      </c>
      <c r="AF66" s="20">
        <v>44623.0</v>
      </c>
      <c r="AG66" s="21"/>
      <c r="AH66" s="18"/>
      <c r="AI66" s="18"/>
      <c r="AJ66" s="18"/>
      <c r="AK66" s="19" t="s">
        <v>80</v>
      </c>
      <c r="AL66" s="19" t="s">
        <v>110</v>
      </c>
      <c r="AM66" s="19" t="s">
        <v>80</v>
      </c>
      <c r="AN66" s="18"/>
      <c r="AO66" s="18"/>
      <c r="AP66" s="22" t="s">
        <v>56</v>
      </c>
      <c r="AQ66" s="18"/>
    </row>
    <row r="67">
      <c r="A67" s="11" t="s">
        <v>417</v>
      </c>
      <c r="B67" s="11" t="s">
        <v>418</v>
      </c>
      <c r="C67" s="11" t="str">
        <f>VLOOKUP(A67,import!A:C,3,0)</f>
        <v>DOĞRU</v>
      </c>
      <c r="D67" s="11" t="s">
        <v>406</v>
      </c>
      <c r="E67" s="11">
        <f>VLOOKUP(A67,import!A:J,5,0)</f>
        <v>2647</v>
      </c>
      <c r="F67" s="11">
        <f>VLOOKUP(A67,import!A:J,6,0)</f>
        <v>17</v>
      </c>
      <c r="G67" s="11">
        <f>VLOOKUP(A67,import!A:J,7,0)</f>
        <v>12</v>
      </c>
      <c r="H67" s="11">
        <f>VLOOKUP(A67,import!A:J,8,0)</f>
        <v>4</v>
      </c>
      <c r="I67" s="11">
        <f>VLOOKUP(A67,import!A:J,9,0)</f>
        <v>16</v>
      </c>
      <c r="J67" s="12">
        <f>VLOOKUP(A67,import!A:J,10,0)</f>
        <v>0.75</v>
      </c>
      <c r="K67" s="11" t="s">
        <v>419</v>
      </c>
      <c r="L67" s="11">
        <v>3.522220414E9</v>
      </c>
      <c r="M67" s="11" t="s">
        <v>71</v>
      </c>
      <c r="N67" s="11" t="s">
        <v>420</v>
      </c>
      <c r="O67" s="11" t="s">
        <v>421</v>
      </c>
      <c r="P67" s="11" t="str">
        <f>VLOOKUP(A67,import!A:P,16,0)</f>
        <v>Geleneksel</v>
      </c>
      <c r="Q67" s="13"/>
      <c r="R67" s="13" t="b">
        <v>1</v>
      </c>
      <c r="S67" s="13" t="b">
        <v>0</v>
      </c>
      <c r="T67" s="14" t="s">
        <v>74</v>
      </c>
      <c r="U67" s="14" t="s">
        <v>88</v>
      </c>
      <c r="V67" s="31" t="s">
        <v>96</v>
      </c>
      <c r="W67" s="14" t="s">
        <v>422</v>
      </c>
      <c r="X67" s="24">
        <v>44362.0</v>
      </c>
      <c r="Y67" s="24">
        <v>44365.0</v>
      </c>
      <c r="Z67" s="18"/>
      <c r="AA67" s="18"/>
      <c r="AB67" s="18"/>
      <c r="AC67" s="18"/>
      <c r="AD67" s="18"/>
      <c r="AE67" s="21"/>
      <c r="AF67" s="18"/>
      <c r="AG67" s="21"/>
      <c r="AH67" s="18"/>
      <c r="AI67" s="18"/>
      <c r="AJ67" s="18"/>
      <c r="AK67" s="18"/>
      <c r="AL67" s="18"/>
      <c r="AM67" s="18"/>
      <c r="AN67" s="18"/>
      <c r="AO67" s="18"/>
      <c r="AP67" s="22" t="s">
        <v>56</v>
      </c>
      <c r="AQ67" s="18"/>
    </row>
    <row r="68">
      <c r="A68" s="11" t="s">
        <v>423</v>
      </c>
      <c r="B68" s="11" t="s">
        <v>424</v>
      </c>
      <c r="C68" s="11" t="str">
        <f>VLOOKUP(A68,import!A:C,3,0)</f>
        <v>DOĞRU</v>
      </c>
      <c r="D68" s="11" t="s">
        <v>368</v>
      </c>
      <c r="E68" s="11">
        <f>VLOOKUP(A68,import!A:J,5,0)</f>
        <v>4</v>
      </c>
      <c r="F68" s="11">
        <f>VLOOKUP(A68,import!A:J,6,0)</f>
        <v>2</v>
      </c>
      <c r="G68" s="11">
        <f>VLOOKUP(A68,import!A:J,7,0)</f>
        <v>0</v>
      </c>
      <c r="H68" s="11">
        <f>VLOOKUP(A68,import!A:J,8,0)</f>
        <v>34</v>
      </c>
      <c r="I68" s="11">
        <f>VLOOKUP(A68,import!A:J,9,0)</f>
        <v>34</v>
      </c>
      <c r="J68" s="12">
        <f>VLOOKUP(A68,import!A:J,10,0)</f>
        <v>0</v>
      </c>
      <c r="K68" s="11" t="s">
        <v>425</v>
      </c>
      <c r="L68" s="11">
        <v>3.523391313E9</v>
      </c>
      <c r="M68" s="11" t="s">
        <v>71</v>
      </c>
      <c r="N68" s="11" t="s">
        <v>204</v>
      </c>
      <c r="O68" s="11" t="s">
        <v>426</v>
      </c>
      <c r="P68" s="11" t="str">
        <f>VLOOKUP(A68,import!A:P,16,0)</f>
        <v>Geleneksel</v>
      </c>
      <c r="Q68" s="13"/>
      <c r="R68" s="13" t="b">
        <v>1</v>
      </c>
      <c r="S68" s="13" t="b">
        <v>0</v>
      </c>
      <c r="T68" s="14" t="s">
        <v>133</v>
      </c>
      <c r="U68" s="14" t="s">
        <v>75</v>
      </c>
      <c r="V68" s="35" t="s">
        <v>76</v>
      </c>
      <c r="W68" s="14" t="s">
        <v>427</v>
      </c>
      <c r="X68" s="24">
        <v>44641.0</v>
      </c>
      <c r="Y68" s="24">
        <v>44642.0</v>
      </c>
      <c r="Z68" s="18"/>
      <c r="AA68" s="19" t="s">
        <v>54</v>
      </c>
      <c r="AB68" s="24">
        <v>44641.0</v>
      </c>
      <c r="AC68" s="19" t="s">
        <v>54</v>
      </c>
      <c r="AD68" s="20">
        <v>44662.0</v>
      </c>
      <c r="AE68" s="19"/>
      <c r="AF68" s="20"/>
      <c r="AG68" s="21"/>
      <c r="AH68" s="18"/>
      <c r="AI68" s="18"/>
      <c r="AJ68" s="18"/>
      <c r="AK68" s="19" t="s">
        <v>75</v>
      </c>
      <c r="AL68" s="19" t="s">
        <v>110</v>
      </c>
      <c r="AM68" s="19"/>
      <c r="AN68" s="18"/>
      <c r="AO68" s="18"/>
      <c r="AP68" s="22"/>
      <c r="AQ68" s="18"/>
    </row>
    <row r="69">
      <c r="A69" s="11" t="s">
        <v>428</v>
      </c>
      <c r="B69" s="11" t="s">
        <v>429</v>
      </c>
      <c r="C69" s="11" t="str">
        <f>VLOOKUP(A69,import!A:C,3,0)</f>
        <v>DOĞRU</v>
      </c>
      <c r="D69" s="11" t="s">
        <v>172</v>
      </c>
      <c r="E69" s="11">
        <f>VLOOKUP(A69,import!A:J,5,0)</f>
        <v>6536</v>
      </c>
      <c r="F69" s="11">
        <f>VLOOKUP(A69,import!A:J,6,0)</f>
        <v>45</v>
      </c>
      <c r="G69" s="11">
        <f>VLOOKUP(A69,import!A:J,7,0)</f>
        <v>4</v>
      </c>
      <c r="H69" s="11">
        <f>VLOOKUP(A69,import!A:J,8,0)</f>
        <v>3</v>
      </c>
      <c r="I69" s="11">
        <f>VLOOKUP(A69,import!A:J,9,0)</f>
        <v>7</v>
      </c>
      <c r="J69" s="12">
        <f>VLOOKUP(A69,import!A:J,10,0)</f>
        <v>0.57</v>
      </c>
      <c r="K69" s="11" t="s">
        <v>430</v>
      </c>
      <c r="L69" s="11">
        <v>3.52438035E9</v>
      </c>
      <c r="M69" s="11" t="s">
        <v>61</v>
      </c>
      <c r="N69" s="11" t="s">
        <v>62</v>
      </c>
      <c r="O69" s="11" t="s">
        <v>431</v>
      </c>
      <c r="P69" s="11" t="str">
        <f>VLOOKUP(A69,import!A:P,16,0)</f>
        <v>Geleneksel</v>
      </c>
      <c r="Q69" s="13"/>
      <c r="R69" s="13" t="b">
        <v>1</v>
      </c>
      <c r="S69" s="13" t="b">
        <v>0</v>
      </c>
      <c r="T69" s="14" t="s">
        <v>133</v>
      </c>
      <c r="U69" s="14" t="s">
        <v>75</v>
      </c>
      <c r="V69" s="33" t="s">
        <v>76</v>
      </c>
      <c r="W69" s="14" t="s">
        <v>432</v>
      </c>
      <c r="X69" s="24">
        <v>44643.0</v>
      </c>
      <c r="Y69" s="24">
        <v>44645.0</v>
      </c>
      <c r="Z69" s="18"/>
      <c r="AA69" s="19" t="s">
        <v>54</v>
      </c>
      <c r="AB69" s="24">
        <v>44643.0</v>
      </c>
      <c r="AC69" s="18"/>
      <c r="AD69" s="18"/>
      <c r="AE69" s="21"/>
      <c r="AF69" s="18"/>
      <c r="AG69" s="21"/>
      <c r="AH69" s="18"/>
      <c r="AI69" s="18"/>
      <c r="AJ69" s="18"/>
      <c r="AK69" s="19" t="s">
        <v>75</v>
      </c>
      <c r="AL69" s="18"/>
      <c r="AM69" s="18"/>
      <c r="AN69" s="18"/>
      <c r="AO69" s="18"/>
      <c r="AP69" s="22" t="s">
        <v>56</v>
      </c>
      <c r="AQ69" s="18"/>
    </row>
    <row r="70">
      <c r="A70" s="11" t="s">
        <v>433</v>
      </c>
      <c r="B70" s="11" t="s">
        <v>434</v>
      </c>
      <c r="C70" s="11" t="str">
        <f>VLOOKUP(A70,import!A:C,3,0)</f>
        <v>DOĞRU</v>
      </c>
      <c r="D70" s="11" t="s">
        <v>172</v>
      </c>
      <c r="E70" s="11">
        <f>VLOOKUP(A70,import!A:J,5,0)</f>
        <v>2113</v>
      </c>
      <c r="F70" s="11">
        <f>VLOOKUP(A70,import!A:J,6,0)</f>
        <v>59</v>
      </c>
      <c r="G70" s="11">
        <f>VLOOKUP(A70,import!A:J,7,0)</f>
        <v>0</v>
      </c>
      <c r="H70" s="11">
        <f>VLOOKUP(A70,import!A:J,8,0)</f>
        <v>17</v>
      </c>
      <c r="I70" s="11">
        <f>VLOOKUP(A70,import!A:J,9,0)</f>
        <v>17</v>
      </c>
      <c r="J70" s="12">
        <f>VLOOKUP(A70,import!A:J,10,0)</f>
        <v>0</v>
      </c>
      <c r="K70" s="11" t="s">
        <v>435</v>
      </c>
      <c r="L70" s="11">
        <v>3.522335931E9</v>
      </c>
      <c r="M70" s="11" t="s">
        <v>47</v>
      </c>
      <c r="N70" s="11" t="s">
        <v>271</v>
      </c>
      <c r="O70" s="11" t="s">
        <v>436</v>
      </c>
      <c r="P70" s="11" t="str">
        <f>VLOOKUP(A70,import!A:P,16,0)</f>
        <v>Geleneksel</v>
      </c>
      <c r="Q70" s="13"/>
      <c r="R70" s="13" t="b">
        <v>1</v>
      </c>
      <c r="S70" s="13" t="b">
        <v>0</v>
      </c>
      <c r="T70" s="14" t="s">
        <v>74</v>
      </c>
      <c r="U70" s="14" t="s">
        <v>437</v>
      </c>
      <c r="V70" s="14" t="s">
        <v>96</v>
      </c>
      <c r="W70" s="14" t="s">
        <v>438</v>
      </c>
      <c r="X70" s="24">
        <v>44358.0</v>
      </c>
      <c r="Y70" s="24">
        <v>44361.0</v>
      </c>
      <c r="Z70" s="18"/>
      <c r="AA70" s="29" t="s">
        <v>347</v>
      </c>
      <c r="AB70" s="20">
        <v>44354.0</v>
      </c>
      <c r="AC70" s="19" t="s">
        <v>53</v>
      </c>
      <c r="AD70" s="20">
        <v>44358.0</v>
      </c>
      <c r="AE70" s="19" t="s">
        <v>54</v>
      </c>
      <c r="AF70" s="20">
        <v>44358.0</v>
      </c>
      <c r="AG70" s="21"/>
      <c r="AH70" s="18"/>
      <c r="AI70" s="18"/>
      <c r="AJ70" s="18"/>
      <c r="AK70" s="19" t="s">
        <v>79</v>
      </c>
      <c r="AL70" s="19" t="s">
        <v>55</v>
      </c>
      <c r="AM70" s="19" t="s">
        <v>437</v>
      </c>
      <c r="AN70" s="18"/>
      <c r="AO70" s="18"/>
      <c r="AP70" s="22" t="s">
        <v>56</v>
      </c>
      <c r="AQ70" s="18"/>
    </row>
    <row r="71">
      <c r="A71" s="11" t="s">
        <v>439</v>
      </c>
      <c r="B71" s="11" t="s">
        <v>440</v>
      </c>
      <c r="C71" s="11" t="str">
        <f>VLOOKUP(A71,import!A:C,3,0)</f>
        <v>DOĞRU</v>
      </c>
      <c r="D71" s="11" t="s">
        <v>172</v>
      </c>
      <c r="E71" s="11">
        <f>VLOOKUP(A71,import!A:J,5,0)</f>
        <v>529</v>
      </c>
      <c r="F71" s="11" t="str">
        <f>VLOOKUP(A71,import!A:J,6,0)</f>
        <v/>
      </c>
      <c r="G71" s="11">
        <f>VLOOKUP(A71,import!A:J,7,0)</f>
        <v>7</v>
      </c>
      <c r="H71" s="11">
        <f>VLOOKUP(A71,import!A:J,8,0)</f>
        <v>8</v>
      </c>
      <c r="I71" s="11">
        <f>VLOOKUP(A71,import!A:J,9,0)</f>
        <v>15</v>
      </c>
      <c r="J71" s="12">
        <f>VLOOKUP(A71,import!A:J,10,0)</f>
        <v>0.47</v>
      </c>
      <c r="K71" s="11" t="s">
        <v>441</v>
      </c>
      <c r="L71" s="11">
        <v>3.525033404E9</v>
      </c>
      <c r="M71" s="11" t="s">
        <v>71</v>
      </c>
      <c r="N71" s="11" t="s">
        <v>442</v>
      </c>
      <c r="O71" s="11" t="s">
        <v>443</v>
      </c>
      <c r="P71" s="11" t="str">
        <f>VLOOKUP(A71,import!A:P,16,0)</f>
        <v>Geleneksel</v>
      </c>
      <c r="Q71" s="13"/>
      <c r="R71" s="13" t="b">
        <v>1</v>
      </c>
      <c r="S71" s="13" t="b">
        <v>0</v>
      </c>
      <c r="T71" s="14" t="s">
        <v>74</v>
      </c>
      <c r="U71" s="14" t="s">
        <v>95</v>
      </c>
      <c r="V71" s="15"/>
      <c r="W71" s="14" t="s">
        <v>444</v>
      </c>
      <c r="X71" s="24">
        <v>44344.0</v>
      </c>
      <c r="Y71" s="24">
        <v>44348.0</v>
      </c>
      <c r="Z71" s="18"/>
      <c r="AA71" s="18"/>
      <c r="AB71" s="18"/>
      <c r="AC71" s="18"/>
      <c r="AD71" s="18"/>
      <c r="AE71" s="21"/>
      <c r="AF71" s="18"/>
      <c r="AG71" s="21"/>
      <c r="AH71" s="18"/>
      <c r="AI71" s="18"/>
      <c r="AJ71" s="18"/>
      <c r="AK71" s="18"/>
      <c r="AL71" s="18"/>
      <c r="AM71" s="18"/>
      <c r="AN71" s="18"/>
      <c r="AO71" s="18"/>
      <c r="AP71" s="22" t="s">
        <v>56</v>
      </c>
      <c r="AQ71" s="18"/>
    </row>
    <row r="72">
      <c r="A72" s="11" t="s">
        <v>445</v>
      </c>
      <c r="B72" s="11" t="s">
        <v>446</v>
      </c>
      <c r="C72" s="11" t="str">
        <f>VLOOKUP(A72,import!A:C,3,0)</f>
        <v>DOĞRU</v>
      </c>
      <c r="D72" s="11" t="s">
        <v>172</v>
      </c>
      <c r="E72" s="11">
        <f>VLOOKUP(A72,import!A:J,5,0)</f>
        <v>433</v>
      </c>
      <c r="F72" s="11" t="str">
        <f>VLOOKUP(A72,import!A:J,6,0)</f>
        <v/>
      </c>
      <c r="G72" s="11">
        <f>VLOOKUP(A72,import!A:J,7,0)</f>
        <v>0</v>
      </c>
      <c r="H72" s="11">
        <f>VLOOKUP(A72,import!A:J,8,0)</f>
        <v>11</v>
      </c>
      <c r="I72" s="11">
        <f>VLOOKUP(A72,import!A:J,9,0)</f>
        <v>11</v>
      </c>
      <c r="J72" s="12">
        <f>VLOOKUP(A72,import!A:J,10,0)</f>
        <v>0</v>
      </c>
      <c r="K72" s="11" t="s">
        <v>447</v>
      </c>
      <c r="L72" s="11">
        <v>3.525020306E9</v>
      </c>
      <c r="M72" s="11" t="s">
        <v>47</v>
      </c>
      <c r="N72" s="11" t="s">
        <v>448</v>
      </c>
      <c r="O72" s="11" t="s">
        <v>449</v>
      </c>
      <c r="P72" s="11" t="str">
        <f>VLOOKUP(A72,import!A:P,16,0)</f>
        <v>Geleneksel</v>
      </c>
      <c r="Q72" s="13"/>
      <c r="R72" s="13" t="b">
        <v>1</v>
      </c>
      <c r="S72" s="13" t="b">
        <v>1</v>
      </c>
      <c r="T72" s="14"/>
      <c r="U72" s="14" t="s">
        <v>140</v>
      </c>
      <c r="V72" s="29" t="s">
        <v>76</v>
      </c>
      <c r="W72" s="14" t="s">
        <v>450</v>
      </c>
      <c r="X72" s="24">
        <v>44586.0</v>
      </c>
      <c r="Y72" s="24">
        <v>44587.0</v>
      </c>
      <c r="Z72" s="18"/>
      <c r="AA72" s="19" t="s">
        <v>54</v>
      </c>
      <c r="AB72" s="20">
        <v>44586.0</v>
      </c>
      <c r="AC72" s="19" t="s">
        <v>54</v>
      </c>
      <c r="AD72" s="20">
        <v>44636.0</v>
      </c>
      <c r="AE72" s="21"/>
      <c r="AF72" s="18"/>
      <c r="AG72" s="21"/>
      <c r="AH72" s="18"/>
      <c r="AI72" s="18"/>
      <c r="AJ72" s="18"/>
      <c r="AK72" s="19" t="s">
        <v>140</v>
      </c>
      <c r="AL72" s="19" t="s">
        <v>110</v>
      </c>
      <c r="AM72" s="18"/>
      <c r="AN72" s="18"/>
      <c r="AO72" s="18"/>
      <c r="AP72" s="22" t="s">
        <v>56</v>
      </c>
      <c r="AQ72" s="18"/>
    </row>
    <row r="73">
      <c r="A73" s="11" t="s">
        <v>451</v>
      </c>
      <c r="B73" s="11" t="s">
        <v>452</v>
      </c>
      <c r="C73" s="11" t="str">
        <f>VLOOKUP(A73,import!A:C,3,0)</f>
        <v>DOĞRU</v>
      </c>
      <c r="D73" s="11" t="s">
        <v>453</v>
      </c>
      <c r="E73" s="11">
        <f>VLOOKUP(A73,import!A:J,5,0)</f>
        <v>51</v>
      </c>
      <c r="F73" s="11">
        <f>VLOOKUP(A73,import!A:J,6,0)</f>
        <v>7</v>
      </c>
      <c r="G73" s="11">
        <f>VLOOKUP(A73,import!A:J,7,0)</f>
        <v>9</v>
      </c>
      <c r="H73" s="11">
        <f>VLOOKUP(A73,import!A:J,8,0)</f>
        <v>38</v>
      </c>
      <c r="I73" s="11">
        <f>VLOOKUP(A73,import!A:J,9,0)</f>
        <v>47</v>
      </c>
      <c r="J73" s="12">
        <f>VLOOKUP(A73,import!A:J,10,0)</f>
        <v>0.19</v>
      </c>
      <c r="K73" s="11" t="s">
        <v>454</v>
      </c>
      <c r="L73" s="11">
        <v>5.51039605E9</v>
      </c>
      <c r="M73" s="11" t="s">
        <v>61</v>
      </c>
      <c r="N73" s="11" t="s">
        <v>250</v>
      </c>
      <c r="O73" s="11" t="s">
        <v>455</v>
      </c>
      <c r="P73" s="11" t="str">
        <f>VLOOKUP(A73,import!A:P,16,0)</f>
        <v>Geleneksel</v>
      </c>
      <c r="Q73" s="13"/>
      <c r="R73" s="13" t="b">
        <v>1</v>
      </c>
      <c r="S73" s="13" t="b">
        <v>0</v>
      </c>
      <c r="T73" s="14" t="s">
        <v>74</v>
      </c>
      <c r="U73" s="14" t="s">
        <v>86</v>
      </c>
      <c r="V73" s="14"/>
      <c r="W73" s="14" t="s">
        <v>456</v>
      </c>
      <c r="X73" s="24">
        <v>44593.0</v>
      </c>
      <c r="Y73" s="24">
        <v>44594.0</v>
      </c>
      <c r="Z73" s="18"/>
      <c r="AA73" s="19" t="s">
        <v>54</v>
      </c>
      <c r="AB73" s="20">
        <v>44593.0</v>
      </c>
      <c r="AC73" s="19" t="s">
        <v>54</v>
      </c>
      <c r="AD73" s="20">
        <v>44642.0</v>
      </c>
      <c r="AE73" s="21"/>
      <c r="AF73" s="18"/>
      <c r="AG73" s="21"/>
      <c r="AH73" s="18"/>
      <c r="AI73" s="18"/>
      <c r="AJ73" s="18"/>
      <c r="AK73" s="19" t="s">
        <v>86</v>
      </c>
      <c r="AL73" s="19" t="s">
        <v>75</v>
      </c>
      <c r="AM73" s="18"/>
      <c r="AN73" s="18"/>
      <c r="AO73" s="18"/>
      <c r="AP73" s="22"/>
      <c r="AQ73" s="18"/>
    </row>
    <row r="74">
      <c r="A74" s="11" t="s">
        <v>457</v>
      </c>
      <c r="B74" s="11" t="s">
        <v>458</v>
      </c>
      <c r="C74" s="11" t="str">
        <f>VLOOKUP(A74,import!A:C,3,0)</f>
        <v>DOĞRU</v>
      </c>
      <c r="D74" s="11" t="s">
        <v>69</v>
      </c>
      <c r="E74" s="11">
        <f>VLOOKUP(A74,import!A:J,5,0)</f>
        <v>50</v>
      </c>
      <c r="F74" s="11">
        <f>VLOOKUP(A74,import!A:J,6,0)</f>
        <v>36</v>
      </c>
      <c r="G74" s="11">
        <f>VLOOKUP(A74,import!A:J,7,0)</f>
        <v>0</v>
      </c>
      <c r="H74" s="11">
        <f>VLOOKUP(A74,import!A:J,8,0)</f>
        <v>13</v>
      </c>
      <c r="I74" s="11">
        <f>VLOOKUP(A74,import!A:J,9,0)</f>
        <v>13</v>
      </c>
      <c r="J74" s="12">
        <f>VLOOKUP(A74,import!A:J,10,0)</f>
        <v>0</v>
      </c>
      <c r="K74" s="11" t="s">
        <v>459</v>
      </c>
      <c r="L74" s="11">
        <v>5.495092224E9</v>
      </c>
      <c r="M74" s="11" t="s">
        <v>61</v>
      </c>
      <c r="N74" s="11" t="s">
        <v>62</v>
      </c>
      <c r="O74" s="11" t="s">
        <v>460</v>
      </c>
      <c r="P74" s="11" t="str">
        <f>VLOOKUP(A74,import!A:P,16,0)</f>
        <v>Geleneksel</v>
      </c>
      <c r="Q74" s="13"/>
      <c r="R74" s="13" t="b">
        <v>0</v>
      </c>
      <c r="S74" s="13" t="b">
        <v>0</v>
      </c>
      <c r="T74" s="14"/>
      <c r="U74" s="14"/>
      <c r="V74" s="14"/>
      <c r="W74" s="16" t="s">
        <v>461</v>
      </c>
      <c r="X74" s="24"/>
      <c r="Y74" s="24"/>
      <c r="Z74" s="18"/>
      <c r="AA74" s="29"/>
      <c r="AB74" s="20"/>
      <c r="AC74" s="19"/>
      <c r="AD74" s="20"/>
      <c r="AE74" s="19"/>
      <c r="AF74" s="20"/>
      <c r="AG74" s="21"/>
      <c r="AH74" s="18"/>
      <c r="AI74" s="18"/>
      <c r="AJ74" s="18"/>
      <c r="AK74" s="19"/>
      <c r="AL74" s="19"/>
      <c r="AM74" s="19"/>
      <c r="AN74" s="18"/>
      <c r="AO74" s="18"/>
      <c r="AP74" s="22"/>
      <c r="AQ74" s="18"/>
    </row>
    <row r="75">
      <c r="A75" s="11" t="s">
        <v>462</v>
      </c>
      <c r="B75" s="11" t="s">
        <v>463</v>
      </c>
      <c r="C75" s="11" t="str">
        <f>VLOOKUP(A75,import!A:C,3,0)</f>
        <v>DOĞRU</v>
      </c>
      <c r="D75" s="11" t="s">
        <v>69</v>
      </c>
      <c r="E75" s="11">
        <f>VLOOKUP(A75,import!A:J,5,0)</f>
        <v>249</v>
      </c>
      <c r="F75" s="11">
        <f>VLOOKUP(A75,import!A:J,6,0)</f>
        <v>40</v>
      </c>
      <c r="G75" s="11">
        <f>VLOOKUP(A75,import!A:J,7,0)</f>
        <v>2</v>
      </c>
      <c r="H75" s="11">
        <f>VLOOKUP(A75,import!A:J,8,0)</f>
        <v>3</v>
      </c>
      <c r="I75" s="11">
        <f>VLOOKUP(A75,import!A:J,9,0)</f>
        <v>5</v>
      </c>
      <c r="J75" s="12">
        <f>VLOOKUP(A75,import!A:J,10,0)</f>
        <v>0.4</v>
      </c>
      <c r="K75" s="11" t="s">
        <v>464</v>
      </c>
      <c r="L75" s="11">
        <v>5.418372177E9</v>
      </c>
      <c r="M75" s="11" t="s">
        <v>71</v>
      </c>
      <c r="N75" s="11" t="s">
        <v>224</v>
      </c>
      <c r="O75" s="11" t="s">
        <v>465</v>
      </c>
      <c r="P75" s="11" t="str">
        <f>VLOOKUP(A75,import!A:P,16,0)</f>
        <v>Geleneksel</v>
      </c>
      <c r="Q75" s="13"/>
      <c r="R75" s="13" t="b">
        <v>1</v>
      </c>
      <c r="S75" s="13" t="b">
        <v>0</v>
      </c>
      <c r="T75" s="14" t="s">
        <v>74</v>
      </c>
      <c r="U75" s="14" t="s">
        <v>80</v>
      </c>
      <c r="V75" s="14"/>
      <c r="W75" s="14"/>
      <c r="X75" s="24">
        <v>44623.0</v>
      </c>
      <c r="Y75" s="24">
        <v>44624.0</v>
      </c>
      <c r="Z75" s="18"/>
      <c r="AA75" s="29" t="s">
        <v>53</v>
      </c>
      <c r="AB75" s="20">
        <v>44613.0</v>
      </c>
      <c r="AC75" s="19" t="s">
        <v>54</v>
      </c>
      <c r="AD75" s="20">
        <v>44623.0</v>
      </c>
      <c r="AE75" s="21"/>
      <c r="AF75" s="18"/>
      <c r="AG75" s="21"/>
      <c r="AH75" s="18"/>
      <c r="AI75" s="18"/>
      <c r="AJ75" s="18"/>
      <c r="AK75" s="19" t="s">
        <v>66</v>
      </c>
      <c r="AL75" s="19" t="s">
        <v>80</v>
      </c>
      <c r="AM75" s="18"/>
      <c r="AN75" s="18"/>
      <c r="AO75" s="18"/>
      <c r="AP75" s="22" t="s">
        <v>56</v>
      </c>
      <c r="AQ75" s="18"/>
    </row>
    <row r="76">
      <c r="A76" s="11" t="s">
        <v>466</v>
      </c>
      <c r="B76" s="11" t="s">
        <v>467</v>
      </c>
      <c r="C76" s="11" t="str">
        <f>VLOOKUP(A76,import!A:C,3,0)</f>
        <v>YANLIŞ</v>
      </c>
      <c r="D76" s="11" t="s">
        <v>69</v>
      </c>
      <c r="E76" s="11" t="str">
        <f>VLOOKUP(A76,import!A:J,5,0)</f>
        <v/>
      </c>
      <c r="F76" s="11" t="str">
        <f>VLOOKUP(A76,import!A:J,6,0)</f>
        <v/>
      </c>
      <c r="G76" s="11">
        <f>VLOOKUP(A76,import!A:J,7,0)</f>
        <v>0</v>
      </c>
      <c r="H76" s="11">
        <f>VLOOKUP(A76,import!A:J,8,0)</f>
        <v>13</v>
      </c>
      <c r="I76" s="11">
        <f>VLOOKUP(A76,import!A:J,9,0)</f>
        <v>13</v>
      </c>
      <c r="J76" s="12">
        <f>VLOOKUP(A76,import!A:J,10,0)</f>
        <v>0</v>
      </c>
      <c r="K76" s="11" t="s">
        <v>468</v>
      </c>
      <c r="L76" s="11">
        <v>5.418978731E9</v>
      </c>
      <c r="M76" s="11" t="s">
        <v>71</v>
      </c>
      <c r="N76" s="11" t="s">
        <v>179</v>
      </c>
      <c r="O76" s="11" t="s">
        <v>469</v>
      </c>
      <c r="P76" s="11" t="str">
        <f>VLOOKUP(A76,import!A:P,16,0)</f>
        <v>Geleneksel</v>
      </c>
      <c r="Q76" s="13"/>
      <c r="R76" s="13" t="b">
        <v>1</v>
      </c>
      <c r="S76" s="13" t="b">
        <v>0</v>
      </c>
      <c r="T76" s="14" t="s">
        <v>470</v>
      </c>
      <c r="U76" s="14" t="s">
        <v>75</v>
      </c>
      <c r="V76" s="30" t="s">
        <v>76</v>
      </c>
      <c r="W76" s="14"/>
      <c r="X76" s="24">
        <v>44648.0</v>
      </c>
      <c r="Y76" s="24">
        <v>44652.0</v>
      </c>
      <c r="Z76" s="18"/>
      <c r="AA76" s="19" t="s">
        <v>54</v>
      </c>
      <c r="AB76" s="24">
        <v>44648.0</v>
      </c>
      <c r="AC76" s="19"/>
      <c r="AD76" s="20"/>
      <c r="AE76" s="19"/>
      <c r="AF76" s="20"/>
      <c r="AG76" s="21"/>
      <c r="AH76" s="18"/>
      <c r="AI76" s="18"/>
      <c r="AJ76" s="18"/>
      <c r="AK76" s="19" t="s">
        <v>75</v>
      </c>
      <c r="AL76" s="19"/>
      <c r="AM76" s="19"/>
      <c r="AN76" s="18"/>
      <c r="AO76" s="18"/>
      <c r="AP76" s="22"/>
      <c r="AQ76" s="18"/>
    </row>
    <row r="77">
      <c r="A77" s="11" t="s">
        <v>471</v>
      </c>
      <c r="B77" s="11" t="s">
        <v>472</v>
      </c>
      <c r="C77" s="11" t="str">
        <f>VLOOKUP(A77,import!A:C,3,0)</f>
        <v>DOĞRU</v>
      </c>
      <c r="D77" s="11" t="s">
        <v>69</v>
      </c>
      <c r="E77" s="11">
        <f>VLOOKUP(A77,import!A:J,5,0)</f>
        <v>746</v>
      </c>
      <c r="F77" s="11">
        <f>VLOOKUP(A77,import!A:J,6,0)</f>
        <v>95</v>
      </c>
      <c r="G77" s="11">
        <f>VLOOKUP(A77,import!A:J,7,0)</f>
        <v>0</v>
      </c>
      <c r="H77" s="11">
        <f>VLOOKUP(A77,import!A:J,8,0)</f>
        <v>69</v>
      </c>
      <c r="I77" s="11">
        <f>VLOOKUP(A77,import!A:J,9,0)</f>
        <v>69</v>
      </c>
      <c r="J77" s="12">
        <f>VLOOKUP(A77,import!A:J,10,0)</f>
        <v>0</v>
      </c>
      <c r="K77" s="11" t="s">
        <v>332</v>
      </c>
      <c r="L77" s="11">
        <v>5.372150556E9</v>
      </c>
      <c r="M77" s="11" t="s">
        <v>71</v>
      </c>
      <c r="N77" s="11" t="s">
        <v>265</v>
      </c>
      <c r="O77" s="11" t="s">
        <v>473</v>
      </c>
      <c r="P77" s="11" t="str">
        <f>VLOOKUP(A77,import!A:P,16,0)</f>
        <v>Geleneksel</v>
      </c>
      <c r="Q77" s="13"/>
      <c r="R77" s="13" t="b">
        <v>1</v>
      </c>
      <c r="S77" s="13" t="b">
        <v>0</v>
      </c>
      <c r="T77" s="14" t="s">
        <v>168</v>
      </c>
      <c r="U77" s="14"/>
      <c r="V77" s="14"/>
      <c r="W77" s="14" t="s">
        <v>474</v>
      </c>
      <c r="X77" s="24"/>
      <c r="Y77" s="24"/>
      <c r="Z77" s="18"/>
      <c r="AA77" s="19" t="s">
        <v>54</v>
      </c>
      <c r="AB77" s="20">
        <v>44611.0</v>
      </c>
      <c r="AC77" s="19" t="s">
        <v>54</v>
      </c>
      <c r="AD77" s="20">
        <v>44646.0</v>
      </c>
      <c r="AE77" s="21"/>
      <c r="AF77" s="18"/>
      <c r="AG77" s="21"/>
      <c r="AH77" s="18"/>
      <c r="AI77" s="18"/>
      <c r="AJ77" s="18"/>
      <c r="AK77" s="19" t="s">
        <v>381</v>
      </c>
      <c r="AL77" s="19" t="s">
        <v>110</v>
      </c>
      <c r="AM77" s="18"/>
      <c r="AN77" s="18"/>
      <c r="AO77" s="18"/>
      <c r="AP77" s="22" t="s">
        <v>56</v>
      </c>
      <c r="AQ77" s="18"/>
    </row>
    <row r="78">
      <c r="A78" s="11" t="s">
        <v>475</v>
      </c>
      <c r="B78" s="11" t="s">
        <v>476</v>
      </c>
      <c r="C78" s="11" t="str">
        <f>VLOOKUP(A78,import!A:C,3,0)</f>
        <v>DOĞRU</v>
      </c>
      <c r="D78" s="11" t="s">
        <v>69</v>
      </c>
      <c r="E78" s="11">
        <f>VLOOKUP(A78,import!A:J,5,0)</f>
        <v>1317</v>
      </c>
      <c r="F78" s="11">
        <f>VLOOKUP(A78,import!A:J,6,0)</f>
        <v>30</v>
      </c>
      <c r="G78" s="11">
        <f>VLOOKUP(A78,import!A:J,7,0)</f>
        <v>0</v>
      </c>
      <c r="H78" s="11">
        <f>VLOOKUP(A78,import!A:J,8,0)</f>
        <v>55</v>
      </c>
      <c r="I78" s="11">
        <f>VLOOKUP(A78,import!A:J,9,0)</f>
        <v>55</v>
      </c>
      <c r="J78" s="12">
        <f>VLOOKUP(A78,import!A:J,10,0)</f>
        <v>0</v>
      </c>
      <c r="K78" s="11" t="s">
        <v>332</v>
      </c>
      <c r="L78" s="11">
        <v>5.454619844E9</v>
      </c>
      <c r="M78" s="11" t="s">
        <v>47</v>
      </c>
      <c r="N78" s="11" t="s">
        <v>477</v>
      </c>
      <c r="O78" s="11" t="s">
        <v>334</v>
      </c>
      <c r="P78" s="11" t="str">
        <f>VLOOKUP(A78,import!A:P,16,0)</f>
        <v>Geleneksel</v>
      </c>
      <c r="Q78" s="13"/>
      <c r="R78" s="13" t="b">
        <v>1</v>
      </c>
      <c r="S78" s="13" t="b">
        <v>0</v>
      </c>
      <c r="T78" s="14" t="s">
        <v>53</v>
      </c>
      <c r="U78" s="14"/>
      <c r="V78" s="15"/>
      <c r="W78" s="14" t="s">
        <v>478</v>
      </c>
      <c r="X78" s="24"/>
      <c r="Y78" s="24"/>
      <c r="Z78" s="18"/>
      <c r="AA78" s="19" t="s">
        <v>54</v>
      </c>
      <c r="AB78" s="20">
        <v>44358.0</v>
      </c>
      <c r="AC78" s="19" t="s">
        <v>53</v>
      </c>
      <c r="AD78" s="20">
        <v>44631.0</v>
      </c>
      <c r="AE78" s="21"/>
      <c r="AF78" s="18"/>
      <c r="AG78" s="21"/>
      <c r="AH78" s="18"/>
      <c r="AI78" s="18"/>
      <c r="AJ78" s="18"/>
      <c r="AK78" s="19" t="s">
        <v>437</v>
      </c>
      <c r="AL78" s="19" t="s">
        <v>86</v>
      </c>
      <c r="AM78" s="18"/>
      <c r="AN78" s="18"/>
      <c r="AO78" s="18"/>
      <c r="AP78" s="22" t="s">
        <v>56</v>
      </c>
      <c r="AQ78" s="18"/>
    </row>
    <row r="79">
      <c r="A79" s="11" t="s">
        <v>479</v>
      </c>
      <c r="B79" s="11" t="s">
        <v>480</v>
      </c>
      <c r="C79" s="11" t="str">
        <f>VLOOKUP(A79,import!A:C,3,0)</f>
        <v>DOĞRU</v>
      </c>
      <c r="D79" s="11" t="s">
        <v>69</v>
      </c>
      <c r="E79" s="11">
        <f>VLOOKUP(A79,import!A:J,5,0)</f>
        <v>117</v>
      </c>
      <c r="F79" s="11">
        <f>VLOOKUP(A79,import!A:J,6,0)</f>
        <v>8</v>
      </c>
      <c r="G79" s="11">
        <f>VLOOKUP(A79,import!A:J,7,0)</f>
        <v>3</v>
      </c>
      <c r="H79" s="11">
        <f>VLOOKUP(A79,import!A:J,8,0)</f>
        <v>20</v>
      </c>
      <c r="I79" s="11">
        <f>VLOOKUP(A79,import!A:J,9,0)</f>
        <v>23</v>
      </c>
      <c r="J79" s="12">
        <f>VLOOKUP(A79,import!A:J,10,0)</f>
        <v>0.13</v>
      </c>
      <c r="K79" s="11" t="s">
        <v>481</v>
      </c>
      <c r="L79" s="11">
        <v>5.45554196E9</v>
      </c>
      <c r="M79" s="11" t="s">
        <v>47</v>
      </c>
      <c r="N79" s="11" t="s">
        <v>482</v>
      </c>
      <c r="O79" s="11" t="s">
        <v>483</v>
      </c>
      <c r="P79" s="11" t="str">
        <f>VLOOKUP(A79,import!A:P,16,0)</f>
        <v>Geleneksel</v>
      </c>
      <c r="Q79" s="13"/>
      <c r="R79" s="13" t="b">
        <v>1</v>
      </c>
      <c r="S79" s="13" t="b">
        <v>0</v>
      </c>
      <c r="T79" s="14" t="s">
        <v>74</v>
      </c>
      <c r="U79" s="14" t="s">
        <v>127</v>
      </c>
      <c r="V79" s="14" t="s">
        <v>76</v>
      </c>
      <c r="W79" s="14"/>
      <c r="X79" s="24">
        <v>44595.0</v>
      </c>
      <c r="Y79" s="24">
        <v>44599.0</v>
      </c>
      <c r="Z79" s="18"/>
      <c r="AA79" s="19" t="s">
        <v>54</v>
      </c>
      <c r="AB79" s="20">
        <v>44595.0</v>
      </c>
      <c r="AC79" s="19"/>
      <c r="AD79" s="20"/>
      <c r="AE79" s="21"/>
      <c r="AF79" s="18"/>
      <c r="AG79" s="21"/>
      <c r="AH79" s="18"/>
      <c r="AI79" s="18"/>
      <c r="AJ79" s="18"/>
      <c r="AK79" s="19" t="s">
        <v>127</v>
      </c>
      <c r="AL79" s="19"/>
      <c r="AM79" s="18"/>
      <c r="AN79" s="18"/>
      <c r="AO79" s="18"/>
      <c r="AP79" s="22" t="s">
        <v>56</v>
      </c>
      <c r="AQ79" s="18"/>
    </row>
    <row r="80">
      <c r="A80" s="11" t="s">
        <v>484</v>
      </c>
      <c r="B80" s="11" t="s">
        <v>485</v>
      </c>
      <c r="C80" s="11" t="str">
        <f>VLOOKUP(A80,import!A:C,3,0)</f>
        <v>DOĞRU</v>
      </c>
      <c r="D80" s="11" t="s">
        <v>69</v>
      </c>
      <c r="E80" s="11">
        <f>VLOOKUP(A80,import!A:J,5,0)</f>
        <v>997</v>
      </c>
      <c r="F80" s="11">
        <f>VLOOKUP(A80,import!A:J,6,0)</f>
        <v>65</v>
      </c>
      <c r="G80" s="11">
        <f>VLOOKUP(A80,import!A:J,7,0)</f>
        <v>14</v>
      </c>
      <c r="H80" s="11">
        <f>VLOOKUP(A80,import!A:J,8,0)</f>
        <v>54</v>
      </c>
      <c r="I80" s="11">
        <f>VLOOKUP(A80,import!A:J,9,0)</f>
        <v>68</v>
      </c>
      <c r="J80" s="12">
        <f>VLOOKUP(A80,import!A:J,10,0)</f>
        <v>0.21</v>
      </c>
      <c r="K80" s="11" t="s">
        <v>486</v>
      </c>
      <c r="L80" s="11">
        <v>3.523323221E9</v>
      </c>
      <c r="M80" s="11" t="s">
        <v>47</v>
      </c>
      <c r="N80" s="11" t="s">
        <v>277</v>
      </c>
      <c r="O80" s="11" t="s">
        <v>487</v>
      </c>
      <c r="P80" s="11" t="str">
        <f>VLOOKUP(A80,import!A:P,16,0)</f>
        <v>Geleneksel</v>
      </c>
      <c r="Q80" s="13"/>
      <c r="R80" s="13" t="b">
        <v>1</v>
      </c>
      <c r="S80" s="13" t="b">
        <v>0</v>
      </c>
      <c r="T80" s="14" t="s">
        <v>74</v>
      </c>
      <c r="U80" s="14" t="s">
        <v>381</v>
      </c>
      <c r="V80" s="39" t="s">
        <v>76</v>
      </c>
      <c r="W80" s="14" t="s">
        <v>488</v>
      </c>
      <c r="X80" s="24">
        <v>44586.0</v>
      </c>
      <c r="Y80" s="24">
        <v>44587.0</v>
      </c>
      <c r="Z80" s="18"/>
      <c r="AA80" s="19" t="s">
        <v>54</v>
      </c>
      <c r="AB80" s="20">
        <v>44586.0</v>
      </c>
      <c r="AC80" s="18"/>
      <c r="AD80" s="18"/>
      <c r="AE80" s="21"/>
      <c r="AF80" s="18"/>
      <c r="AG80" s="21"/>
      <c r="AH80" s="18"/>
      <c r="AI80" s="18"/>
      <c r="AJ80" s="18"/>
      <c r="AK80" s="19" t="s">
        <v>381</v>
      </c>
      <c r="AL80" s="18"/>
      <c r="AM80" s="18"/>
      <c r="AN80" s="18"/>
      <c r="AO80" s="18"/>
      <c r="AP80" s="22" t="s">
        <v>56</v>
      </c>
      <c r="AQ80" s="18"/>
    </row>
    <row r="81">
      <c r="A81" s="11" t="s">
        <v>489</v>
      </c>
      <c r="B81" s="11" t="s">
        <v>490</v>
      </c>
      <c r="C81" s="11" t="str">
        <f>VLOOKUP(A81,import!A:C,3,0)</f>
        <v>DOĞRU</v>
      </c>
      <c r="D81" s="11" t="s">
        <v>69</v>
      </c>
      <c r="E81" s="11">
        <f>VLOOKUP(A81,import!A:J,5,0)</f>
        <v>1395</v>
      </c>
      <c r="F81" s="11">
        <f>VLOOKUP(A81,import!A:J,6,0)</f>
        <v>109</v>
      </c>
      <c r="G81" s="11">
        <f>VLOOKUP(A81,import!A:J,7,0)</f>
        <v>0</v>
      </c>
      <c r="H81" s="11">
        <f>VLOOKUP(A81,import!A:J,8,0)</f>
        <v>63</v>
      </c>
      <c r="I81" s="11">
        <f>VLOOKUP(A81,import!A:J,9,0)</f>
        <v>63</v>
      </c>
      <c r="J81" s="12">
        <f>VLOOKUP(A81,import!A:J,10,0)</f>
        <v>0</v>
      </c>
      <c r="K81" s="11" t="s">
        <v>332</v>
      </c>
      <c r="L81" s="11">
        <v>3.52408863E9</v>
      </c>
      <c r="M81" s="11" t="s">
        <v>47</v>
      </c>
      <c r="N81" s="11" t="s">
        <v>125</v>
      </c>
      <c r="O81" s="11" t="s">
        <v>491</v>
      </c>
      <c r="P81" s="11" t="str">
        <f>VLOOKUP(A81,import!A:P,16,0)</f>
        <v>Geleneksel</v>
      </c>
      <c r="Q81" s="13"/>
      <c r="R81" s="13" t="b">
        <v>1</v>
      </c>
      <c r="S81" s="13" t="b">
        <v>0</v>
      </c>
      <c r="T81" s="14" t="s">
        <v>50</v>
      </c>
      <c r="U81" s="15"/>
      <c r="V81" s="40"/>
      <c r="W81" s="14" t="s">
        <v>492</v>
      </c>
      <c r="X81" s="17"/>
      <c r="Y81" s="17"/>
      <c r="Z81" s="18"/>
      <c r="AA81" s="18"/>
      <c r="AB81" s="18"/>
      <c r="AC81" s="18"/>
      <c r="AD81" s="18"/>
      <c r="AE81" s="21"/>
      <c r="AF81" s="18"/>
      <c r="AG81" s="21"/>
      <c r="AH81" s="18"/>
      <c r="AI81" s="18"/>
      <c r="AJ81" s="18"/>
      <c r="AK81" s="18"/>
      <c r="AL81" s="18"/>
      <c r="AM81" s="18"/>
      <c r="AN81" s="18"/>
      <c r="AO81" s="18"/>
      <c r="AP81" s="22" t="s">
        <v>56</v>
      </c>
      <c r="AQ81" s="18"/>
    </row>
    <row r="82">
      <c r="A82" s="22" t="s">
        <v>493</v>
      </c>
      <c r="B82" s="22" t="s">
        <v>494</v>
      </c>
      <c r="C82" s="11" t="str">
        <f>VLOOKUP(A82,import!A:C,3,0)</f>
        <v>DOĞRU</v>
      </c>
      <c r="D82" s="22" t="s">
        <v>69</v>
      </c>
      <c r="E82" s="11">
        <f>VLOOKUP(A82,import!A:J,5,0)</f>
        <v>12</v>
      </c>
      <c r="F82" s="11">
        <f>VLOOKUP(A82,import!A:J,6,0)</f>
        <v>12</v>
      </c>
      <c r="G82" s="11">
        <f>VLOOKUP(A82,import!A:J,7,0)</f>
        <v>0</v>
      </c>
      <c r="H82" s="11">
        <f>VLOOKUP(A82,import!A:J,8,0)</f>
        <v>7</v>
      </c>
      <c r="I82" s="11">
        <f>VLOOKUP(A82,import!A:J,9,0)</f>
        <v>7</v>
      </c>
      <c r="J82" s="12">
        <f>VLOOKUP(A82,import!A:J,10,0)</f>
        <v>0</v>
      </c>
      <c r="K82" s="22" t="s">
        <v>495</v>
      </c>
      <c r="L82" s="22">
        <v>5.345888618E9</v>
      </c>
      <c r="M82" s="22" t="s">
        <v>47</v>
      </c>
      <c r="N82" s="22" t="s">
        <v>496</v>
      </c>
      <c r="O82" s="22" t="s">
        <v>497</v>
      </c>
      <c r="P82" s="11" t="str">
        <f>VLOOKUP(A82,import!A:P,16,0)</f>
        <v>Geleneksel</v>
      </c>
      <c r="Q82" s="13"/>
      <c r="R82" s="13" t="b">
        <v>1</v>
      </c>
      <c r="S82" s="13" t="b">
        <v>0</v>
      </c>
      <c r="T82" s="14" t="s">
        <v>133</v>
      </c>
      <c r="U82" s="14" t="s">
        <v>110</v>
      </c>
      <c r="V82" s="29" t="s">
        <v>76</v>
      </c>
      <c r="W82" s="14"/>
      <c r="X82" s="24">
        <v>44676.0</v>
      </c>
      <c r="Y82" s="24">
        <v>44678.0</v>
      </c>
      <c r="Z82" s="18"/>
      <c r="AA82" s="19" t="s">
        <v>54</v>
      </c>
      <c r="AB82" s="20">
        <v>44676.0</v>
      </c>
      <c r="AC82" s="19"/>
      <c r="AD82" s="20"/>
      <c r="AE82" s="19"/>
      <c r="AF82" s="20"/>
      <c r="AG82" s="21"/>
      <c r="AH82" s="18"/>
      <c r="AI82" s="18"/>
      <c r="AJ82" s="18"/>
      <c r="AK82" s="19" t="s">
        <v>110</v>
      </c>
      <c r="AL82" s="19"/>
      <c r="AM82" s="19"/>
      <c r="AN82" s="18"/>
      <c r="AO82" s="18"/>
      <c r="AP82" s="22"/>
      <c r="AQ82" s="18"/>
    </row>
    <row r="83">
      <c r="A83" s="11" t="s">
        <v>498</v>
      </c>
      <c r="B83" s="11" t="s">
        <v>499</v>
      </c>
      <c r="C83" s="11" t="str">
        <f>VLOOKUP(A83,import!A:C,3,0)</f>
        <v>DOĞRU</v>
      </c>
      <c r="D83" s="11" t="s">
        <v>69</v>
      </c>
      <c r="E83" s="11">
        <f>VLOOKUP(A83,import!A:J,5,0)</f>
        <v>305</v>
      </c>
      <c r="F83" s="11">
        <f>VLOOKUP(A83,import!A:J,6,0)</f>
        <v>2</v>
      </c>
      <c r="G83" s="11">
        <f>VLOOKUP(A83,import!A:J,7,0)</f>
        <v>0</v>
      </c>
      <c r="H83" s="11">
        <f>VLOOKUP(A83,import!A:J,8,0)</f>
        <v>11</v>
      </c>
      <c r="I83" s="11">
        <f>VLOOKUP(A83,import!A:J,9,0)</f>
        <v>11</v>
      </c>
      <c r="J83" s="12">
        <f>VLOOKUP(A83,import!A:J,10,0)</f>
        <v>0</v>
      </c>
      <c r="K83" s="11" t="s">
        <v>500</v>
      </c>
      <c r="L83" s="11">
        <v>5.495092224E9</v>
      </c>
      <c r="M83" s="11" t="s">
        <v>61</v>
      </c>
      <c r="N83" s="11" t="s">
        <v>62</v>
      </c>
      <c r="O83" s="11" t="s">
        <v>501</v>
      </c>
      <c r="P83" s="11" t="str">
        <f>VLOOKUP(A83,import!A:P,16,0)</f>
        <v>Geleneksel</v>
      </c>
      <c r="Q83" s="13"/>
      <c r="R83" s="13" t="b">
        <v>1</v>
      </c>
      <c r="S83" s="13" t="b">
        <v>0</v>
      </c>
      <c r="T83" s="14" t="s">
        <v>168</v>
      </c>
      <c r="U83" s="14"/>
      <c r="V83" s="14"/>
      <c r="W83" s="14" t="s">
        <v>502</v>
      </c>
      <c r="X83" s="24"/>
      <c r="Y83" s="24"/>
      <c r="Z83" s="18"/>
      <c r="AA83" s="19" t="s">
        <v>78</v>
      </c>
      <c r="AB83" s="20">
        <v>44578.0</v>
      </c>
      <c r="AC83" s="19" t="s">
        <v>54</v>
      </c>
      <c r="AD83" s="20">
        <v>44595.0</v>
      </c>
      <c r="AE83" s="21"/>
      <c r="AF83" s="18"/>
      <c r="AG83" s="21"/>
      <c r="AH83" s="18"/>
      <c r="AI83" s="18"/>
      <c r="AJ83" s="18"/>
      <c r="AK83" s="19" t="s">
        <v>381</v>
      </c>
      <c r="AL83" s="19" t="s">
        <v>127</v>
      </c>
      <c r="AM83" s="18"/>
      <c r="AN83" s="18"/>
      <c r="AO83" s="18"/>
      <c r="AP83" s="22" t="s">
        <v>56</v>
      </c>
      <c r="AQ83" s="18"/>
    </row>
    <row r="84">
      <c r="A84" s="11" t="s">
        <v>503</v>
      </c>
      <c r="B84" s="11" t="s">
        <v>504</v>
      </c>
      <c r="C84" s="11" t="str">
        <f>VLOOKUP(A84,import!A:C,3,0)</f>
        <v>DOĞRU</v>
      </c>
      <c r="D84" s="11" t="s">
        <v>505</v>
      </c>
      <c r="E84" s="11">
        <f>VLOOKUP(A84,import!A:J,5,0)</f>
        <v>2963</v>
      </c>
      <c r="F84" s="11">
        <f>VLOOKUP(A84,import!A:J,6,0)</f>
        <v>593</v>
      </c>
      <c r="G84" s="11">
        <f>VLOOKUP(A84,import!A:J,7,0)</f>
        <v>9</v>
      </c>
      <c r="H84" s="11">
        <f>VLOOKUP(A84,import!A:J,8,0)</f>
        <v>13</v>
      </c>
      <c r="I84" s="11">
        <f>VLOOKUP(A84,import!A:J,9,0)</f>
        <v>22</v>
      </c>
      <c r="J84" s="12">
        <f>VLOOKUP(A84,import!A:J,10,0)</f>
        <v>0.41</v>
      </c>
      <c r="K84" s="11" t="s">
        <v>506</v>
      </c>
      <c r="L84" s="11">
        <v>3.522362727E9</v>
      </c>
      <c r="M84" s="11" t="s">
        <v>61</v>
      </c>
      <c r="N84" s="11" t="s">
        <v>250</v>
      </c>
      <c r="O84" s="11" t="s">
        <v>507</v>
      </c>
      <c r="P84" s="11" t="str">
        <f>VLOOKUP(A84,import!A:P,16,0)</f>
        <v>Geleneksel</v>
      </c>
      <c r="Q84" s="13"/>
      <c r="R84" s="13" t="b">
        <v>1</v>
      </c>
      <c r="S84" s="13" t="b">
        <v>0</v>
      </c>
      <c r="T84" s="14" t="s">
        <v>74</v>
      </c>
      <c r="U84" s="14" t="s">
        <v>381</v>
      </c>
      <c r="V84" s="23" t="s">
        <v>76</v>
      </c>
      <c r="W84" s="14" t="s">
        <v>508</v>
      </c>
      <c r="X84" s="24">
        <v>44593.0</v>
      </c>
      <c r="Y84" s="24">
        <v>44594.0</v>
      </c>
      <c r="Z84" s="18"/>
      <c r="AA84" s="19" t="s">
        <v>54</v>
      </c>
      <c r="AB84" s="20">
        <v>44593.0</v>
      </c>
      <c r="AC84" s="19"/>
      <c r="AD84" s="20"/>
      <c r="AE84" s="21"/>
      <c r="AF84" s="18"/>
      <c r="AG84" s="21"/>
      <c r="AH84" s="18"/>
      <c r="AI84" s="18"/>
      <c r="AJ84" s="18"/>
      <c r="AK84" s="19" t="s">
        <v>381</v>
      </c>
      <c r="AL84" s="19"/>
      <c r="AM84" s="18"/>
      <c r="AN84" s="18"/>
      <c r="AO84" s="18"/>
      <c r="AP84" s="22"/>
      <c r="AQ84" s="18"/>
    </row>
    <row r="85">
      <c r="A85" s="11" t="s">
        <v>509</v>
      </c>
      <c r="B85" s="11" t="s">
        <v>510</v>
      </c>
      <c r="C85" s="11" t="str">
        <f>VLOOKUP(A85,import!A:C,3,0)</f>
        <v>DOĞRU</v>
      </c>
      <c r="D85" s="11" t="s">
        <v>505</v>
      </c>
      <c r="E85" s="11">
        <f>VLOOKUP(A85,import!A:J,5,0)</f>
        <v>10604</v>
      </c>
      <c r="F85" s="11">
        <f>VLOOKUP(A85,import!A:J,6,0)</f>
        <v>279</v>
      </c>
      <c r="G85" s="11">
        <f>VLOOKUP(A85,import!A:J,7,0)</f>
        <v>0</v>
      </c>
      <c r="H85" s="11">
        <f>VLOOKUP(A85,import!A:J,8,0)</f>
        <v>4</v>
      </c>
      <c r="I85" s="11">
        <f>VLOOKUP(A85,import!A:J,9,0)</f>
        <v>4</v>
      </c>
      <c r="J85" s="12">
        <f>VLOOKUP(A85,import!A:J,10,0)</f>
        <v>0</v>
      </c>
      <c r="K85" s="11" t="s">
        <v>511</v>
      </c>
      <c r="L85" s="11">
        <v>3.522203827E9</v>
      </c>
      <c r="M85" s="11" t="s">
        <v>71</v>
      </c>
      <c r="N85" s="11" t="s">
        <v>102</v>
      </c>
      <c r="O85" s="11" t="s">
        <v>512</v>
      </c>
      <c r="P85" s="11" t="str">
        <f>VLOOKUP(A85,import!A:P,16,0)</f>
        <v>Geleneksel</v>
      </c>
      <c r="Q85" s="13"/>
      <c r="R85" s="13" t="b">
        <v>1</v>
      </c>
      <c r="S85" s="13" t="b">
        <v>1</v>
      </c>
      <c r="T85" s="14"/>
      <c r="U85" s="14"/>
      <c r="V85" s="14"/>
      <c r="W85" s="14"/>
      <c r="X85" s="24"/>
      <c r="Y85" s="24"/>
      <c r="Z85" s="18"/>
      <c r="AA85" s="18"/>
      <c r="AB85" s="18"/>
      <c r="AC85" s="18"/>
      <c r="AD85" s="18"/>
      <c r="AE85" s="21"/>
      <c r="AF85" s="18"/>
      <c r="AG85" s="21"/>
      <c r="AH85" s="18"/>
      <c r="AI85" s="18"/>
      <c r="AJ85" s="18"/>
      <c r="AK85" s="18"/>
      <c r="AL85" s="18"/>
      <c r="AM85" s="18"/>
      <c r="AN85" s="18"/>
      <c r="AO85" s="18"/>
      <c r="AP85" s="22" t="s">
        <v>56</v>
      </c>
      <c r="AQ85" s="18"/>
    </row>
    <row r="86">
      <c r="A86" s="11" t="s">
        <v>513</v>
      </c>
      <c r="B86" s="11" t="s">
        <v>514</v>
      </c>
      <c r="C86" s="11" t="str">
        <f>VLOOKUP(A86,import!A:C,3,0)</f>
        <v>DOĞRU</v>
      </c>
      <c r="D86" s="11" t="s">
        <v>69</v>
      </c>
      <c r="E86" s="11">
        <f>VLOOKUP(A86,import!A:J,5,0)</f>
        <v>359</v>
      </c>
      <c r="F86" s="11">
        <f>VLOOKUP(A86,import!A:J,6,0)</f>
        <v>1</v>
      </c>
      <c r="G86" s="11">
        <f>VLOOKUP(A86,import!A:J,7,0)</f>
        <v>11</v>
      </c>
      <c r="H86" s="11">
        <f>VLOOKUP(A86,import!A:J,8,0)</f>
        <v>0</v>
      </c>
      <c r="I86" s="11">
        <f>VLOOKUP(A86,import!A:J,9,0)</f>
        <v>11</v>
      </c>
      <c r="J86" s="12">
        <f>VLOOKUP(A86,import!A:J,10,0)</f>
        <v>1</v>
      </c>
      <c r="K86" s="11" t="s">
        <v>515</v>
      </c>
      <c r="L86" s="11">
        <v>3.529993872E9</v>
      </c>
      <c r="M86" s="11" t="s">
        <v>61</v>
      </c>
      <c r="N86" s="11" t="s">
        <v>62</v>
      </c>
      <c r="O86" s="11" t="s">
        <v>516</v>
      </c>
      <c r="P86" s="11" t="str">
        <f>VLOOKUP(A86,import!A:P,16,0)</f>
        <v>Geleneksel</v>
      </c>
      <c r="Q86" s="13"/>
      <c r="R86" s="13" t="b">
        <v>1</v>
      </c>
      <c r="S86" s="13" t="b">
        <v>0</v>
      </c>
      <c r="T86" s="14" t="s">
        <v>74</v>
      </c>
      <c r="U86" s="41" t="s">
        <v>140</v>
      </c>
      <c r="V86" s="23" t="s">
        <v>76</v>
      </c>
      <c r="W86" s="14" t="s">
        <v>517</v>
      </c>
      <c r="X86" s="24">
        <v>44635.0</v>
      </c>
      <c r="Y86" s="24">
        <v>44641.0</v>
      </c>
      <c r="Z86" s="18"/>
      <c r="AA86" s="19" t="s">
        <v>53</v>
      </c>
      <c r="AB86" s="20">
        <v>44377.0</v>
      </c>
      <c r="AC86" s="19" t="s">
        <v>53</v>
      </c>
      <c r="AD86" s="20">
        <v>44378.0</v>
      </c>
      <c r="AE86" s="19" t="s">
        <v>53</v>
      </c>
      <c r="AF86" s="20">
        <v>44595.0</v>
      </c>
      <c r="AG86" s="19" t="s">
        <v>53</v>
      </c>
      <c r="AH86" s="20">
        <v>44635.0</v>
      </c>
      <c r="AI86" s="19" t="s">
        <v>54</v>
      </c>
      <c r="AJ86" s="20">
        <v>44635.0</v>
      </c>
      <c r="AK86" s="19" t="s">
        <v>79</v>
      </c>
      <c r="AL86" s="19" t="s">
        <v>79</v>
      </c>
      <c r="AM86" s="19" t="s">
        <v>127</v>
      </c>
      <c r="AN86" s="19" t="s">
        <v>140</v>
      </c>
      <c r="AO86" s="19" t="s">
        <v>140</v>
      </c>
      <c r="AP86" s="22" t="s">
        <v>56</v>
      </c>
      <c r="AQ86" s="18"/>
    </row>
    <row r="87">
      <c r="A87" s="11" t="s">
        <v>518</v>
      </c>
      <c r="B87" s="11" t="s">
        <v>519</v>
      </c>
      <c r="C87" s="11" t="str">
        <f>VLOOKUP(A87,import!A:C,3,0)</f>
        <v>DOĞRU</v>
      </c>
      <c r="D87" s="11" t="s">
        <v>69</v>
      </c>
      <c r="E87" s="11">
        <f>VLOOKUP(A87,import!A:J,5,0)</f>
        <v>331</v>
      </c>
      <c r="F87" s="11">
        <f>VLOOKUP(A87,import!A:J,6,0)</f>
        <v>55</v>
      </c>
      <c r="G87" s="11">
        <f>VLOOKUP(A87,import!A:J,7,0)</f>
        <v>0</v>
      </c>
      <c r="H87" s="11">
        <f>VLOOKUP(A87,import!A:J,8,0)</f>
        <v>16</v>
      </c>
      <c r="I87" s="11">
        <f>VLOOKUP(A87,import!A:J,9,0)</f>
        <v>16</v>
      </c>
      <c r="J87" s="12">
        <f>VLOOKUP(A87,import!A:J,10,0)</f>
        <v>0</v>
      </c>
      <c r="K87" s="11" t="s">
        <v>520</v>
      </c>
      <c r="L87" s="11">
        <v>3.528885355E9</v>
      </c>
      <c r="M87" s="11" t="s">
        <v>61</v>
      </c>
      <c r="N87" s="11" t="s">
        <v>62</v>
      </c>
      <c r="O87" s="11" t="s">
        <v>521</v>
      </c>
      <c r="P87" s="11" t="str">
        <f>VLOOKUP(A87,import!A:P,16,0)</f>
        <v>Geleneksel</v>
      </c>
      <c r="Q87" s="13"/>
      <c r="R87" s="13" t="b">
        <v>1</v>
      </c>
      <c r="S87" s="13" t="b">
        <v>0</v>
      </c>
      <c r="T87" s="14" t="s">
        <v>74</v>
      </c>
      <c r="U87" s="14" t="s">
        <v>75</v>
      </c>
      <c r="V87" s="23" t="s">
        <v>76</v>
      </c>
      <c r="W87" s="14" t="s">
        <v>216</v>
      </c>
      <c r="X87" s="24">
        <v>44669.0</v>
      </c>
      <c r="Y87" s="24">
        <v>44669.0</v>
      </c>
      <c r="Z87" s="18"/>
      <c r="AA87" s="19" t="s">
        <v>54</v>
      </c>
      <c r="AB87" s="20">
        <v>44593.0</v>
      </c>
      <c r="AC87" s="19" t="s">
        <v>54</v>
      </c>
      <c r="AD87" s="24">
        <v>44669.0</v>
      </c>
      <c r="AE87" s="19"/>
      <c r="AF87" s="20"/>
      <c r="AG87" s="21"/>
      <c r="AH87" s="18"/>
      <c r="AI87" s="18"/>
      <c r="AJ87" s="18"/>
      <c r="AK87" s="19" t="s">
        <v>86</v>
      </c>
      <c r="AL87" s="19" t="s">
        <v>75</v>
      </c>
      <c r="AM87" s="19"/>
      <c r="AN87" s="18"/>
      <c r="AO87" s="18"/>
      <c r="AP87" s="22"/>
      <c r="AQ87" s="18"/>
    </row>
    <row r="88">
      <c r="A88" s="11" t="s">
        <v>522</v>
      </c>
      <c r="B88" s="11" t="s">
        <v>523</v>
      </c>
      <c r="C88" s="11" t="str">
        <f>VLOOKUP(A88,import!A:C,3,0)</f>
        <v>DOĞRU</v>
      </c>
      <c r="D88" s="11" t="s">
        <v>505</v>
      </c>
      <c r="E88" s="11">
        <f>VLOOKUP(A88,import!A:J,5,0)</f>
        <v>1933</v>
      </c>
      <c r="F88" s="11">
        <f>VLOOKUP(A88,import!A:J,6,0)</f>
        <v>10</v>
      </c>
      <c r="G88" s="11">
        <f>VLOOKUP(A88,import!A:J,7,0)</f>
        <v>14</v>
      </c>
      <c r="H88" s="11">
        <f>VLOOKUP(A88,import!A:J,8,0)</f>
        <v>16</v>
      </c>
      <c r="I88" s="11">
        <f>VLOOKUP(A88,import!A:J,9,0)</f>
        <v>30</v>
      </c>
      <c r="J88" s="12">
        <f>VLOOKUP(A88,import!A:J,10,0)</f>
        <v>0.47</v>
      </c>
      <c r="K88" s="11" t="s">
        <v>524</v>
      </c>
      <c r="L88" s="11">
        <v>3.525036099E9</v>
      </c>
      <c r="M88" s="11" t="s">
        <v>47</v>
      </c>
      <c r="N88" s="11" t="s">
        <v>525</v>
      </c>
      <c r="O88" s="11" t="s">
        <v>526</v>
      </c>
      <c r="P88" s="11" t="str">
        <f>VLOOKUP(A88,import!A:P,16,0)</f>
        <v>Geleneksel</v>
      </c>
      <c r="Q88" s="13"/>
      <c r="R88" s="13" t="b">
        <v>1</v>
      </c>
      <c r="S88" s="13" t="b">
        <v>0</v>
      </c>
      <c r="T88" s="14" t="s">
        <v>74</v>
      </c>
      <c r="U88" s="14" t="s">
        <v>75</v>
      </c>
      <c r="V88" s="23" t="s">
        <v>76</v>
      </c>
      <c r="W88" s="14" t="s">
        <v>527</v>
      </c>
      <c r="X88" s="24">
        <v>44603.0</v>
      </c>
      <c r="Y88" s="24">
        <v>44606.0</v>
      </c>
      <c r="Z88" s="18"/>
      <c r="AA88" s="19" t="s">
        <v>54</v>
      </c>
      <c r="AB88" s="20">
        <v>44477.0</v>
      </c>
      <c r="AC88" s="19" t="s">
        <v>54</v>
      </c>
      <c r="AD88" s="20">
        <v>44603.0</v>
      </c>
      <c r="AE88" s="21"/>
      <c r="AF88" s="18"/>
      <c r="AG88" s="21"/>
      <c r="AH88" s="18"/>
      <c r="AI88" s="18"/>
      <c r="AJ88" s="18"/>
      <c r="AK88" s="19" t="s">
        <v>95</v>
      </c>
      <c r="AL88" s="19" t="s">
        <v>75</v>
      </c>
      <c r="AM88" s="18"/>
      <c r="AN88" s="18"/>
      <c r="AO88" s="18"/>
      <c r="AP88" s="22" t="s">
        <v>56</v>
      </c>
      <c r="AQ88" s="18"/>
    </row>
    <row r="89">
      <c r="A89" s="11" t="s">
        <v>528</v>
      </c>
      <c r="B89" s="11" t="s">
        <v>529</v>
      </c>
      <c r="C89" s="11" t="str">
        <f>VLOOKUP(A89,import!A:C,3,0)</f>
        <v>DOĞRU</v>
      </c>
      <c r="D89" s="11" t="s">
        <v>45</v>
      </c>
      <c r="E89" s="11">
        <f>VLOOKUP(A89,import!A:J,5,0)</f>
        <v>1070</v>
      </c>
      <c r="F89" s="11">
        <f>VLOOKUP(A89,import!A:J,6,0)</f>
        <v>24</v>
      </c>
      <c r="G89" s="11">
        <f>VLOOKUP(A89,import!A:J,7,0)</f>
        <v>4</v>
      </c>
      <c r="H89" s="11">
        <f>VLOOKUP(A89,import!A:J,8,0)</f>
        <v>11</v>
      </c>
      <c r="I89" s="11">
        <f>VLOOKUP(A89,import!A:J,9,0)</f>
        <v>15</v>
      </c>
      <c r="J89" s="12">
        <f>VLOOKUP(A89,import!A:J,10,0)</f>
        <v>0.27</v>
      </c>
      <c r="K89" s="11" t="s">
        <v>530</v>
      </c>
      <c r="L89" s="11">
        <v>3.525046718E9</v>
      </c>
      <c r="M89" s="11" t="s">
        <v>61</v>
      </c>
      <c r="N89" s="11" t="s">
        <v>62</v>
      </c>
      <c r="O89" s="11" t="s">
        <v>531</v>
      </c>
      <c r="P89" s="11" t="str">
        <f>VLOOKUP(A89,import!A:P,16,0)</f>
        <v>Geleneksel</v>
      </c>
      <c r="Q89" s="13"/>
      <c r="R89" s="13" t="b">
        <v>1</v>
      </c>
      <c r="S89" s="13" t="b">
        <v>0</v>
      </c>
      <c r="T89" s="14" t="s">
        <v>74</v>
      </c>
      <c r="U89" s="14" t="s">
        <v>140</v>
      </c>
      <c r="V89" s="33" t="s">
        <v>76</v>
      </c>
      <c r="W89" s="14" t="s">
        <v>532</v>
      </c>
      <c r="X89" s="24">
        <v>44638.0</v>
      </c>
      <c r="Y89" s="24">
        <v>44641.0</v>
      </c>
      <c r="Z89" s="18"/>
      <c r="AA89" s="19" t="s">
        <v>54</v>
      </c>
      <c r="AB89" s="20">
        <v>44638.0</v>
      </c>
      <c r="AC89" s="18"/>
      <c r="AD89" s="18"/>
      <c r="AE89" s="21"/>
      <c r="AF89" s="18"/>
      <c r="AG89" s="21"/>
      <c r="AH89" s="18"/>
      <c r="AI89" s="18"/>
      <c r="AJ89" s="18"/>
      <c r="AK89" s="19" t="s">
        <v>140</v>
      </c>
      <c r="AL89" s="18"/>
      <c r="AM89" s="18"/>
      <c r="AN89" s="18"/>
      <c r="AO89" s="18"/>
      <c r="AP89" s="22" t="s">
        <v>56</v>
      </c>
      <c r="AQ89" s="18"/>
    </row>
    <row r="90">
      <c r="A90" s="11" t="s">
        <v>533</v>
      </c>
      <c r="B90" s="11" t="s">
        <v>534</v>
      </c>
      <c r="C90" s="11" t="str">
        <f>VLOOKUP(A90,import!A:C,3,0)</f>
        <v>DOĞRU</v>
      </c>
      <c r="D90" s="11" t="s">
        <v>165</v>
      </c>
      <c r="E90" s="11">
        <f>VLOOKUP(A90,import!A:J,5,0)</f>
        <v>1822</v>
      </c>
      <c r="F90" s="11">
        <f>VLOOKUP(A90,import!A:J,6,0)</f>
        <v>39</v>
      </c>
      <c r="G90" s="11">
        <f>VLOOKUP(A90,import!A:J,7,0)</f>
        <v>0</v>
      </c>
      <c r="H90" s="11">
        <f>VLOOKUP(A90,import!A:J,8,0)</f>
        <v>6</v>
      </c>
      <c r="I90" s="11">
        <f>VLOOKUP(A90,import!A:J,9,0)</f>
        <v>6</v>
      </c>
      <c r="J90" s="12">
        <f>VLOOKUP(A90,import!A:J,10,0)</f>
        <v>0</v>
      </c>
      <c r="K90" s="11" t="s">
        <v>535</v>
      </c>
      <c r="L90" s="11">
        <v>3.5223344E9</v>
      </c>
      <c r="M90" s="11" t="s">
        <v>47</v>
      </c>
      <c r="N90" s="11" t="s">
        <v>536</v>
      </c>
      <c r="O90" s="11" t="s">
        <v>537</v>
      </c>
      <c r="P90" s="11" t="str">
        <f>VLOOKUP(A90,import!A:P,16,0)</f>
        <v>Geleneksel</v>
      </c>
      <c r="Q90" s="13"/>
      <c r="R90" s="13" t="b">
        <v>1</v>
      </c>
      <c r="S90" s="13" t="b">
        <v>0</v>
      </c>
      <c r="T90" s="14" t="s">
        <v>168</v>
      </c>
      <c r="U90" s="14" t="s">
        <v>538</v>
      </c>
      <c r="V90" s="14" t="s">
        <v>96</v>
      </c>
      <c r="W90" s="14" t="s">
        <v>539</v>
      </c>
      <c r="X90" s="24">
        <v>44292.0</v>
      </c>
      <c r="Y90" s="24">
        <v>44294.0</v>
      </c>
      <c r="Z90" s="18"/>
      <c r="AA90" s="19" t="s">
        <v>54</v>
      </c>
      <c r="AB90" s="20">
        <v>44602.0</v>
      </c>
      <c r="AC90" s="19" t="s">
        <v>54</v>
      </c>
      <c r="AD90" s="20">
        <v>44631.0</v>
      </c>
      <c r="AE90" s="21"/>
      <c r="AF90" s="18"/>
      <c r="AG90" s="21"/>
      <c r="AH90" s="18"/>
      <c r="AI90" s="18"/>
      <c r="AJ90" s="18"/>
      <c r="AK90" s="19" t="s">
        <v>110</v>
      </c>
      <c r="AL90" s="19" t="s">
        <v>127</v>
      </c>
      <c r="AM90" s="18"/>
      <c r="AN90" s="18"/>
      <c r="AO90" s="18"/>
      <c r="AP90" s="22" t="s">
        <v>56</v>
      </c>
      <c r="AQ90" s="18"/>
    </row>
    <row r="91">
      <c r="A91" s="11" t="s">
        <v>540</v>
      </c>
      <c r="B91" s="11" t="s">
        <v>541</v>
      </c>
      <c r="C91" s="11" t="str">
        <f>VLOOKUP(A91,import!A:C,3,0)</f>
        <v>DOĞRU</v>
      </c>
      <c r="D91" s="11" t="s">
        <v>406</v>
      </c>
      <c r="E91" s="11">
        <f>VLOOKUP(A91,import!A:J,5,0)</f>
        <v>430</v>
      </c>
      <c r="F91" s="11">
        <f>VLOOKUP(A91,import!A:J,6,0)</f>
        <v>12</v>
      </c>
      <c r="G91" s="11">
        <f>VLOOKUP(A91,import!A:J,7,0)</f>
        <v>5</v>
      </c>
      <c r="H91" s="11">
        <f>VLOOKUP(A91,import!A:J,8,0)</f>
        <v>1</v>
      </c>
      <c r="I91" s="11">
        <f>VLOOKUP(A91,import!A:J,9,0)</f>
        <v>6</v>
      </c>
      <c r="J91" s="12">
        <f>VLOOKUP(A91,import!A:J,10,0)</f>
        <v>0.83</v>
      </c>
      <c r="K91" s="11" t="s">
        <v>542</v>
      </c>
      <c r="L91" s="11">
        <v>3.523393904E9</v>
      </c>
      <c r="M91" s="11" t="s">
        <v>71</v>
      </c>
      <c r="N91" s="11" t="s">
        <v>543</v>
      </c>
      <c r="O91" s="11" t="s">
        <v>544</v>
      </c>
      <c r="P91" s="11" t="str">
        <f>VLOOKUP(A91,import!A:P,16,0)</f>
        <v>Geleneksel</v>
      </c>
      <c r="Q91" s="13"/>
      <c r="R91" s="13" t="b">
        <v>1</v>
      </c>
      <c r="S91" s="13" t="b">
        <v>0</v>
      </c>
      <c r="T91" s="14" t="s">
        <v>74</v>
      </c>
      <c r="U91" s="14" t="s">
        <v>75</v>
      </c>
      <c r="V91" s="33" t="s">
        <v>76</v>
      </c>
      <c r="W91" s="14"/>
      <c r="X91" s="24">
        <v>44629.0</v>
      </c>
      <c r="Y91" s="24">
        <v>44630.0</v>
      </c>
      <c r="Z91" s="18"/>
      <c r="AA91" s="19" t="s">
        <v>54</v>
      </c>
      <c r="AB91" s="20">
        <v>44620.0</v>
      </c>
      <c r="AC91" s="19" t="s">
        <v>54</v>
      </c>
      <c r="AD91" s="24">
        <v>44629.0</v>
      </c>
      <c r="AE91" s="21"/>
      <c r="AF91" s="18"/>
      <c r="AG91" s="21"/>
      <c r="AH91" s="18"/>
      <c r="AI91" s="18"/>
      <c r="AJ91" s="18"/>
      <c r="AK91" s="19" t="s">
        <v>110</v>
      </c>
      <c r="AL91" s="19" t="s">
        <v>75</v>
      </c>
      <c r="AM91" s="18"/>
      <c r="AN91" s="18"/>
      <c r="AO91" s="18"/>
      <c r="AP91" s="22" t="s">
        <v>56</v>
      </c>
      <c r="AQ91" s="18"/>
    </row>
    <row r="92">
      <c r="A92" s="11" t="s">
        <v>545</v>
      </c>
      <c r="B92" s="11" t="s">
        <v>546</v>
      </c>
      <c r="C92" s="11" t="str">
        <f>VLOOKUP(A92,import!A:C,3,0)</f>
        <v>DOĞRU</v>
      </c>
      <c r="D92" s="11" t="s">
        <v>69</v>
      </c>
      <c r="E92" s="11">
        <f>VLOOKUP(A92,import!A:J,5,0)</f>
        <v>73</v>
      </c>
      <c r="F92" s="11">
        <f>VLOOKUP(A92,import!A:J,6,0)</f>
        <v>13</v>
      </c>
      <c r="G92" s="11">
        <f>VLOOKUP(A92,import!A:J,7,0)</f>
        <v>15</v>
      </c>
      <c r="H92" s="11">
        <f>VLOOKUP(A92,import!A:J,8,0)</f>
        <v>18</v>
      </c>
      <c r="I92" s="11">
        <f>VLOOKUP(A92,import!A:J,9,0)</f>
        <v>33</v>
      </c>
      <c r="J92" s="12">
        <f>VLOOKUP(A92,import!A:J,10,0)</f>
        <v>0.45</v>
      </c>
      <c r="K92" s="11" t="s">
        <v>547</v>
      </c>
      <c r="L92" s="11">
        <v>5.457331993E9</v>
      </c>
      <c r="M92" s="11" t="s">
        <v>71</v>
      </c>
      <c r="N92" s="11" t="s">
        <v>548</v>
      </c>
      <c r="O92" s="11" t="s">
        <v>549</v>
      </c>
      <c r="P92" s="11" t="str">
        <f>VLOOKUP(A92,import!A:P,16,0)</f>
        <v>Geleneksel</v>
      </c>
      <c r="Q92" s="13"/>
      <c r="R92" s="13" t="b">
        <v>1</v>
      </c>
      <c r="S92" s="13" t="b">
        <v>0</v>
      </c>
      <c r="T92" s="14" t="s">
        <v>74</v>
      </c>
      <c r="U92" s="14" t="s">
        <v>75</v>
      </c>
      <c r="V92" s="33" t="s">
        <v>76</v>
      </c>
      <c r="W92" s="14"/>
      <c r="X92" s="24">
        <v>44627.0</v>
      </c>
      <c r="Y92" s="24">
        <v>44627.0</v>
      </c>
      <c r="Z92" s="18"/>
      <c r="AA92" s="19" t="s">
        <v>53</v>
      </c>
      <c r="AB92" s="20">
        <v>44613.0</v>
      </c>
      <c r="AC92" s="19" t="s">
        <v>54</v>
      </c>
      <c r="AD92" s="24">
        <v>44627.0</v>
      </c>
      <c r="AE92" s="21"/>
      <c r="AF92" s="18"/>
      <c r="AG92" s="21"/>
      <c r="AH92" s="18"/>
      <c r="AI92" s="18"/>
      <c r="AJ92" s="18"/>
      <c r="AK92" s="19" t="s">
        <v>66</v>
      </c>
      <c r="AL92" s="19" t="s">
        <v>75</v>
      </c>
      <c r="AM92" s="18"/>
      <c r="AN92" s="18"/>
      <c r="AO92" s="18"/>
      <c r="AP92" s="22" t="s">
        <v>56</v>
      </c>
      <c r="AQ92" s="18"/>
    </row>
    <row r="93">
      <c r="A93" s="11" t="s">
        <v>550</v>
      </c>
      <c r="B93" s="11" t="s">
        <v>551</v>
      </c>
      <c r="C93" s="11" t="str">
        <f>VLOOKUP(A93,import!A:C,3,0)</f>
        <v>DOĞRU</v>
      </c>
      <c r="D93" s="11" t="s">
        <v>69</v>
      </c>
      <c r="E93" s="11">
        <f>VLOOKUP(A93,import!A:J,5,0)</f>
        <v>3428</v>
      </c>
      <c r="F93" s="11">
        <f>VLOOKUP(A93,import!A:J,6,0)</f>
        <v>137</v>
      </c>
      <c r="G93" s="11">
        <f>VLOOKUP(A93,import!A:J,7,0)</f>
        <v>14</v>
      </c>
      <c r="H93" s="11">
        <f>VLOOKUP(A93,import!A:J,8,0)</f>
        <v>1</v>
      </c>
      <c r="I93" s="11">
        <f>VLOOKUP(A93,import!A:J,9,0)</f>
        <v>15</v>
      </c>
      <c r="J93" s="12">
        <f>VLOOKUP(A93,import!A:J,10,0)</f>
        <v>0.93</v>
      </c>
      <c r="K93" s="11" t="s">
        <v>552</v>
      </c>
      <c r="L93" s="11">
        <v>5.316453973E9</v>
      </c>
      <c r="M93" s="11" t="s">
        <v>61</v>
      </c>
      <c r="N93" s="11" t="s">
        <v>250</v>
      </c>
      <c r="O93" s="11" t="s">
        <v>553</v>
      </c>
      <c r="P93" s="11" t="str">
        <f>VLOOKUP(A93,import!A:P,16,0)</f>
        <v>Geleneksel</v>
      </c>
      <c r="Q93" s="13"/>
      <c r="R93" s="13" t="b">
        <v>1</v>
      </c>
      <c r="S93" s="13" t="b">
        <v>0</v>
      </c>
      <c r="T93" s="14" t="s">
        <v>74</v>
      </c>
      <c r="U93" s="14" t="s">
        <v>352</v>
      </c>
      <c r="V93" s="14" t="s">
        <v>96</v>
      </c>
      <c r="W93" s="14" t="s">
        <v>554</v>
      </c>
      <c r="X93" s="24">
        <v>44301.0</v>
      </c>
      <c r="Y93" s="24">
        <v>44306.0</v>
      </c>
      <c r="Z93" s="18"/>
      <c r="AA93" s="18"/>
      <c r="AB93" s="18"/>
      <c r="AC93" s="18"/>
      <c r="AD93" s="18"/>
      <c r="AE93" s="21"/>
      <c r="AF93" s="18"/>
      <c r="AG93" s="21"/>
      <c r="AH93" s="18"/>
      <c r="AI93" s="18"/>
      <c r="AJ93" s="18"/>
      <c r="AK93" s="18"/>
      <c r="AL93" s="18"/>
      <c r="AM93" s="18"/>
      <c r="AN93" s="18"/>
      <c r="AO93" s="18"/>
      <c r="AP93" s="22" t="s">
        <v>56</v>
      </c>
      <c r="AQ93" s="18"/>
    </row>
    <row r="94">
      <c r="A94" s="22" t="s">
        <v>555</v>
      </c>
      <c r="B94" s="22" t="s">
        <v>556</v>
      </c>
      <c r="C94" s="11" t="str">
        <f>VLOOKUP(A94,import!A:C,3,0)</f>
        <v>DOĞRU</v>
      </c>
      <c r="D94" s="22" t="s">
        <v>69</v>
      </c>
      <c r="E94" s="11">
        <f>VLOOKUP(A94,import!A:J,5,0)</f>
        <v>12</v>
      </c>
      <c r="F94" s="11">
        <f>VLOOKUP(A94,import!A:J,6,0)</f>
        <v>12</v>
      </c>
      <c r="G94" s="11">
        <f>VLOOKUP(A94,import!A:J,7,0)</f>
        <v>0</v>
      </c>
      <c r="H94" s="11">
        <f>VLOOKUP(A94,import!A:J,8,0)</f>
        <v>3</v>
      </c>
      <c r="I94" s="11">
        <f>VLOOKUP(A94,import!A:J,9,0)</f>
        <v>3</v>
      </c>
      <c r="J94" s="12">
        <f>VLOOKUP(A94,import!A:J,10,0)</f>
        <v>0</v>
      </c>
      <c r="K94" s="22" t="s">
        <v>557</v>
      </c>
      <c r="L94" s="22">
        <v>5.433838887E9</v>
      </c>
      <c r="M94" s="22" t="s">
        <v>61</v>
      </c>
      <c r="N94" s="22" t="s">
        <v>62</v>
      </c>
      <c r="O94" s="22" t="s">
        <v>558</v>
      </c>
      <c r="P94" s="11" t="str">
        <f>VLOOKUP(A94,import!A:P,16,0)</f>
        <v>Geleneksel</v>
      </c>
      <c r="Q94" s="13"/>
      <c r="R94" s="13" t="b">
        <v>0</v>
      </c>
      <c r="S94" s="13" t="b">
        <v>0</v>
      </c>
      <c r="T94" s="14"/>
      <c r="U94" s="14"/>
      <c r="V94" s="14"/>
      <c r="W94" s="14"/>
      <c r="X94" s="24"/>
      <c r="Y94" s="24"/>
      <c r="Z94" s="18"/>
      <c r="AA94" s="19"/>
      <c r="AB94" s="20"/>
      <c r="AC94" s="19"/>
      <c r="AD94" s="20"/>
      <c r="AE94" s="19"/>
      <c r="AF94" s="20"/>
      <c r="AG94" s="21"/>
      <c r="AH94" s="18"/>
      <c r="AI94" s="18"/>
      <c r="AJ94" s="18"/>
      <c r="AK94" s="19"/>
      <c r="AL94" s="19"/>
      <c r="AM94" s="19"/>
      <c r="AN94" s="18"/>
      <c r="AO94" s="18"/>
      <c r="AP94" s="22"/>
      <c r="AQ94" s="18"/>
    </row>
    <row r="95">
      <c r="A95" s="11" t="s">
        <v>559</v>
      </c>
      <c r="B95" s="11" t="s">
        <v>560</v>
      </c>
      <c r="C95" s="11" t="str">
        <f>VLOOKUP(A95,import!A:C,3,0)</f>
        <v>DOĞRU</v>
      </c>
      <c r="D95" s="11" t="s">
        <v>368</v>
      </c>
      <c r="E95" s="11">
        <f>VLOOKUP(A95,import!A:J,5,0)</f>
        <v>1016</v>
      </c>
      <c r="F95" s="11">
        <f>VLOOKUP(A95,import!A:J,6,0)</f>
        <v>101</v>
      </c>
      <c r="G95" s="11">
        <f>VLOOKUP(A95,import!A:J,7,0)</f>
        <v>0</v>
      </c>
      <c r="H95" s="11">
        <f>VLOOKUP(A95,import!A:J,8,0)</f>
        <v>13</v>
      </c>
      <c r="I95" s="11">
        <f>VLOOKUP(A95,import!A:J,9,0)</f>
        <v>13</v>
      </c>
      <c r="J95" s="12">
        <f>VLOOKUP(A95,import!A:J,10,0)</f>
        <v>0</v>
      </c>
      <c r="K95" s="11" t="s">
        <v>561</v>
      </c>
      <c r="L95" s="11">
        <v>5.41471638E9</v>
      </c>
      <c r="M95" s="11" t="s">
        <v>61</v>
      </c>
      <c r="N95" s="11" t="s">
        <v>62</v>
      </c>
      <c r="O95" s="11" t="s">
        <v>562</v>
      </c>
      <c r="P95" s="11" t="str">
        <f>VLOOKUP(A95,import!A:P,16,0)</f>
        <v>Geleneksel</v>
      </c>
      <c r="Q95" s="13"/>
      <c r="R95" s="13" t="b">
        <v>1</v>
      </c>
      <c r="S95" s="13" t="b">
        <v>0</v>
      </c>
      <c r="T95" s="14" t="s">
        <v>133</v>
      </c>
      <c r="U95" s="14" t="s">
        <v>381</v>
      </c>
      <c r="V95" s="23" t="s">
        <v>121</v>
      </c>
      <c r="W95" s="14" t="s">
        <v>563</v>
      </c>
      <c r="X95" s="24">
        <v>44578.0</v>
      </c>
      <c r="Y95" s="24">
        <v>44579.0</v>
      </c>
      <c r="Z95" s="18"/>
      <c r="AA95" s="19" t="s">
        <v>54</v>
      </c>
      <c r="AB95" s="20">
        <v>44578.0</v>
      </c>
      <c r="AC95" s="19" t="s">
        <v>54</v>
      </c>
      <c r="AD95" s="20">
        <v>44606.0</v>
      </c>
      <c r="AE95" s="19" t="s">
        <v>54</v>
      </c>
      <c r="AF95" s="20">
        <v>44670.0</v>
      </c>
      <c r="AG95" s="21"/>
      <c r="AH95" s="18"/>
      <c r="AI95" s="18"/>
      <c r="AJ95" s="18"/>
      <c r="AK95" s="19" t="s">
        <v>381</v>
      </c>
      <c r="AL95" s="19" t="s">
        <v>86</v>
      </c>
      <c r="AM95" s="19" t="s">
        <v>110</v>
      </c>
      <c r="AN95" s="18"/>
      <c r="AO95" s="18"/>
      <c r="AP95" s="22" t="s">
        <v>56</v>
      </c>
      <c r="AQ95" s="18"/>
    </row>
    <row r="96">
      <c r="A96" s="11" t="s">
        <v>564</v>
      </c>
      <c r="B96" s="11" t="s">
        <v>565</v>
      </c>
      <c r="C96" s="11" t="str">
        <f>VLOOKUP(A96,import!A:C,3,0)</f>
        <v>DOĞRU</v>
      </c>
      <c r="D96" s="11" t="s">
        <v>165</v>
      </c>
      <c r="E96" s="11">
        <f>VLOOKUP(A96,import!A:J,5,0)</f>
        <v>4133</v>
      </c>
      <c r="F96" s="11">
        <f>VLOOKUP(A96,import!A:J,6,0)</f>
        <v>85</v>
      </c>
      <c r="G96" s="11">
        <f>VLOOKUP(A96,import!A:J,7,0)</f>
        <v>0</v>
      </c>
      <c r="H96" s="11">
        <f>VLOOKUP(A96,import!A:J,8,0)</f>
        <v>16</v>
      </c>
      <c r="I96" s="11">
        <f>VLOOKUP(A96,import!A:J,9,0)</f>
        <v>16</v>
      </c>
      <c r="J96" s="12">
        <f>VLOOKUP(A96,import!A:J,10,0)</f>
        <v>0</v>
      </c>
      <c r="K96" s="11" t="s">
        <v>566</v>
      </c>
      <c r="L96" s="11">
        <v>3.524310061E9</v>
      </c>
      <c r="M96" s="11" t="s">
        <v>61</v>
      </c>
      <c r="N96" s="11" t="s">
        <v>62</v>
      </c>
      <c r="O96" s="11" t="s">
        <v>567</v>
      </c>
      <c r="P96" s="11" t="str">
        <f>VLOOKUP(A96,import!A:P,16,0)</f>
        <v>Geleneksel</v>
      </c>
      <c r="Q96" s="13"/>
      <c r="R96" s="13" t="b">
        <v>1</v>
      </c>
      <c r="S96" s="13" t="b">
        <v>0</v>
      </c>
      <c r="T96" s="14" t="s">
        <v>168</v>
      </c>
      <c r="U96" s="14" t="s">
        <v>568</v>
      </c>
      <c r="V96" s="14" t="s">
        <v>569</v>
      </c>
      <c r="W96" s="14" t="s">
        <v>570</v>
      </c>
      <c r="X96" s="24">
        <v>44305.0</v>
      </c>
      <c r="Y96" s="24">
        <v>44309.0</v>
      </c>
      <c r="Z96" s="18"/>
      <c r="AA96" s="19" t="s">
        <v>54</v>
      </c>
      <c r="AB96" s="20">
        <v>44361.0</v>
      </c>
      <c r="AC96" s="18"/>
      <c r="AD96" s="18"/>
      <c r="AE96" s="21"/>
      <c r="AF96" s="18"/>
      <c r="AG96" s="21"/>
      <c r="AH96" s="18"/>
      <c r="AI96" s="18"/>
      <c r="AJ96" s="18"/>
      <c r="AK96" s="19" t="s">
        <v>55</v>
      </c>
      <c r="AL96" s="18"/>
      <c r="AM96" s="18"/>
      <c r="AN96" s="18"/>
      <c r="AO96" s="18"/>
      <c r="AP96" s="22" t="s">
        <v>56</v>
      </c>
      <c r="AQ96" s="18"/>
    </row>
    <row r="97">
      <c r="A97" s="11" t="s">
        <v>571</v>
      </c>
      <c r="B97" s="11" t="s">
        <v>572</v>
      </c>
      <c r="C97" s="11" t="str">
        <f>VLOOKUP(A97,import!A:C,3,0)</f>
        <v>DOĞRU</v>
      </c>
      <c r="D97" s="11" t="s">
        <v>453</v>
      </c>
      <c r="E97" s="11">
        <f>VLOOKUP(A97,import!A:J,5,0)</f>
        <v>2332</v>
      </c>
      <c r="F97" s="11">
        <f>VLOOKUP(A97,import!A:J,6,0)</f>
        <v>11</v>
      </c>
      <c r="G97" s="11">
        <f>VLOOKUP(A97,import!A:J,7,0)</f>
        <v>5</v>
      </c>
      <c r="H97" s="11">
        <f>VLOOKUP(A97,import!A:J,8,0)</f>
        <v>11</v>
      </c>
      <c r="I97" s="11">
        <f>VLOOKUP(A97,import!A:J,9,0)</f>
        <v>16</v>
      </c>
      <c r="J97" s="12">
        <f>VLOOKUP(A97,import!A:J,10,0)</f>
        <v>0.31</v>
      </c>
      <c r="K97" s="11" t="s">
        <v>573</v>
      </c>
      <c r="L97" s="11">
        <v>5.550762538E9</v>
      </c>
      <c r="M97" s="11" t="s">
        <v>61</v>
      </c>
      <c r="N97" s="11" t="s">
        <v>62</v>
      </c>
      <c r="O97" s="11" t="s">
        <v>574</v>
      </c>
      <c r="P97" s="11" t="str">
        <f>VLOOKUP(A97,import!A:P,16,0)</f>
        <v>Geleneksel</v>
      </c>
      <c r="Q97" s="13"/>
      <c r="R97" s="13" t="b">
        <v>1</v>
      </c>
      <c r="S97" s="13" t="b">
        <v>0</v>
      </c>
      <c r="T97" s="14" t="s">
        <v>74</v>
      </c>
      <c r="U97" s="14" t="s">
        <v>86</v>
      </c>
      <c r="V97" s="35" t="s">
        <v>76</v>
      </c>
      <c r="W97" s="14" t="s">
        <v>575</v>
      </c>
      <c r="X97" s="24">
        <v>44606.0</v>
      </c>
      <c r="Y97" s="24">
        <v>44607.0</v>
      </c>
      <c r="Z97" s="18"/>
      <c r="AA97" s="19" t="s">
        <v>53</v>
      </c>
      <c r="AB97" s="20">
        <v>44595.0</v>
      </c>
      <c r="AC97" s="19" t="s">
        <v>54</v>
      </c>
      <c r="AD97" s="20">
        <v>44606.0</v>
      </c>
      <c r="AE97" s="21"/>
      <c r="AF97" s="18"/>
      <c r="AG97" s="21"/>
      <c r="AH97" s="18"/>
      <c r="AI97" s="18"/>
      <c r="AJ97" s="18"/>
      <c r="AK97" s="19" t="s">
        <v>127</v>
      </c>
      <c r="AL97" s="19" t="s">
        <v>86</v>
      </c>
      <c r="AM97" s="18"/>
      <c r="AN97" s="18"/>
      <c r="AO97" s="18"/>
      <c r="AP97" s="22" t="s">
        <v>56</v>
      </c>
      <c r="AQ97" s="18"/>
    </row>
    <row r="98">
      <c r="A98" s="11" t="s">
        <v>576</v>
      </c>
      <c r="B98" s="11" t="s">
        <v>577</v>
      </c>
      <c r="C98" s="11" t="str">
        <f>VLOOKUP(A98,import!A:C,3,0)</f>
        <v>DOĞRU</v>
      </c>
      <c r="D98" s="11" t="s">
        <v>59</v>
      </c>
      <c r="E98" s="11">
        <f>VLOOKUP(A98,import!A:J,5,0)</f>
        <v>246</v>
      </c>
      <c r="F98" s="11">
        <f>VLOOKUP(A98,import!A:J,6,0)</f>
        <v>10</v>
      </c>
      <c r="G98" s="11">
        <f>VLOOKUP(A98,import!A:J,7,0)</f>
        <v>6</v>
      </c>
      <c r="H98" s="11">
        <f>VLOOKUP(A98,import!A:J,8,0)</f>
        <v>7</v>
      </c>
      <c r="I98" s="11">
        <f>VLOOKUP(A98,import!A:J,9,0)</f>
        <v>13</v>
      </c>
      <c r="J98" s="12">
        <f>VLOOKUP(A98,import!A:J,10,0)</f>
        <v>0.46</v>
      </c>
      <c r="K98" s="11" t="s">
        <v>578</v>
      </c>
      <c r="L98" s="11">
        <v>5.06770227E9</v>
      </c>
      <c r="M98" s="11" t="s">
        <v>71</v>
      </c>
      <c r="N98" s="11" t="s">
        <v>579</v>
      </c>
      <c r="O98" s="11" t="s">
        <v>580</v>
      </c>
      <c r="P98" s="11" t="str">
        <f>VLOOKUP(A98,import!A:P,16,0)</f>
        <v>Geleneksel</v>
      </c>
      <c r="Q98" s="13"/>
      <c r="R98" s="13" t="b">
        <v>1</v>
      </c>
      <c r="S98" s="13" t="b">
        <v>0</v>
      </c>
      <c r="T98" s="14" t="s">
        <v>74</v>
      </c>
      <c r="U98" s="14" t="s">
        <v>75</v>
      </c>
      <c r="V98" s="30" t="s">
        <v>76</v>
      </c>
      <c r="W98" s="14"/>
      <c r="X98" s="24">
        <v>44617.0</v>
      </c>
      <c r="Y98" s="24">
        <v>44620.0</v>
      </c>
      <c r="Z98" s="18"/>
      <c r="AA98" s="19" t="s">
        <v>54</v>
      </c>
      <c r="AB98" s="24">
        <v>44617.0</v>
      </c>
      <c r="AC98" s="19"/>
      <c r="AD98" s="20"/>
      <c r="AE98" s="21"/>
      <c r="AF98" s="18"/>
      <c r="AG98" s="21"/>
      <c r="AH98" s="18"/>
      <c r="AI98" s="18"/>
      <c r="AJ98" s="18"/>
      <c r="AK98" s="19" t="s">
        <v>75</v>
      </c>
      <c r="AL98" s="19"/>
      <c r="AM98" s="18"/>
      <c r="AN98" s="18"/>
      <c r="AO98" s="18"/>
      <c r="AP98" s="22"/>
      <c r="AQ98" s="18"/>
    </row>
    <row r="99">
      <c r="A99" s="11" t="s">
        <v>581</v>
      </c>
      <c r="B99" s="11" t="s">
        <v>582</v>
      </c>
      <c r="C99" s="11" t="str">
        <f>VLOOKUP(A99,import!A:C,3,0)</f>
        <v>DOĞRU</v>
      </c>
      <c r="D99" s="11" t="s">
        <v>69</v>
      </c>
      <c r="E99" s="11">
        <f>VLOOKUP(A99,import!A:J,5,0)</f>
        <v>21</v>
      </c>
      <c r="F99" s="11" t="str">
        <f>VLOOKUP(A99,import!A:J,6,0)</f>
        <v/>
      </c>
      <c r="G99" s="11">
        <f>VLOOKUP(A99,import!A:J,7,0)</f>
        <v>5</v>
      </c>
      <c r="H99" s="11">
        <f>VLOOKUP(A99,import!A:J,8,0)</f>
        <v>0</v>
      </c>
      <c r="I99" s="11">
        <f>VLOOKUP(A99,import!A:J,9,0)</f>
        <v>5</v>
      </c>
      <c r="J99" s="12">
        <f>VLOOKUP(A99,import!A:J,10,0)</f>
        <v>1</v>
      </c>
      <c r="K99" s="11" t="s">
        <v>583</v>
      </c>
      <c r="L99" s="11">
        <v>5.355117812E9</v>
      </c>
      <c r="M99" s="11" t="s">
        <v>71</v>
      </c>
      <c r="N99" s="11" t="s">
        <v>62</v>
      </c>
      <c r="O99" s="11" t="s">
        <v>584</v>
      </c>
      <c r="P99" s="11" t="str">
        <f>VLOOKUP(A99,import!A:P,16,0)</f>
        <v>Geleneksel</v>
      </c>
      <c r="Q99" s="13"/>
      <c r="R99" s="13" t="b">
        <v>1</v>
      </c>
      <c r="S99" s="13" t="b">
        <v>0</v>
      </c>
      <c r="T99" s="14" t="s">
        <v>74</v>
      </c>
      <c r="U99" s="14" t="s">
        <v>86</v>
      </c>
      <c r="V99" s="30" t="s">
        <v>76</v>
      </c>
      <c r="W99" s="14"/>
      <c r="X99" s="24">
        <v>44611.0</v>
      </c>
      <c r="Y99" s="24">
        <v>44613.0</v>
      </c>
      <c r="Z99" s="18"/>
      <c r="AA99" s="19" t="s">
        <v>54</v>
      </c>
      <c r="AB99" s="20">
        <v>44611.0</v>
      </c>
      <c r="AC99" s="19"/>
      <c r="AD99" s="20"/>
      <c r="AE99" s="21"/>
      <c r="AF99" s="18"/>
      <c r="AG99" s="21"/>
      <c r="AH99" s="18"/>
      <c r="AI99" s="18"/>
      <c r="AJ99" s="18"/>
      <c r="AK99" s="19" t="s">
        <v>86</v>
      </c>
      <c r="AL99" s="19"/>
      <c r="AM99" s="18"/>
      <c r="AN99" s="18"/>
      <c r="AO99" s="18"/>
      <c r="AP99" s="22" t="s">
        <v>56</v>
      </c>
      <c r="AQ99" s="18"/>
    </row>
    <row r="100">
      <c r="A100" s="32" t="s">
        <v>585</v>
      </c>
      <c r="B100" s="32" t="s">
        <v>586</v>
      </c>
      <c r="C100" s="11" t="str">
        <f>VLOOKUP(A100,import!A:C,3,0)</f>
        <v>DOĞRU</v>
      </c>
      <c r="D100" s="32" t="s">
        <v>69</v>
      </c>
      <c r="E100" s="11">
        <f>VLOOKUP(A100,import!A:J,5,0)</f>
        <v>16</v>
      </c>
      <c r="F100" s="11">
        <f>VLOOKUP(A100,import!A:J,6,0)</f>
        <v>5</v>
      </c>
      <c r="G100" s="11">
        <f>VLOOKUP(A100,import!A:J,7,0)</f>
        <v>13</v>
      </c>
      <c r="H100" s="11">
        <f>VLOOKUP(A100,import!A:J,8,0)</f>
        <v>0</v>
      </c>
      <c r="I100" s="11">
        <f>VLOOKUP(A100,import!A:J,9,0)</f>
        <v>13</v>
      </c>
      <c r="J100" s="12">
        <f>VLOOKUP(A100,import!A:J,10,0)</f>
        <v>1</v>
      </c>
      <c r="K100" s="32" t="s">
        <v>587</v>
      </c>
      <c r="L100" s="32">
        <v>5.383482466E9</v>
      </c>
      <c r="M100" s="32" t="s">
        <v>71</v>
      </c>
      <c r="N100" s="32" t="s">
        <v>588</v>
      </c>
      <c r="O100" s="32" t="s">
        <v>589</v>
      </c>
      <c r="P100" s="11" t="str">
        <f>VLOOKUP(A100,import!A:P,16,0)</f>
        <v>Geleneksel</v>
      </c>
      <c r="Q100" s="13"/>
      <c r="R100" s="13" t="b">
        <v>1</v>
      </c>
      <c r="S100" s="13" t="b">
        <v>0</v>
      </c>
      <c r="T100" s="14" t="s">
        <v>74</v>
      </c>
      <c r="U100" s="14" t="s">
        <v>381</v>
      </c>
      <c r="V100" s="30" t="s">
        <v>76</v>
      </c>
      <c r="W100" s="14"/>
      <c r="X100" s="24">
        <v>44611.0</v>
      </c>
      <c r="Y100" s="24">
        <v>44614.0</v>
      </c>
      <c r="Z100" s="18"/>
      <c r="AA100" s="19" t="s">
        <v>54</v>
      </c>
      <c r="AB100" s="20">
        <v>44611.0</v>
      </c>
      <c r="AC100" s="19"/>
      <c r="AD100" s="20"/>
      <c r="AE100" s="19"/>
      <c r="AF100" s="20"/>
      <c r="AG100" s="21"/>
      <c r="AH100" s="18"/>
      <c r="AI100" s="18"/>
      <c r="AJ100" s="18"/>
      <c r="AK100" s="19" t="s">
        <v>381</v>
      </c>
      <c r="AL100" s="19"/>
      <c r="AM100" s="19"/>
      <c r="AN100" s="18"/>
      <c r="AO100" s="18"/>
      <c r="AP100" s="22"/>
      <c r="AQ100" s="18"/>
    </row>
    <row r="101">
      <c r="A101" s="11" t="s">
        <v>590</v>
      </c>
      <c r="B101" s="11" t="s">
        <v>591</v>
      </c>
      <c r="C101" s="11" t="str">
        <f>VLOOKUP(A101,import!A:C,3,0)</f>
        <v>DOĞRU</v>
      </c>
      <c r="D101" s="11" t="s">
        <v>69</v>
      </c>
      <c r="E101" s="11">
        <f>VLOOKUP(A101,import!A:J,5,0)</f>
        <v>1167</v>
      </c>
      <c r="F101" s="11">
        <f>VLOOKUP(A101,import!A:J,6,0)</f>
        <v>89</v>
      </c>
      <c r="G101" s="11">
        <f>VLOOKUP(A101,import!A:J,7,0)</f>
        <v>6</v>
      </c>
      <c r="H101" s="11">
        <f>VLOOKUP(A101,import!A:J,8,0)</f>
        <v>3</v>
      </c>
      <c r="I101" s="11">
        <f>VLOOKUP(A101,import!A:J,9,0)</f>
        <v>9</v>
      </c>
      <c r="J101" s="12">
        <f>VLOOKUP(A101,import!A:J,10,0)</f>
        <v>0.67</v>
      </c>
      <c r="K101" s="11" t="s">
        <v>592</v>
      </c>
      <c r="L101" s="11">
        <v>3.523326837E9</v>
      </c>
      <c r="M101" s="11" t="s">
        <v>47</v>
      </c>
      <c r="N101" s="11" t="s">
        <v>271</v>
      </c>
      <c r="O101" s="11" t="s">
        <v>593</v>
      </c>
      <c r="P101" s="11" t="str">
        <f>VLOOKUP(A101,import!A:P,16,0)</f>
        <v>Geleneksel</v>
      </c>
      <c r="Q101" s="13"/>
      <c r="R101" s="13" t="b">
        <v>1</v>
      </c>
      <c r="S101" s="13" t="b">
        <v>0</v>
      </c>
      <c r="T101" s="25" t="s">
        <v>74</v>
      </c>
      <c r="U101" s="25" t="s">
        <v>75</v>
      </c>
      <c r="V101" s="42" t="s">
        <v>76</v>
      </c>
      <c r="W101" s="25" t="s">
        <v>594</v>
      </c>
      <c r="X101" s="34">
        <v>44643.0</v>
      </c>
      <c r="Y101" s="34">
        <v>44645.0</v>
      </c>
      <c r="Z101" s="18"/>
      <c r="AA101" s="19" t="s">
        <v>54</v>
      </c>
      <c r="AB101" s="34">
        <v>44643.0</v>
      </c>
      <c r="AC101" s="18"/>
      <c r="AD101" s="18"/>
      <c r="AE101" s="21"/>
      <c r="AF101" s="18"/>
      <c r="AG101" s="21"/>
      <c r="AH101" s="18"/>
      <c r="AI101" s="18"/>
      <c r="AJ101" s="18"/>
      <c r="AK101" s="19" t="s">
        <v>75</v>
      </c>
      <c r="AL101" s="18"/>
      <c r="AM101" s="18"/>
      <c r="AN101" s="18"/>
      <c r="AO101" s="18"/>
      <c r="AP101" s="22" t="s">
        <v>56</v>
      </c>
      <c r="AQ101" s="18"/>
    </row>
    <row r="102">
      <c r="A102" s="22" t="s">
        <v>595</v>
      </c>
      <c r="B102" s="22" t="s">
        <v>596</v>
      </c>
      <c r="C102" s="11" t="str">
        <f>VLOOKUP(A102,import!A:C,3,0)</f>
        <v>DOĞRU</v>
      </c>
      <c r="D102" s="22" t="s">
        <v>69</v>
      </c>
      <c r="E102" s="11" t="str">
        <f>VLOOKUP(A102,import!A:J,5,0)</f>
        <v/>
      </c>
      <c r="F102" s="11" t="str">
        <f>VLOOKUP(A102,import!A:J,6,0)</f>
        <v/>
      </c>
      <c r="G102" s="11">
        <f>VLOOKUP(A102,import!A:J,7,0)</f>
        <v>0</v>
      </c>
      <c r="H102" s="11">
        <f>VLOOKUP(A102,import!A:J,8,0)</f>
        <v>59</v>
      </c>
      <c r="I102" s="11">
        <f>VLOOKUP(A102,import!A:J,9,0)</f>
        <v>59</v>
      </c>
      <c r="J102" s="12">
        <f>VLOOKUP(A102,import!A:J,10,0)</f>
        <v>0</v>
      </c>
      <c r="K102" s="22" t="s">
        <v>592</v>
      </c>
      <c r="L102" s="22">
        <v>8.503992727E9</v>
      </c>
      <c r="M102" s="22" t="s">
        <v>47</v>
      </c>
      <c r="N102" s="22" t="s">
        <v>125</v>
      </c>
      <c r="O102" s="22" t="s">
        <v>597</v>
      </c>
      <c r="P102" s="11" t="str">
        <f>VLOOKUP(A102,import!A:P,16,0)</f>
        <v>Geleneksel</v>
      </c>
      <c r="Q102" s="13"/>
      <c r="R102" s="13" t="b">
        <v>1</v>
      </c>
      <c r="S102" s="13" t="b">
        <v>0</v>
      </c>
      <c r="T102" s="14" t="s">
        <v>145</v>
      </c>
      <c r="U102" s="14"/>
      <c r="V102" s="30"/>
      <c r="W102" s="14" t="s">
        <v>598</v>
      </c>
      <c r="X102" s="24"/>
      <c r="Y102" s="24"/>
      <c r="Z102" s="18"/>
      <c r="AA102" s="19" t="s">
        <v>54</v>
      </c>
      <c r="AB102" s="20">
        <v>44670.0</v>
      </c>
      <c r="AC102" s="19"/>
      <c r="AD102" s="20"/>
      <c r="AE102" s="19"/>
      <c r="AF102" s="20"/>
      <c r="AG102" s="21"/>
      <c r="AH102" s="18"/>
      <c r="AI102" s="18"/>
      <c r="AJ102" s="18"/>
      <c r="AK102" s="19" t="s">
        <v>110</v>
      </c>
      <c r="AL102" s="19"/>
      <c r="AM102" s="19"/>
      <c r="AN102" s="18"/>
      <c r="AO102" s="18"/>
      <c r="AP102" s="22"/>
      <c r="AQ102" s="18"/>
    </row>
    <row r="103">
      <c r="A103" s="11" t="s">
        <v>599</v>
      </c>
      <c r="B103" s="11" t="s">
        <v>600</v>
      </c>
      <c r="C103" s="11" t="str">
        <f>VLOOKUP(A103,import!A:C,3,0)</f>
        <v>DOĞRU</v>
      </c>
      <c r="D103" s="11" t="s">
        <v>69</v>
      </c>
      <c r="E103" s="11">
        <f>VLOOKUP(A103,import!A:J,5,0)</f>
        <v>11</v>
      </c>
      <c r="F103" s="11" t="str">
        <f>VLOOKUP(A103,import!A:J,6,0)</f>
        <v/>
      </c>
      <c r="G103" s="11">
        <f>VLOOKUP(A103,import!A:J,7,0)</f>
        <v>11</v>
      </c>
      <c r="H103" s="11">
        <f>VLOOKUP(A103,import!A:J,8,0)</f>
        <v>9</v>
      </c>
      <c r="I103" s="11">
        <f>VLOOKUP(A103,import!A:J,9,0)</f>
        <v>20</v>
      </c>
      <c r="J103" s="12">
        <f>VLOOKUP(A103,import!A:J,10,0)</f>
        <v>0.55</v>
      </c>
      <c r="K103" s="11" t="s">
        <v>601</v>
      </c>
      <c r="L103" s="11">
        <v>5.525001007E9</v>
      </c>
      <c r="M103" s="11" t="s">
        <v>71</v>
      </c>
      <c r="N103" s="11" t="s">
        <v>62</v>
      </c>
      <c r="O103" s="11" t="s">
        <v>602</v>
      </c>
      <c r="P103" s="11" t="str">
        <f>VLOOKUP(A103,import!A:P,16,0)</f>
        <v>Geleneksel</v>
      </c>
      <c r="Q103" s="13"/>
      <c r="R103" s="13" t="b">
        <v>1</v>
      </c>
      <c r="S103" s="13" t="b">
        <v>0</v>
      </c>
      <c r="T103" s="14" t="s">
        <v>74</v>
      </c>
      <c r="U103" s="14" t="s">
        <v>110</v>
      </c>
      <c r="V103" s="30" t="s">
        <v>76</v>
      </c>
      <c r="W103" s="14" t="s">
        <v>216</v>
      </c>
      <c r="X103" s="24">
        <v>44638.0</v>
      </c>
      <c r="Y103" s="24">
        <v>44664.0</v>
      </c>
      <c r="Z103" s="18"/>
      <c r="AA103" s="19" t="s">
        <v>54</v>
      </c>
      <c r="AB103" s="20">
        <v>44637.0</v>
      </c>
      <c r="AC103" s="19" t="s">
        <v>54</v>
      </c>
      <c r="AD103" s="20">
        <v>44638.0</v>
      </c>
      <c r="AE103" s="19"/>
      <c r="AF103" s="20"/>
      <c r="AG103" s="21"/>
      <c r="AH103" s="18"/>
      <c r="AI103" s="18"/>
      <c r="AJ103" s="18"/>
      <c r="AK103" s="19" t="s">
        <v>110</v>
      </c>
      <c r="AL103" s="19" t="s">
        <v>110</v>
      </c>
      <c r="AM103" s="19"/>
      <c r="AN103" s="18"/>
      <c r="AO103" s="18"/>
      <c r="AP103" s="22"/>
      <c r="AQ103" s="18"/>
    </row>
    <row r="104">
      <c r="A104" s="11" t="s">
        <v>603</v>
      </c>
      <c r="B104" s="11" t="s">
        <v>604</v>
      </c>
      <c r="C104" s="11" t="str">
        <f>VLOOKUP(A104,import!A:C,3,0)</f>
        <v>DOĞRU</v>
      </c>
      <c r="D104" s="11" t="s">
        <v>69</v>
      </c>
      <c r="E104" s="11">
        <f>VLOOKUP(A104,import!A:J,5,0)</f>
        <v>257</v>
      </c>
      <c r="F104" s="11">
        <f>VLOOKUP(A104,import!A:J,6,0)</f>
        <v>163</v>
      </c>
      <c r="G104" s="11">
        <f>VLOOKUP(A104,import!A:J,7,0)</f>
        <v>5</v>
      </c>
      <c r="H104" s="11">
        <f>VLOOKUP(A104,import!A:J,8,0)</f>
        <v>15</v>
      </c>
      <c r="I104" s="11">
        <f>VLOOKUP(A104,import!A:J,9,0)</f>
        <v>20</v>
      </c>
      <c r="J104" s="12">
        <f>VLOOKUP(A104,import!A:J,10,0)</f>
        <v>0.25</v>
      </c>
      <c r="K104" s="11" t="s">
        <v>605</v>
      </c>
      <c r="L104" s="11">
        <v>5.050856626E9</v>
      </c>
      <c r="M104" s="11" t="s">
        <v>61</v>
      </c>
      <c r="N104" s="11" t="s">
        <v>250</v>
      </c>
      <c r="O104" s="11" t="s">
        <v>606</v>
      </c>
      <c r="P104" s="11" t="str">
        <f>VLOOKUP(A104,import!A:P,16,0)</f>
        <v>Geleneksel</v>
      </c>
      <c r="Q104" s="13"/>
      <c r="R104" s="13" t="b">
        <v>1</v>
      </c>
      <c r="S104" s="13" t="b">
        <v>0</v>
      </c>
      <c r="T104" s="14" t="s">
        <v>74</v>
      </c>
      <c r="U104" s="14" t="s">
        <v>75</v>
      </c>
      <c r="V104" s="30" t="s">
        <v>76</v>
      </c>
      <c r="W104" s="14"/>
      <c r="X104" s="24">
        <v>44623.0</v>
      </c>
      <c r="Y104" s="24">
        <v>44623.0</v>
      </c>
      <c r="Z104" s="18"/>
      <c r="AA104" s="19" t="s">
        <v>54</v>
      </c>
      <c r="AB104" s="24">
        <v>44593.0</v>
      </c>
      <c r="AC104" s="19" t="s">
        <v>54</v>
      </c>
      <c r="AD104" s="24">
        <v>44623.0</v>
      </c>
      <c r="AE104" s="19"/>
      <c r="AF104" s="20"/>
      <c r="AG104" s="21"/>
      <c r="AH104" s="18"/>
      <c r="AI104" s="18"/>
      <c r="AJ104" s="18"/>
      <c r="AK104" s="19" t="s">
        <v>75</v>
      </c>
      <c r="AL104" s="19" t="s">
        <v>75</v>
      </c>
      <c r="AM104" s="19"/>
      <c r="AN104" s="18"/>
      <c r="AO104" s="18"/>
      <c r="AP104" s="22"/>
      <c r="AQ104" s="18"/>
    </row>
    <row r="105">
      <c r="A105" s="11" t="s">
        <v>607</v>
      </c>
      <c r="B105" s="11" t="s">
        <v>608</v>
      </c>
      <c r="C105" s="11" t="str">
        <f>VLOOKUP(A105,import!A:C,3,0)</f>
        <v>YANLIŞ</v>
      </c>
      <c r="D105" s="11" t="s">
        <v>172</v>
      </c>
      <c r="E105" s="11">
        <f>VLOOKUP(A105,import!A:J,5,0)</f>
        <v>126</v>
      </c>
      <c r="F105" s="11" t="str">
        <f>VLOOKUP(A105,import!A:J,6,0)</f>
        <v/>
      </c>
      <c r="G105" s="11">
        <f>VLOOKUP(A105,import!A:J,7,0)</f>
        <v>0</v>
      </c>
      <c r="H105" s="11">
        <f>VLOOKUP(A105,import!A:J,8,0)</f>
        <v>4</v>
      </c>
      <c r="I105" s="11">
        <f>VLOOKUP(A105,import!A:J,9,0)</f>
        <v>4</v>
      </c>
      <c r="J105" s="12">
        <f>VLOOKUP(A105,import!A:J,10,0)</f>
        <v>0</v>
      </c>
      <c r="K105" s="11" t="s">
        <v>92</v>
      </c>
      <c r="L105" s="11">
        <v>5.354681338E9</v>
      </c>
      <c r="M105" s="11" t="s">
        <v>61</v>
      </c>
      <c r="N105" s="11" t="s">
        <v>62</v>
      </c>
      <c r="O105" s="11" t="s">
        <v>609</v>
      </c>
      <c r="P105" s="11" t="str">
        <f>VLOOKUP(A105,import!A:P,16,0)</f>
        <v>Geleneksel</v>
      </c>
      <c r="Q105" s="13"/>
      <c r="R105" s="13" t="b">
        <v>1</v>
      </c>
      <c r="S105" s="13" t="b">
        <v>0</v>
      </c>
      <c r="T105" s="14" t="s">
        <v>53</v>
      </c>
      <c r="U105" s="14"/>
      <c r="V105" s="14"/>
      <c r="W105" s="14" t="s">
        <v>610</v>
      </c>
      <c r="X105" s="24"/>
      <c r="Y105" s="24"/>
      <c r="Z105" s="18"/>
      <c r="AA105" s="19" t="s">
        <v>53</v>
      </c>
      <c r="AB105" s="20">
        <v>44579.0</v>
      </c>
      <c r="AC105" s="19" t="s">
        <v>53</v>
      </c>
      <c r="AD105" s="20">
        <v>44595.0</v>
      </c>
      <c r="AE105" s="19" t="s">
        <v>53</v>
      </c>
      <c r="AF105" s="20">
        <v>44635.0</v>
      </c>
      <c r="AG105" s="21"/>
      <c r="AH105" s="18"/>
      <c r="AI105" s="18"/>
      <c r="AJ105" s="18"/>
      <c r="AK105" s="19" t="s">
        <v>86</v>
      </c>
      <c r="AL105" s="19" t="s">
        <v>127</v>
      </c>
      <c r="AM105" s="19" t="s">
        <v>140</v>
      </c>
      <c r="AN105" s="18"/>
      <c r="AO105" s="18"/>
      <c r="AP105" s="22" t="s">
        <v>56</v>
      </c>
      <c r="AQ105" s="18"/>
    </row>
    <row r="106">
      <c r="A106" s="11" t="s">
        <v>611</v>
      </c>
      <c r="B106" s="11" t="s">
        <v>612</v>
      </c>
      <c r="C106" s="11" t="str">
        <f>VLOOKUP(A106,import!A:C,3,0)</f>
        <v>DOĞRU</v>
      </c>
      <c r="D106" s="11" t="s">
        <v>165</v>
      </c>
      <c r="E106" s="11">
        <f>VLOOKUP(A106,import!A:J,5,0)</f>
        <v>516</v>
      </c>
      <c r="F106" s="11" t="str">
        <f>VLOOKUP(A106,import!A:J,6,0)</f>
        <v/>
      </c>
      <c r="G106" s="11">
        <f>VLOOKUP(A106,import!A:J,7,0)</f>
        <v>5</v>
      </c>
      <c r="H106" s="11">
        <f>VLOOKUP(A106,import!A:J,8,0)</f>
        <v>10</v>
      </c>
      <c r="I106" s="11">
        <f>VLOOKUP(A106,import!A:J,9,0)</f>
        <v>15</v>
      </c>
      <c r="J106" s="12">
        <f>VLOOKUP(A106,import!A:J,10,0)</f>
        <v>0.33</v>
      </c>
      <c r="K106" s="11" t="s">
        <v>613</v>
      </c>
      <c r="L106" s="11">
        <v>3.522360121E9</v>
      </c>
      <c r="M106" s="11" t="s">
        <v>47</v>
      </c>
      <c r="N106" s="11" t="s">
        <v>536</v>
      </c>
      <c r="O106" s="11" t="s">
        <v>614</v>
      </c>
      <c r="P106" s="11" t="str">
        <f>VLOOKUP(A106,import!A:P,16,0)</f>
        <v>Geleneksel</v>
      </c>
      <c r="Q106" s="13"/>
      <c r="R106" s="13" t="b">
        <v>1</v>
      </c>
      <c r="S106" s="13" t="b">
        <v>0</v>
      </c>
      <c r="T106" s="25" t="s">
        <v>74</v>
      </c>
      <c r="U106" s="25" t="s">
        <v>538</v>
      </c>
      <c r="V106" s="25" t="s">
        <v>96</v>
      </c>
      <c r="W106" s="25" t="s">
        <v>615</v>
      </c>
      <c r="X106" s="34">
        <v>44292.0</v>
      </c>
      <c r="Y106" s="34">
        <v>44294.0</v>
      </c>
      <c r="Z106" s="18"/>
      <c r="AA106" s="19" t="s">
        <v>347</v>
      </c>
      <c r="AB106" s="20">
        <v>44631.0</v>
      </c>
      <c r="AC106" s="18"/>
      <c r="AD106" s="18"/>
      <c r="AE106" s="21"/>
      <c r="AF106" s="18"/>
      <c r="AG106" s="21"/>
      <c r="AH106" s="18"/>
      <c r="AI106" s="18"/>
      <c r="AJ106" s="18"/>
      <c r="AK106" s="19" t="s">
        <v>127</v>
      </c>
      <c r="AL106" s="18"/>
      <c r="AM106" s="18"/>
      <c r="AN106" s="18"/>
      <c r="AO106" s="18"/>
      <c r="AP106" s="22" t="s">
        <v>56</v>
      </c>
      <c r="AQ106" s="18"/>
    </row>
    <row r="107">
      <c r="A107" s="11" t="s">
        <v>616</v>
      </c>
      <c r="B107" s="11" t="s">
        <v>617</v>
      </c>
      <c r="C107" s="11" t="str">
        <f>VLOOKUP(A107,import!A:C,3,0)</f>
        <v>DOĞRU</v>
      </c>
      <c r="D107" s="11" t="s">
        <v>165</v>
      </c>
      <c r="E107" s="11">
        <f>VLOOKUP(A107,import!A:J,5,0)</f>
        <v>388</v>
      </c>
      <c r="F107" s="11">
        <f>VLOOKUP(A107,import!A:J,6,0)</f>
        <v>1</v>
      </c>
      <c r="G107" s="11">
        <f>VLOOKUP(A107,import!A:J,7,0)</f>
        <v>0</v>
      </c>
      <c r="H107" s="11">
        <f>VLOOKUP(A107,import!A:J,8,0)</f>
        <v>11</v>
      </c>
      <c r="I107" s="11">
        <f>VLOOKUP(A107,import!A:J,9,0)</f>
        <v>11</v>
      </c>
      <c r="J107" s="12">
        <f>VLOOKUP(A107,import!A:J,10,0)</f>
        <v>0</v>
      </c>
      <c r="K107" s="11" t="s">
        <v>613</v>
      </c>
      <c r="L107" s="11">
        <v>3.52438222E9</v>
      </c>
      <c r="M107" s="11" t="s">
        <v>61</v>
      </c>
      <c r="N107" s="11" t="s">
        <v>250</v>
      </c>
      <c r="O107" s="11" t="s">
        <v>618</v>
      </c>
      <c r="P107" s="11" t="str">
        <f>VLOOKUP(A107,import!A:P,16,0)</f>
        <v>Geleneksel</v>
      </c>
      <c r="Q107" s="13"/>
      <c r="R107" s="13" t="b">
        <v>1</v>
      </c>
      <c r="S107" s="13" t="b">
        <v>0</v>
      </c>
      <c r="T107" s="14" t="s">
        <v>145</v>
      </c>
      <c r="U107" s="15"/>
      <c r="V107" s="15"/>
      <c r="W107" s="15"/>
      <c r="X107" s="17"/>
      <c r="Y107" s="17"/>
      <c r="Z107" s="18"/>
      <c r="AA107" s="18"/>
      <c r="AB107" s="18"/>
      <c r="AC107" s="18"/>
      <c r="AD107" s="18"/>
      <c r="AE107" s="21"/>
      <c r="AF107" s="18"/>
      <c r="AG107" s="21"/>
      <c r="AH107" s="18"/>
      <c r="AI107" s="18"/>
      <c r="AJ107" s="18"/>
      <c r="AK107" s="18"/>
      <c r="AL107" s="18"/>
      <c r="AM107" s="18"/>
      <c r="AN107" s="18"/>
      <c r="AO107" s="18"/>
      <c r="AP107" s="22" t="s">
        <v>56</v>
      </c>
      <c r="AQ107" s="18"/>
    </row>
    <row r="108">
      <c r="A108" s="11" t="s">
        <v>619</v>
      </c>
      <c r="B108" s="11" t="s">
        <v>620</v>
      </c>
      <c r="C108" s="11" t="str">
        <f>VLOOKUP(A108,import!A:C,3,0)</f>
        <v>DOĞRU</v>
      </c>
      <c r="D108" s="11" t="s">
        <v>91</v>
      </c>
      <c r="E108" s="11">
        <f>VLOOKUP(A108,import!A:J,5,0)</f>
        <v>787</v>
      </c>
      <c r="F108" s="11">
        <f>VLOOKUP(A108,import!A:J,6,0)</f>
        <v>35</v>
      </c>
      <c r="G108" s="11">
        <f>VLOOKUP(A108,import!A:J,7,0)</f>
        <v>31</v>
      </c>
      <c r="H108" s="11">
        <f>VLOOKUP(A108,import!A:J,8,0)</f>
        <v>43</v>
      </c>
      <c r="I108" s="11">
        <f>VLOOKUP(A108,import!A:J,9,0)</f>
        <v>74</v>
      </c>
      <c r="J108" s="12">
        <f>VLOOKUP(A108,import!A:J,10,0)</f>
        <v>0.42</v>
      </c>
      <c r="K108" s="11" t="s">
        <v>621</v>
      </c>
      <c r="L108" s="11">
        <v>3.522232601E9</v>
      </c>
      <c r="M108" s="11" t="s">
        <v>71</v>
      </c>
      <c r="N108" s="11" t="s">
        <v>420</v>
      </c>
      <c r="O108" s="11" t="s">
        <v>622</v>
      </c>
      <c r="P108" s="11" t="str">
        <f>VLOOKUP(A108,import!A:P,16,0)</f>
        <v>Geleneksel</v>
      </c>
      <c r="Q108" s="13"/>
      <c r="R108" s="13" t="b">
        <v>1</v>
      </c>
      <c r="S108" s="13" t="b">
        <v>0</v>
      </c>
      <c r="T108" s="14" t="s">
        <v>74</v>
      </c>
      <c r="U108" s="14" t="s">
        <v>75</v>
      </c>
      <c r="V108" s="35" t="s">
        <v>76</v>
      </c>
      <c r="W108" s="15"/>
      <c r="X108" s="24">
        <v>44610.0</v>
      </c>
      <c r="Y108" s="24">
        <v>44610.0</v>
      </c>
      <c r="Z108" s="18"/>
      <c r="AA108" s="19" t="s">
        <v>54</v>
      </c>
      <c r="AB108" s="24">
        <v>44610.0</v>
      </c>
      <c r="AC108" s="18"/>
      <c r="AD108" s="18"/>
      <c r="AE108" s="21"/>
      <c r="AF108" s="18"/>
      <c r="AG108" s="21"/>
      <c r="AH108" s="18"/>
      <c r="AI108" s="18"/>
      <c r="AJ108" s="18"/>
      <c r="AK108" s="19" t="s">
        <v>75</v>
      </c>
      <c r="AL108" s="18"/>
      <c r="AM108" s="18"/>
      <c r="AN108" s="18"/>
      <c r="AO108" s="18"/>
      <c r="AP108" s="22" t="s">
        <v>56</v>
      </c>
      <c r="AQ108" s="18"/>
    </row>
    <row r="109">
      <c r="A109" s="11" t="s">
        <v>623</v>
      </c>
      <c r="B109" s="11" t="s">
        <v>624</v>
      </c>
      <c r="C109" s="11" t="str">
        <f>VLOOKUP(A109,import!A:C,3,0)</f>
        <v>DOĞRU</v>
      </c>
      <c r="D109" s="11" t="s">
        <v>100</v>
      </c>
      <c r="E109" s="11">
        <f>VLOOKUP(A109,import!A:J,5,0)</f>
        <v>3692</v>
      </c>
      <c r="F109" s="11">
        <f>VLOOKUP(A109,import!A:J,6,0)</f>
        <v>171</v>
      </c>
      <c r="G109" s="11">
        <f>VLOOKUP(A109,import!A:J,7,0)</f>
        <v>37</v>
      </c>
      <c r="H109" s="11">
        <f>VLOOKUP(A109,import!A:J,8,0)</f>
        <v>21</v>
      </c>
      <c r="I109" s="11">
        <f>VLOOKUP(A109,import!A:J,9,0)</f>
        <v>58</v>
      </c>
      <c r="J109" s="12">
        <f>VLOOKUP(A109,import!A:J,10,0)</f>
        <v>0.64</v>
      </c>
      <c r="K109" s="11" t="s">
        <v>625</v>
      </c>
      <c r="L109" s="11">
        <v>5.5265243E9</v>
      </c>
      <c r="M109" s="11" t="s">
        <v>47</v>
      </c>
      <c r="N109" s="11" t="s">
        <v>588</v>
      </c>
      <c r="O109" s="11" t="s">
        <v>626</v>
      </c>
      <c r="P109" s="11" t="str">
        <f>VLOOKUP(A109,import!A:P,16,0)</f>
        <v>Geleneksel</v>
      </c>
      <c r="Q109" s="13"/>
      <c r="R109" s="13" t="b">
        <v>1</v>
      </c>
      <c r="S109" s="13" t="b">
        <v>0</v>
      </c>
      <c r="T109" s="14" t="s">
        <v>74</v>
      </c>
      <c r="U109" s="14" t="s">
        <v>127</v>
      </c>
      <c r="V109" s="30" t="s">
        <v>76</v>
      </c>
      <c r="W109" s="14" t="s">
        <v>627</v>
      </c>
      <c r="X109" s="24">
        <v>44603.0</v>
      </c>
      <c r="Y109" s="24">
        <v>44606.0</v>
      </c>
      <c r="Z109" s="18"/>
      <c r="AA109" s="19" t="s">
        <v>54</v>
      </c>
      <c r="AB109" s="20">
        <v>44603.0</v>
      </c>
      <c r="AC109" s="18"/>
      <c r="AD109" s="18"/>
      <c r="AE109" s="21"/>
      <c r="AF109" s="18"/>
      <c r="AG109" s="21"/>
      <c r="AH109" s="18"/>
      <c r="AI109" s="18"/>
      <c r="AJ109" s="18"/>
      <c r="AK109" s="19" t="s">
        <v>127</v>
      </c>
      <c r="AL109" s="18"/>
      <c r="AM109" s="18"/>
      <c r="AN109" s="18"/>
      <c r="AO109" s="18"/>
      <c r="AP109" s="22" t="s">
        <v>56</v>
      </c>
      <c r="AQ109" s="18"/>
    </row>
    <row r="110">
      <c r="A110" s="11" t="s">
        <v>628</v>
      </c>
      <c r="B110" s="11" t="s">
        <v>629</v>
      </c>
      <c r="C110" s="11" t="str">
        <f>VLOOKUP(A110,import!A:C,3,0)</f>
        <v>DOĞRU</v>
      </c>
      <c r="D110" s="11" t="s">
        <v>406</v>
      </c>
      <c r="E110" s="11">
        <f>VLOOKUP(A110,import!A:J,5,0)</f>
        <v>781</v>
      </c>
      <c r="F110" s="11" t="str">
        <f>VLOOKUP(A110,import!A:J,6,0)</f>
        <v/>
      </c>
      <c r="G110" s="11">
        <f>VLOOKUP(A110,import!A:J,7,0)</f>
        <v>0</v>
      </c>
      <c r="H110" s="11">
        <f>VLOOKUP(A110,import!A:J,8,0)</f>
        <v>25</v>
      </c>
      <c r="I110" s="11">
        <f>VLOOKUP(A110,import!A:J,9,0)</f>
        <v>25</v>
      </c>
      <c r="J110" s="12">
        <f>VLOOKUP(A110,import!A:J,10,0)</f>
        <v>0</v>
      </c>
      <c r="K110" s="11" t="s">
        <v>630</v>
      </c>
      <c r="L110" s="11">
        <v>5.412310534E9</v>
      </c>
      <c r="M110" s="11" t="s">
        <v>71</v>
      </c>
      <c r="N110" s="11" t="s">
        <v>102</v>
      </c>
      <c r="O110" s="11" t="s">
        <v>631</v>
      </c>
      <c r="P110" s="11" t="str">
        <f>VLOOKUP(A110,import!A:P,16,0)</f>
        <v>Geleneksel</v>
      </c>
      <c r="Q110" s="13"/>
      <c r="R110" s="13" t="b">
        <v>1</v>
      </c>
      <c r="S110" s="13" t="b">
        <v>1</v>
      </c>
      <c r="T110" s="14"/>
      <c r="U110" s="14"/>
      <c r="V110" s="14"/>
      <c r="W110" s="14" t="s">
        <v>632</v>
      </c>
      <c r="X110" s="24"/>
      <c r="Y110" s="24"/>
      <c r="Z110" s="18"/>
      <c r="AA110" s="19" t="s">
        <v>53</v>
      </c>
      <c r="AB110" s="20">
        <v>44662.0</v>
      </c>
      <c r="AC110" s="18"/>
      <c r="AD110" s="18"/>
      <c r="AE110" s="21"/>
      <c r="AF110" s="18"/>
      <c r="AG110" s="21"/>
      <c r="AH110" s="18"/>
      <c r="AI110" s="18"/>
      <c r="AJ110" s="18"/>
      <c r="AK110" s="19" t="s">
        <v>110</v>
      </c>
      <c r="AL110" s="18"/>
      <c r="AM110" s="18"/>
      <c r="AN110" s="18"/>
      <c r="AO110" s="18"/>
      <c r="AP110" s="22" t="s">
        <v>56</v>
      </c>
      <c r="AQ110" s="18"/>
    </row>
    <row r="111">
      <c r="A111" s="11" t="s">
        <v>633</v>
      </c>
      <c r="B111" s="11" t="s">
        <v>634</v>
      </c>
      <c r="C111" s="11" t="str">
        <f>VLOOKUP(A111,import!A:C,3,0)</f>
        <v>DOĞRU</v>
      </c>
      <c r="D111" s="11" t="s">
        <v>172</v>
      </c>
      <c r="E111" s="11">
        <f>VLOOKUP(A111,import!A:J,5,0)</f>
        <v>2155</v>
      </c>
      <c r="F111" s="11">
        <f>VLOOKUP(A111,import!A:J,6,0)</f>
        <v>29</v>
      </c>
      <c r="G111" s="11">
        <f>VLOOKUP(A111,import!A:J,7,0)</f>
        <v>8</v>
      </c>
      <c r="H111" s="11">
        <f>VLOOKUP(A111,import!A:J,8,0)</f>
        <v>8</v>
      </c>
      <c r="I111" s="11">
        <f>VLOOKUP(A111,import!A:J,9,0)</f>
        <v>16</v>
      </c>
      <c r="J111" s="12">
        <f>VLOOKUP(A111,import!A:J,10,0)</f>
        <v>0.5</v>
      </c>
      <c r="K111" s="11" t="s">
        <v>635</v>
      </c>
      <c r="L111" s="11">
        <v>5.528155238E9</v>
      </c>
      <c r="M111" s="11" t="s">
        <v>71</v>
      </c>
      <c r="N111" s="11" t="s">
        <v>204</v>
      </c>
      <c r="O111" s="11" t="s">
        <v>636</v>
      </c>
      <c r="P111" s="11" t="str">
        <f>VLOOKUP(A111,import!A:P,16,0)</f>
        <v>Geleneksel</v>
      </c>
      <c r="Q111" s="13"/>
      <c r="R111" s="13" t="b">
        <v>1</v>
      </c>
      <c r="S111" s="13" t="b">
        <v>0</v>
      </c>
      <c r="T111" s="14" t="s">
        <v>74</v>
      </c>
      <c r="U111" s="14" t="s">
        <v>110</v>
      </c>
      <c r="V111" s="30" t="s">
        <v>76</v>
      </c>
      <c r="W111" s="14"/>
      <c r="X111" s="24">
        <v>44620.0</v>
      </c>
      <c r="Y111" s="24">
        <v>44621.0</v>
      </c>
      <c r="Z111" s="18"/>
      <c r="AA111" s="19" t="s">
        <v>54</v>
      </c>
      <c r="AB111" s="20">
        <v>44620.0</v>
      </c>
      <c r="AC111" s="19"/>
      <c r="AD111" s="20"/>
      <c r="AE111" s="21"/>
      <c r="AF111" s="18"/>
      <c r="AG111" s="21"/>
      <c r="AH111" s="18"/>
      <c r="AI111" s="18"/>
      <c r="AJ111" s="18"/>
      <c r="AK111" s="19" t="s">
        <v>110</v>
      </c>
      <c r="AL111" s="19"/>
      <c r="AM111" s="18"/>
      <c r="AN111" s="18"/>
      <c r="AO111" s="18"/>
      <c r="AP111" s="22" t="s">
        <v>56</v>
      </c>
      <c r="AQ111" s="18"/>
    </row>
    <row r="112">
      <c r="A112" s="11" t="s">
        <v>637</v>
      </c>
      <c r="B112" s="11" t="s">
        <v>638</v>
      </c>
      <c r="C112" s="11" t="str">
        <f>VLOOKUP(A112,import!A:C,3,0)</f>
        <v>DOĞRU</v>
      </c>
      <c r="D112" s="11" t="s">
        <v>100</v>
      </c>
      <c r="E112" s="11" t="str">
        <f>VLOOKUP(A112,import!A:J,5,0)</f>
        <v/>
      </c>
      <c r="F112" s="11" t="str">
        <f>VLOOKUP(A112,import!A:J,6,0)</f>
        <v/>
      </c>
      <c r="G112" s="11">
        <f>VLOOKUP(A112,import!A:J,7,0)</f>
        <v>8</v>
      </c>
      <c r="H112" s="11">
        <f>VLOOKUP(A112,import!A:J,8,0)</f>
        <v>0</v>
      </c>
      <c r="I112" s="11">
        <f>VLOOKUP(A112,import!A:J,9,0)</f>
        <v>8</v>
      </c>
      <c r="J112" s="12">
        <f>VLOOKUP(A112,import!A:J,10,0)</f>
        <v>1</v>
      </c>
      <c r="K112" s="11" t="s">
        <v>639</v>
      </c>
      <c r="L112" s="11">
        <v>5.304804817E9</v>
      </c>
      <c r="M112" s="11" t="s">
        <v>47</v>
      </c>
      <c r="N112" s="11" t="s">
        <v>640</v>
      </c>
      <c r="O112" s="11" t="s">
        <v>641</v>
      </c>
      <c r="P112" s="11" t="str">
        <f>VLOOKUP(A112,import!A:P,16,0)</f>
        <v>Geleneksel</v>
      </c>
      <c r="Q112" s="13"/>
      <c r="R112" s="13" t="b">
        <v>1</v>
      </c>
      <c r="S112" s="13" t="b">
        <v>0</v>
      </c>
      <c r="T112" s="14" t="s">
        <v>74</v>
      </c>
      <c r="U112" s="14" t="s">
        <v>75</v>
      </c>
      <c r="V112" s="30" t="s">
        <v>76</v>
      </c>
      <c r="W112" s="14"/>
      <c r="X112" s="24">
        <v>44650.0</v>
      </c>
      <c r="Y112" s="24">
        <v>44652.0</v>
      </c>
      <c r="Z112" s="18"/>
      <c r="AA112" s="19" t="s">
        <v>54</v>
      </c>
      <c r="AB112" s="24">
        <v>44650.0</v>
      </c>
      <c r="AC112" s="19"/>
      <c r="AD112" s="20"/>
      <c r="AE112" s="19"/>
      <c r="AF112" s="20"/>
      <c r="AG112" s="21"/>
      <c r="AH112" s="18"/>
      <c r="AI112" s="18"/>
      <c r="AJ112" s="18"/>
      <c r="AK112" s="19" t="s">
        <v>75</v>
      </c>
      <c r="AL112" s="19"/>
      <c r="AM112" s="19"/>
      <c r="AN112" s="18"/>
      <c r="AO112" s="18"/>
      <c r="AP112" s="22"/>
      <c r="AQ112" s="18"/>
    </row>
    <row r="113">
      <c r="A113" s="11" t="s">
        <v>642</v>
      </c>
      <c r="B113" s="11" t="s">
        <v>643</v>
      </c>
      <c r="C113" s="11" t="str">
        <f>VLOOKUP(A113,import!A:C,3,0)</f>
        <v>DOĞRU</v>
      </c>
      <c r="D113" s="11" t="s">
        <v>91</v>
      </c>
      <c r="E113" s="11">
        <f>VLOOKUP(A113,import!A:J,5,0)</f>
        <v>793</v>
      </c>
      <c r="F113" s="11" t="str">
        <f>VLOOKUP(A113,import!A:J,6,0)</f>
        <v/>
      </c>
      <c r="G113" s="11">
        <f>VLOOKUP(A113,import!A:J,7,0)</f>
        <v>45</v>
      </c>
      <c r="H113" s="11">
        <f>VLOOKUP(A113,import!A:J,8,0)</f>
        <v>5</v>
      </c>
      <c r="I113" s="11">
        <f>VLOOKUP(A113,import!A:J,9,0)</f>
        <v>50</v>
      </c>
      <c r="J113" s="12">
        <f>VLOOKUP(A113,import!A:J,10,0)</f>
        <v>0.9</v>
      </c>
      <c r="K113" s="11" t="s">
        <v>644</v>
      </c>
      <c r="L113" s="11">
        <v>3.524466767E9</v>
      </c>
      <c r="M113" s="11" t="s">
        <v>47</v>
      </c>
      <c r="N113" s="11" t="s">
        <v>48</v>
      </c>
      <c r="O113" s="11" t="s">
        <v>645</v>
      </c>
      <c r="P113" s="11" t="str">
        <f>VLOOKUP(A113,import!A:P,16,0)</f>
        <v>Geleneksel</v>
      </c>
      <c r="Q113" s="13"/>
      <c r="R113" s="13" t="b">
        <v>1</v>
      </c>
      <c r="S113" s="13" t="b">
        <v>0</v>
      </c>
      <c r="T113" s="14" t="s">
        <v>74</v>
      </c>
      <c r="U113" s="14" t="s">
        <v>110</v>
      </c>
      <c r="V113" s="39" t="s">
        <v>76</v>
      </c>
      <c r="W113" s="14" t="s">
        <v>646</v>
      </c>
      <c r="X113" s="24">
        <v>44601.0</v>
      </c>
      <c r="Y113" s="24">
        <v>44602.0</v>
      </c>
      <c r="Z113" s="18"/>
      <c r="AA113" s="19" t="s">
        <v>78</v>
      </c>
      <c r="AB113" s="20">
        <v>44571.0</v>
      </c>
      <c r="AC113" s="19" t="s">
        <v>54</v>
      </c>
      <c r="AD113" s="20">
        <v>44601.0</v>
      </c>
      <c r="AE113" s="21"/>
      <c r="AF113" s="18"/>
      <c r="AG113" s="21"/>
      <c r="AH113" s="18"/>
      <c r="AI113" s="18"/>
      <c r="AJ113" s="18"/>
      <c r="AK113" s="19" t="s">
        <v>110</v>
      </c>
      <c r="AL113" s="19" t="s">
        <v>110</v>
      </c>
      <c r="AM113" s="18"/>
      <c r="AN113" s="18"/>
      <c r="AO113" s="18"/>
      <c r="AP113" s="22"/>
      <c r="AQ113" s="18"/>
    </row>
    <row r="114">
      <c r="A114" s="22" t="s">
        <v>647</v>
      </c>
      <c r="B114" s="22" t="s">
        <v>648</v>
      </c>
      <c r="C114" s="11" t="str">
        <f>VLOOKUP(A114,import!A:C,3,0)</f>
        <v>DOĞRU</v>
      </c>
      <c r="D114" s="22" t="s">
        <v>69</v>
      </c>
      <c r="E114" s="11" t="str">
        <f>VLOOKUP(A114,import!A:J,5,0)</f>
        <v/>
      </c>
      <c r="F114" s="11" t="str">
        <f>VLOOKUP(A114,import!A:J,6,0)</f>
        <v/>
      </c>
      <c r="G114" s="11">
        <f>VLOOKUP(A114,import!A:J,7,0)</f>
        <v>0</v>
      </c>
      <c r="H114" s="11">
        <f>VLOOKUP(A114,import!A:J,8,0)</f>
        <v>28</v>
      </c>
      <c r="I114" s="11">
        <f>VLOOKUP(A114,import!A:J,9,0)</f>
        <v>28</v>
      </c>
      <c r="J114" s="12">
        <f>VLOOKUP(A114,import!A:J,10,0)</f>
        <v>0</v>
      </c>
      <c r="K114" s="22" t="s">
        <v>649</v>
      </c>
      <c r="L114" s="22">
        <v>5.312840476E9</v>
      </c>
      <c r="M114" s="22" t="s">
        <v>71</v>
      </c>
      <c r="N114" s="22" t="s">
        <v>302</v>
      </c>
      <c r="O114" s="22" t="s">
        <v>303</v>
      </c>
      <c r="P114" s="11" t="str">
        <f>VLOOKUP(A114,import!A:P,16,0)</f>
        <v>Geleneksel</v>
      </c>
      <c r="Q114" s="13"/>
      <c r="R114" s="13" t="b">
        <v>1</v>
      </c>
      <c r="S114" s="13" t="b">
        <v>0</v>
      </c>
      <c r="T114" s="14"/>
      <c r="U114" s="14"/>
      <c r="V114" s="30"/>
      <c r="W114" s="14" t="s">
        <v>650</v>
      </c>
      <c r="X114" s="24"/>
      <c r="Y114" s="24"/>
      <c r="Z114" s="18"/>
      <c r="AA114" s="19" t="s">
        <v>54</v>
      </c>
      <c r="AB114" s="20">
        <v>44676.0</v>
      </c>
      <c r="AC114" s="19"/>
      <c r="AD114" s="20"/>
      <c r="AE114" s="19"/>
      <c r="AF114" s="20"/>
      <c r="AG114" s="21"/>
      <c r="AH114" s="18"/>
      <c r="AI114" s="18"/>
      <c r="AJ114" s="18"/>
      <c r="AK114" s="19" t="s">
        <v>110</v>
      </c>
      <c r="AL114" s="19"/>
      <c r="AM114" s="19"/>
      <c r="AN114" s="18"/>
      <c r="AO114" s="18"/>
      <c r="AP114" s="22"/>
      <c r="AQ114" s="18"/>
    </row>
    <row r="115">
      <c r="A115" s="11" t="s">
        <v>651</v>
      </c>
      <c r="B115" s="11" t="s">
        <v>652</v>
      </c>
      <c r="C115" s="11" t="str">
        <f>VLOOKUP(A115,import!A:C,3,0)</f>
        <v>DOĞRU</v>
      </c>
      <c r="D115" s="11" t="s">
        <v>653</v>
      </c>
      <c r="E115" s="11">
        <f>VLOOKUP(A115,import!A:J,5,0)</f>
        <v>1741</v>
      </c>
      <c r="F115" s="11">
        <f>VLOOKUP(A115,import!A:J,6,0)</f>
        <v>11</v>
      </c>
      <c r="G115" s="11">
        <f>VLOOKUP(A115,import!A:J,7,0)</f>
        <v>15</v>
      </c>
      <c r="H115" s="11">
        <f>VLOOKUP(A115,import!A:J,8,0)</f>
        <v>1</v>
      </c>
      <c r="I115" s="11">
        <f>VLOOKUP(A115,import!A:J,9,0)</f>
        <v>16</v>
      </c>
      <c r="J115" s="12">
        <f>VLOOKUP(A115,import!A:J,10,0)</f>
        <v>0.94</v>
      </c>
      <c r="K115" s="11" t="s">
        <v>654</v>
      </c>
      <c r="L115" s="11">
        <v>3.524377744E9</v>
      </c>
      <c r="M115" s="11" t="s">
        <v>61</v>
      </c>
      <c r="N115" s="11" t="s">
        <v>250</v>
      </c>
      <c r="O115" s="11" t="s">
        <v>655</v>
      </c>
      <c r="P115" s="11" t="str">
        <f>VLOOKUP(A115,import!A:P,16,0)</f>
        <v>Geleneksel</v>
      </c>
      <c r="Q115" s="13"/>
      <c r="R115" s="13" t="b">
        <v>1</v>
      </c>
      <c r="S115" s="13" t="b">
        <v>0</v>
      </c>
      <c r="T115" s="14" t="s">
        <v>74</v>
      </c>
      <c r="U115" s="14" t="s">
        <v>352</v>
      </c>
      <c r="V115" s="14" t="s">
        <v>96</v>
      </c>
      <c r="W115" s="14" t="s">
        <v>656</v>
      </c>
      <c r="X115" s="24">
        <v>44301.0</v>
      </c>
      <c r="Y115" s="24">
        <v>44302.0</v>
      </c>
      <c r="Z115" s="18"/>
      <c r="AA115" s="18"/>
      <c r="AB115" s="18"/>
      <c r="AC115" s="18"/>
      <c r="AD115" s="18"/>
      <c r="AE115" s="21"/>
      <c r="AF115" s="18"/>
      <c r="AG115" s="21"/>
      <c r="AH115" s="18"/>
      <c r="AI115" s="18"/>
      <c r="AJ115" s="18"/>
      <c r="AK115" s="18"/>
      <c r="AL115" s="18"/>
      <c r="AM115" s="18"/>
      <c r="AN115" s="18"/>
      <c r="AO115" s="18"/>
      <c r="AP115" s="22" t="s">
        <v>56</v>
      </c>
      <c r="AQ115" s="18"/>
    </row>
    <row r="116">
      <c r="A116" s="11" t="s">
        <v>657</v>
      </c>
      <c r="B116" s="11" t="s">
        <v>658</v>
      </c>
      <c r="C116" s="11" t="str">
        <f>VLOOKUP(A116,import!A:C,3,0)</f>
        <v>DOĞRU</v>
      </c>
      <c r="D116" s="11" t="s">
        <v>653</v>
      </c>
      <c r="E116" s="11">
        <f>VLOOKUP(A116,import!A:J,5,0)</f>
        <v>89</v>
      </c>
      <c r="F116" s="11">
        <f>VLOOKUP(A116,import!A:J,6,0)</f>
        <v>11</v>
      </c>
      <c r="G116" s="11">
        <f>VLOOKUP(A116,import!A:J,7,0)</f>
        <v>8</v>
      </c>
      <c r="H116" s="11">
        <f>VLOOKUP(A116,import!A:J,8,0)</f>
        <v>17</v>
      </c>
      <c r="I116" s="11">
        <f>VLOOKUP(A116,import!A:J,9,0)</f>
        <v>25</v>
      </c>
      <c r="J116" s="12">
        <f>VLOOKUP(A116,import!A:J,10,0)</f>
        <v>0.32</v>
      </c>
      <c r="K116" s="11" t="s">
        <v>659</v>
      </c>
      <c r="L116" s="11">
        <v>3.525021252E9</v>
      </c>
      <c r="M116" s="11" t="s">
        <v>47</v>
      </c>
      <c r="N116" s="11" t="s">
        <v>47</v>
      </c>
      <c r="O116" s="11" t="s">
        <v>660</v>
      </c>
      <c r="P116" s="11" t="str">
        <f>VLOOKUP(A116,import!A:P,16,0)</f>
        <v>Geleneksel</v>
      </c>
      <c r="Q116" s="13"/>
      <c r="R116" s="13" t="b">
        <v>1</v>
      </c>
      <c r="S116" s="13" t="b">
        <v>0</v>
      </c>
      <c r="T116" s="14" t="s">
        <v>74</v>
      </c>
      <c r="U116" s="14" t="s">
        <v>110</v>
      </c>
      <c r="V116" s="39" t="s">
        <v>76</v>
      </c>
      <c r="W116" s="14" t="s">
        <v>661</v>
      </c>
      <c r="X116" s="24">
        <v>44599.0</v>
      </c>
      <c r="Y116" s="24">
        <v>44600.0</v>
      </c>
      <c r="Z116" s="18"/>
      <c r="AA116" s="19" t="s">
        <v>54</v>
      </c>
      <c r="AB116" s="20">
        <v>44599.0</v>
      </c>
      <c r="AC116" s="19"/>
      <c r="AD116" s="20"/>
      <c r="AE116" s="19"/>
      <c r="AF116" s="20"/>
      <c r="AG116" s="21"/>
      <c r="AH116" s="18"/>
      <c r="AI116" s="18"/>
      <c r="AJ116" s="18"/>
      <c r="AK116" s="19" t="s">
        <v>110</v>
      </c>
      <c r="AL116" s="19"/>
      <c r="AM116" s="19"/>
      <c r="AN116" s="18"/>
      <c r="AO116" s="18"/>
      <c r="AP116" s="22"/>
      <c r="AQ116" s="18"/>
    </row>
    <row r="117">
      <c r="A117" s="11" t="s">
        <v>662</v>
      </c>
      <c r="B117" s="11" t="s">
        <v>663</v>
      </c>
      <c r="C117" s="11" t="str">
        <f>VLOOKUP(A117,import!A:C,3,0)</f>
        <v>DOĞRU</v>
      </c>
      <c r="D117" s="11" t="s">
        <v>69</v>
      </c>
      <c r="E117" s="11">
        <f>VLOOKUP(A117,import!A:J,5,0)</f>
        <v>558</v>
      </c>
      <c r="F117" s="11">
        <f>VLOOKUP(A117,import!A:J,6,0)</f>
        <v>44</v>
      </c>
      <c r="G117" s="11">
        <f>VLOOKUP(A117,import!A:J,7,0)</f>
        <v>33</v>
      </c>
      <c r="H117" s="11">
        <f>VLOOKUP(A117,import!A:J,8,0)</f>
        <v>5</v>
      </c>
      <c r="I117" s="11">
        <f>VLOOKUP(A117,import!A:J,9,0)</f>
        <v>38</v>
      </c>
      <c r="J117" s="12">
        <f>VLOOKUP(A117,import!A:J,10,0)</f>
        <v>0.87</v>
      </c>
      <c r="K117" s="11" t="s">
        <v>664</v>
      </c>
      <c r="L117" s="11">
        <v>5.413869E9</v>
      </c>
      <c r="M117" s="11" t="s">
        <v>71</v>
      </c>
      <c r="N117" s="11" t="s">
        <v>420</v>
      </c>
      <c r="O117" s="11" t="s">
        <v>665</v>
      </c>
      <c r="P117" s="11" t="s">
        <v>666</v>
      </c>
      <c r="Q117" s="13"/>
      <c r="R117" s="13" t="b">
        <v>1</v>
      </c>
      <c r="S117" s="13" t="b">
        <v>0</v>
      </c>
      <c r="T117" s="14" t="s">
        <v>74</v>
      </c>
      <c r="U117" s="14" t="s">
        <v>80</v>
      </c>
      <c r="V117" s="31"/>
      <c r="W117" s="14"/>
      <c r="X117" s="24">
        <v>44609.0</v>
      </c>
      <c r="Y117" s="24">
        <v>44610.0</v>
      </c>
      <c r="Z117" s="18"/>
      <c r="AA117" s="19" t="s">
        <v>54</v>
      </c>
      <c r="AB117" s="20">
        <v>44609.0</v>
      </c>
      <c r="AC117" s="19"/>
      <c r="AD117" s="20"/>
      <c r="AE117" s="21"/>
      <c r="AF117" s="18"/>
      <c r="AG117" s="21"/>
      <c r="AH117" s="18"/>
      <c r="AI117" s="18"/>
      <c r="AJ117" s="18"/>
      <c r="AK117" s="19" t="s">
        <v>80</v>
      </c>
      <c r="AL117" s="19"/>
      <c r="AM117" s="18"/>
      <c r="AN117" s="18"/>
      <c r="AO117" s="18"/>
      <c r="AP117" s="22" t="s">
        <v>56</v>
      </c>
      <c r="AQ117" s="18"/>
    </row>
    <row r="118">
      <c r="A118" s="11" t="s">
        <v>667</v>
      </c>
      <c r="B118" s="11" t="s">
        <v>668</v>
      </c>
      <c r="C118" s="11" t="str">
        <f>VLOOKUP(A118,import!A:C,3,0)</f>
        <v>YANLIŞ</v>
      </c>
      <c r="D118" s="11" t="s">
        <v>69</v>
      </c>
      <c r="E118" s="11">
        <f>VLOOKUP(A118,import!A:J,5,0)</f>
        <v>55</v>
      </c>
      <c r="F118" s="11" t="str">
        <f>VLOOKUP(A118,import!A:J,6,0)</f>
        <v/>
      </c>
      <c r="G118" s="11">
        <f>VLOOKUP(A118,import!A:J,7,0)</f>
        <v>19</v>
      </c>
      <c r="H118" s="11">
        <f>VLOOKUP(A118,import!A:J,8,0)</f>
        <v>27</v>
      </c>
      <c r="I118" s="11">
        <f>VLOOKUP(A118,import!A:J,9,0)</f>
        <v>46</v>
      </c>
      <c r="J118" s="12">
        <f>VLOOKUP(A118,import!A:J,10,0)</f>
        <v>0.41</v>
      </c>
      <c r="K118" s="11" t="s">
        <v>669</v>
      </c>
      <c r="L118" s="11">
        <v>5.528954244E9</v>
      </c>
      <c r="M118" s="11" t="s">
        <v>71</v>
      </c>
      <c r="N118" s="11" t="s">
        <v>72</v>
      </c>
      <c r="O118" s="11" t="s">
        <v>670</v>
      </c>
      <c r="P118" s="11" t="str">
        <f>VLOOKUP(A118,import!A:P,16,0)</f>
        <v>Geleneksel</v>
      </c>
      <c r="Q118" s="13"/>
      <c r="R118" s="13" t="b">
        <v>1</v>
      </c>
      <c r="S118" s="13" t="b">
        <v>0</v>
      </c>
      <c r="T118" s="14" t="s">
        <v>74</v>
      </c>
      <c r="U118" s="14"/>
      <c r="V118" s="31"/>
      <c r="W118" s="14"/>
      <c r="X118" s="24"/>
      <c r="Y118" s="24">
        <v>44613.0</v>
      </c>
      <c r="Z118" s="18"/>
      <c r="AA118" s="19" t="s">
        <v>64</v>
      </c>
      <c r="AB118" s="20">
        <v>44611.0</v>
      </c>
      <c r="AC118" s="19"/>
      <c r="AD118" s="20"/>
      <c r="AE118" s="21"/>
      <c r="AF118" s="18"/>
      <c r="AG118" s="21"/>
      <c r="AH118" s="18"/>
      <c r="AI118" s="18"/>
      <c r="AJ118" s="18"/>
      <c r="AK118" s="19" t="s">
        <v>86</v>
      </c>
      <c r="AL118" s="19"/>
      <c r="AM118" s="18"/>
      <c r="AN118" s="18"/>
      <c r="AO118" s="18"/>
      <c r="AP118" s="22" t="s">
        <v>56</v>
      </c>
      <c r="AQ118" s="18"/>
    </row>
    <row r="119">
      <c r="A119" s="11" t="s">
        <v>671</v>
      </c>
      <c r="B119" s="11" t="s">
        <v>672</v>
      </c>
      <c r="C119" s="11" t="str">
        <f>VLOOKUP(A119,import!A:C,3,0)</f>
        <v>DOĞRU</v>
      </c>
      <c r="D119" s="11" t="s">
        <v>69</v>
      </c>
      <c r="E119" s="11">
        <f>VLOOKUP(A119,import!A:J,5,0)</f>
        <v>215</v>
      </c>
      <c r="F119" s="11">
        <f>VLOOKUP(A119,import!A:J,6,0)</f>
        <v>8</v>
      </c>
      <c r="G119" s="11">
        <f>VLOOKUP(A119,import!A:J,7,0)</f>
        <v>10</v>
      </c>
      <c r="H119" s="11">
        <f>VLOOKUP(A119,import!A:J,8,0)</f>
        <v>5</v>
      </c>
      <c r="I119" s="11">
        <f>VLOOKUP(A119,import!A:J,9,0)</f>
        <v>15</v>
      </c>
      <c r="J119" s="12">
        <f>VLOOKUP(A119,import!A:J,10,0)</f>
        <v>0.67</v>
      </c>
      <c r="K119" s="11" t="s">
        <v>673</v>
      </c>
      <c r="L119" s="11">
        <v>5.548739804E9</v>
      </c>
      <c r="M119" s="11" t="s">
        <v>61</v>
      </c>
      <c r="N119" s="11" t="s">
        <v>107</v>
      </c>
      <c r="O119" s="11" t="s">
        <v>674</v>
      </c>
      <c r="P119" s="11" t="str">
        <f>VLOOKUP(A119,import!A:P,16,0)</f>
        <v>Geleneksel</v>
      </c>
      <c r="Q119" s="13"/>
      <c r="R119" s="13" t="b">
        <v>1</v>
      </c>
      <c r="S119" s="13" t="b">
        <v>1</v>
      </c>
      <c r="T119" s="14"/>
      <c r="U119" s="15"/>
      <c r="V119" s="15"/>
      <c r="W119" s="14" t="s">
        <v>675</v>
      </c>
      <c r="X119" s="17"/>
      <c r="Y119" s="17"/>
      <c r="Z119" s="18"/>
      <c r="AA119" s="18"/>
      <c r="AB119" s="18"/>
      <c r="AC119" s="18"/>
      <c r="AD119" s="18"/>
      <c r="AE119" s="21"/>
      <c r="AF119" s="18"/>
      <c r="AG119" s="21"/>
      <c r="AH119" s="18"/>
      <c r="AI119" s="18"/>
      <c r="AJ119" s="18"/>
      <c r="AK119" s="18"/>
      <c r="AL119" s="18"/>
      <c r="AM119" s="18"/>
      <c r="AN119" s="18"/>
      <c r="AO119" s="18"/>
      <c r="AP119" s="22" t="s">
        <v>56</v>
      </c>
      <c r="AQ119" s="18"/>
    </row>
    <row r="120">
      <c r="A120" s="11" t="s">
        <v>676</v>
      </c>
      <c r="B120" s="11" t="s">
        <v>677</v>
      </c>
      <c r="C120" s="11" t="str">
        <f>VLOOKUP(A120,import!A:C,3,0)</f>
        <v>DOĞRU</v>
      </c>
      <c r="D120" s="11" t="s">
        <v>406</v>
      </c>
      <c r="E120" s="11">
        <f>VLOOKUP(A120,import!A:J,5,0)</f>
        <v>1072</v>
      </c>
      <c r="F120" s="11">
        <f>VLOOKUP(A120,import!A:J,6,0)</f>
        <v>22</v>
      </c>
      <c r="G120" s="11">
        <f>VLOOKUP(A120,import!A:J,7,0)</f>
        <v>0</v>
      </c>
      <c r="H120" s="11">
        <f>VLOOKUP(A120,import!A:J,8,0)</f>
        <v>31</v>
      </c>
      <c r="I120" s="11">
        <f>VLOOKUP(A120,import!A:J,9,0)</f>
        <v>31</v>
      </c>
      <c r="J120" s="12">
        <f>VLOOKUP(A120,import!A:J,10,0)</f>
        <v>0</v>
      </c>
      <c r="K120" s="11" t="s">
        <v>678</v>
      </c>
      <c r="L120" s="11">
        <v>3.522242428E9</v>
      </c>
      <c r="M120" s="11" t="s">
        <v>71</v>
      </c>
      <c r="N120" s="11" t="s">
        <v>679</v>
      </c>
      <c r="O120" s="11" t="s">
        <v>680</v>
      </c>
      <c r="P120" s="11" t="str">
        <f>VLOOKUP(A120,import!A:P,16,0)</f>
        <v>Geleneksel</v>
      </c>
      <c r="Q120" s="13"/>
      <c r="R120" s="13" t="b">
        <v>1</v>
      </c>
      <c r="S120" s="13" t="b">
        <v>1</v>
      </c>
      <c r="T120" s="15"/>
      <c r="U120" s="15"/>
      <c r="V120" s="15"/>
      <c r="W120" s="14"/>
      <c r="X120" s="17"/>
      <c r="Y120" s="17"/>
      <c r="Z120" s="18"/>
      <c r="AA120" s="18"/>
      <c r="AB120" s="18"/>
      <c r="AC120" s="18"/>
      <c r="AD120" s="18"/>
      <c r="AE120" s="21"/>
      <c r="AF120" s="18"/>
      <c r="AG120" s="21"/>
      <c r="AH120" s="18"/>
      <c r="AI120" s="18"/>
      <c r="AJ120" s="18"/>
      <c r="AK120" s="18"/>
      <c r="AL120" s="18"/>
      <c r="AM120" s="18"/>
      <c r="AN120" s="18"/>
      <c r="AO120" s="18"/>
      <c r="AP120" s="22" t="s">
        <v>56</v>
      </c>
      <c r="AQ120" s="18"/>
    </row>
    <row r="121">
      <c r="A121" s="11" t="s">
        <v>681</v>
      </c>
      <c r="B121" s="11" t="s">
        <v>682</v>
      </c>
      <c r="C121" s="11" t="str">
        <f>VLOOKUP(A121,import!A:C,3,0)</f>
        <v>DOĞRU</v>
      </c>
      <c r="D121" s="11" t="s">
        <v>91</v>
      </c>
      <c r="E121" s="11">
        <f>VLOOKUP(A121,import!A:J,5,0)</f>
        <v>697</v>
      </c>
      <c r="F121" s="11" t="str">
        <f>VLOOKUP(A121,import!A:J,6,0)</f>
        <v/>
      </c>
      <c r="G121" s="11">
        <f>VLOOKUP(A121,import!A:J,7,0)</f>
        <v>8</v>
      </c>
      <c r="H121" s="11">
        <f>VLOOKUP(A121,import!A:J,8,0)</f>
        <v>33</v>
      </c>
      <c r="I121" s="11">
        <f>VLOOKUP(A121,import!A:J,9,0)</f>
        <v>41</v>
      </c>
      <c r="J121" s="12">
        <f>VLOOKUP(A121,import!A:J,10,0)</f>
        <v>0.2</v>
      </c>
      <c r="K121" s="11" t="s">
        <v>683</v>
      </c>
      <c r="L121" s="11">
        <v>3.522200909E9</v>
      </c>
      <c r="M121" s="11" t="s">
        <v>71</v>
      </c>
      <c r="N121" s="11" t="s">
        <v>684</v>
      </c>
      <c r="O121" s="11" t="s">
        <v>685</v>
      </c>
      <c r="P121" s="11" t="str">
        <f>VLOOKUP(A121,import!A:P,16,0)</f>
        <v>Geleneksel</v>
      </c>
      <c r="Q121" s="13"/>
      <c r="R121" s="13" t="b">
        <v>1</v>
      </c>
      <c r="S121" s="13" t="b">
        <v>0</v>
      </c>
      <c r="T121" s="14" t="s">
        <v>74</v>
      </c>
      <c r="U121" s="14" t="s">
        <v>181</v>
      </c>
      <c r="V121" s="14" t="s">
        <v>96</v>
      </c>
      <c r="W121" s="14" t="s">
        <v>686</v>
      </c>
      <c r="X121" s="24">
        <v>44285.0</v>
      </c>
      <c r="Y121" s="24">
        <v>44287.0</v>
      </c>
      <c r="Z121" s="18"/>
      <c r="AA121" s="18"/>
      <c r="AB121" s="18"/>
      <c r="AC121" s="18"/>
      <c r="AD121" s="18"/>
      <c r="AE121" s="21"/>
      <c r="AF121" s="18"/>
      <c r="AG121" s="21"/>
      <c r="AH121" s="18"/>
      <c r="AI121" s="18"/>
      <c r="AJ121" s="18"/>
      <c r="AK121" s="18"/>
      <c r="AL121" s="18"/>
      <c r="AM121" s="18"/>
      <c r="AN121" s="18"/>
      <c r="AO121" s="18"/>
      <c r="AP121" s="22" t="s">
        <v>56</v>
      </c>
      <c r="AQ121" s="18"/>
    </row>
    <row r="122">
      <c r="A122" s="11" t="s">
        <v>687</v>
      </c>
      <c r="B122" s="11" t="s">
        <v>688</v>
      </c>
      <c r="C122" s="11" t="str">
        <f>VLOOKUP(A122,import!A:C,3,0)</f>
        <v>DOĞRU</v>
      </c>
      <c r="D122" s="11" t="s">
        <v>45</v>
      </c>
      <c r="E122" s="11">
        <f>VLOOKUP(A122,import!A:J,5,0)</f>
        <v>3299</v>
      </c>
      <c r="F122" s="11">
        <f>VLOOKUP(A122,import!A:J,6,0)</f>
        <v>88</v>
      </c>
      <c r="G122" s="11">
        <f>VLOOKUP(A122,import!A:J,7,0)</f>
        <v>15</v>
      </c>
      <c r="H122" s="11">
        <f>VLOOKUP(A122,import!A:J,8,0)</f>
        <v>18</v>
      </c>
      <c r="I122" s="11">
        <f>VLOOKUP(A122,import!A:J,9,0)</f>
        <v>33</v>
      </c>
      <c r="J122" s="12">
        <f>VLOOKUP(A122,import!A:J,10,0)</f>
        <v>0.45</v>
      </c>
      <c r="K122" s="11" t="s">
        <v>689</v>
      </c>
      <c r="L122" s="11">
        <v>5.523862667E9</v>
      </c>
      <c r="M122" s="11" t="s">
        <v>61</v>
      </c>
      <c r="N122" s="11" t="s">
        <v>107</v>
      </c>
      <c r="O122" s="11" t="s">
        <v>690</v>
      </c>
      <c r="P122" s="11" t="str">
        <f>VLOOKUP(A122,import!A:P,16,0)</f>
        <v>Geleneksel</v>
      </c>
      <c r="Q122" s="13"/>
      <c r="R122" s="13" t="b">
        <v>1</v>
      </c>
      <c r="S122" s="13" t="b">
        <v>0</v>
      </c>
      <c r="T122" s="14" t="s">
        <v>74</v>
      </c>
      <c r="U122" s="14" t="s">
        <v>95</v>
      </c>
      <c r="V122" s="23" t="s">
        <v>76</v>
      </c>
      <c r="W122" s="14"/>
      <c r="X122" s="24">
        <v>44594.0</v>
      </c>
      <c r="Y122" s="24">
        <v>44595.0</v>
      </c>
      <c r="Z122" s="18"/>
      <c r="AA122" s="19" t="s">
        <v>54</v>
      </c>
      <c r="AB122" s="20">
        <v>44594.0</v>
      </c>
      <c r="AC122" s="19"/>
      <c r="AD122" s="20"/>
      <c r="AE122" s="21"/>
      <c r="AF122" s="18"/>
      <c r="AG122" s="21"/>
      <c r="AH122" s="18"/>
      <c r="AI122" s="18"/>
      <c r="AJ122" s="18"/>
      <c r="AK122" s="19" t="s">
        <v>95</v>
      </c>
      <c r="AL122" s="19"/>
      <c r="AM122" s="18"/>
      <c r="AN122" s="18"/>
      <c r="AO122" s="18"/>
      <c r="AP122" s="22" t="s">
        <v>56</v>
      </c>
      <c r="AQ122" s="18"/>
    </row>
    <row r="123">
      <c r="A123" s="11" t="s">
        <v>691</v>
      </c>
      <c r="B123" s="11" t="s">
        <v>692</v>
      </c>
      <c r="C123" s="11" t="str">
        <f>VLOOKUP(A123,import!A:C,3,0)</f>
        <v>DOĞRU</v>
      </c>
      <c r="D123" s="11" t="s">
        <v>69</v>
      </c>
      <c r="E123" s="11">
        <f>VLOOKUP(A123,import!A:J,5,0)</f>
        <v>1712</v>
      </c>
      <c r="F123" s="11">
        <f>VLOOKUP(A123,import!A:J,6,0)</f>
        <v>11</v>
      </c>
      <c r="G123" s="11">
        <f>VLOOKUP(A123,import!A:J,7,0)</f>
        <v>0</v>
      </c>
      <c r="H123" s="11">
        <f>VLOOKUP(A123,import!A:J,8,0)</f>
        <v>9</v>
      </c>
      <c r="I123" s="11">
        <f>VLOOKUP(A123,import!A:J,9,0)</f>
        <v>9</v>
      </c>
      <c r="J123" s="12">
        <f>VLOOKUP(A123,import!A:J,10,0)</f>
        <v>0</v>
      </c>
      <c r="K123" s="11" t="s">
        <v>693</v>
      </c>
      <c r="L123" s="11">
        <v>3.523331501E9</v>
      </c>
      <c r="M123" s="11" t="s">
        <v>47</v>
      </c>
      <c r="N123" s="11" t="s">
        <v>125</v>
      </c>
      <c r="O123" s="11" t="s">
        <v>694</v>
      </c>
      <c r="P123" s="11" t="str">
        <f>VLOOKUP(A123,import!A:P,16,0)</f>
        <v>Geleneksel</v>
      </c>
      <c r="Q123" s="13"/>
      <c r="R123" s="13" t="b">
        <v>1</v>
      </c>
      <c r="S123" s="13" t="b">
        <v>0</v>
      </c>
      <c r="T123" s="14" t="s">
        <v>133</v>
      </c>
      <c r="U123" s="14"/>
      <c r="V123" s="16"/>
      <c r="W123" s="14" t="s">
        <v>695</v>
      </c>
      <c r="X123" s="24"/>
      <c r="Y123" s="24"/>
      <c r="Z123" s="18"/>
      <c r="AA123" s="19" t="s">
        <v>53</v>
      </c>
      <c r="AB123" s="20">
        <v>44354.0</v>
      </c>
      <c r="AC123" s="19" t="s">
        <v>54</v>
      </c>
      <c r="AD123" s="20">
        <v>44354.0</v>
      </c>
      <c r="AE123" s="19" t="s">
        <v>54</v>
      </c>
      <c r="AF123" s="20">
        <v>44631.0</v>
      </c>
      <c r="AG123" s="21"/>
      <c r="AH123" s="18"/>
      <c r="AI123" s="18"/>
      <c r="AJ123" s="18"/>
      <c r="AK123" s="19" t="s">
        <v>79</v>
      </c>
      <c r="AL123" s="19" t="s">
        <v>79</v>
      </c>
      <c r="AM123" s="19" t="s">
        <v>86</v>
      </c>
      <c r="AN123" s="18"/>
      <c r="AO123" s="18"/>
      <c r="AP123" s="22" t="s">
        <v>56</v>
      </c>
      <c r="AQ123" s="18"/>
    </row>
    <row r="124">
      <c r="A124" s="22" t="s">
        <v>696</v>
      </c>
      <c r="B124" s="22" t="s">
        <v>692</v>
      </c>
      <c r="C124" s="11" t="str">
        <f>VLOOKUP(A124,import!A:C,3,0)</f>
        <v>DOĞRU</v>
      </c>
      <c r="D124" s="22" t="s">
        <v>69</v>
      </c>
      <c r="E124" s="11">
        <f>VLOOKUP(A124,import!A:J,5,0)</f>
        <v>15</v>
      </c>
      <c r="F124" s="11">
        <f>VLOOKUP(A124,import!A:J,6,0)</f>
        <v>15</v>
      </c>
      <c r="G124" s="11">
        <f>VLOOKUP(A124,import!A:J,7,0)</f>
        <v>0</v>
      </c>
      <c r="H124" s="11">
        <f>VLOOKUP(A124,import!A:J,8,0)</f>
        <v>8</v>
      </c>
      <c r="I124" s="11">
        <f>VLOOKUP(A124,import!A:J,9,0)</f>
        <v>8</v>
      </c>
      <c r="J124" s="12">
        <f>VLOOKUP(A124,import!A:J,10,0)</f>
        <v>0</v>
      </c>
      <c r="K124" s="22" t="s">
        <v>697</v>
      </c>
      <c r="L124" s="22">
        <v>3.523331501E9</v>
      </c>
      <c r="M124" s="22" t="s">
        <v>47</v>
      </c>
      <c r="N124" s="22" t="s">
        <v>125</v>
      </c>
      <c r="O124" s="22" t="s">
        <v>698</v>
      </c>
      <c r="P124" s="11" t="str">
        <f>VLOOKUP(A124,import!A:P,16,0)</f>
        <v>Geleneksel</v>
      </c>
      <c r="Q124" s="13"/>
      <c r="R124" s="13" t="b">
        <v>1</v>
      </c>
      <c r="S124" s="13" t="b">
        <v>0</v>
      </c>
      <c r="T124" s="14" t="s">
        <v>64</v>
      </c>
      <c r="U124" s="14"/>
      <c r="V124" s="31"/>
      <c r="W124" s="14" t="s">
        <v>699</v>
      </c>
      <c r="X124" s="24"/>
      <c r="Y124" s="24"/>
      <c r="Z124" s="18"/>
      <c r="AA124" s="19" t="s">
        <v>54</v>
      </c>
      <c r="AB124" s="20">
        <v>44676.0</v>
      </c>
      <c r="AC124" s="19"/>
      <c r="AD124" s="20"/>
      <c r="AE124" s="19"/>
      <c r="AF124" s="20"/>
      <c r="AG124" s="21"/>
      <c r="AH124" s="18"/>
      <c r="AI124" s="18"/>
      <c r="AJ124" s="18"/>
      <c r="AK124" s="19" t="s">
        <v>110</v>
      </c>
      <c r="AL124" s="19"/>
      <c r="AM124" s="19"/>
      <c r="AN124" s="18"/>
      <c r="AO124" s="18"/>
      <c r="AP124" s="22"/>
      <c r="AQ124" s="18"/>
    </row>
    <row r="125">
      <c r="A125" s="11" t="s">
        <v>700</v>
      </c>
      <c r="B125" s="11" t="s">
        <v>701</v>
      </c>
      <c r="C125" s="11" t="str">
        <f>VLOOKUP(A125,import!A:C,3,0)</f>
        <v>DOĞRU</v>
      </c>
      <c r="D125" s="11" t="s">
        <v>59</v>
      </c>
      <c r="E125" s="11">
        <f>VLOOKUP(A125,import!A:J,5,0)</f>
        <v>1610</v>
      </c>
      <c r="F125" s="11">
        <f>VLOOKUP(A125,import!A:J,6,0)</f>
        <v>30</v>
      </c>
      <c r="G125" s="11">
        <f>VLOOKUP(A125,import!A:J,7,0)</f>
        <v>5</v>
      </c>
      <c r="H125" s="11">
        <f>VLOOKUP(A125,import!A:J,8,0)</f>
        <v>7</v>
      </c>
      <c r="I125" s="11">
        <f>VLOOKUP(A125,import!A:J,9,0)</f>
        <v>12</v>
      </c>
      <c r="J125" s="12">
        <f>VLOOKUP(A125,import!A:J,10,0)</f>
        <v>0.42</v>
      </c>
      <c r="K125" s="11" t="s">
        <v>702</v>
      </c>
      <c r="L125" s="11">
        <v>5.326778217E9</v>
      </c>
      <c r="M125" s="11" t="s">
        <v>61</v>
      </c>
      <c r="N125" s="11" t="s">
        <v>160</v>
      </c>
      <c r="O125" s="11" t="s">
        <v>703</v>
      </c>
      <c r="P125" s="11" t="str">
        <f>VLOOKUP(A125,import!A:P,16,0)</f>
        <v>Geleneksel</v>
      </c>
      <c r="Q125" s="13"/>
      <c r="R125" s="13" t="b">
        <v>1</v>
      </c>
      <c r="S125" s="13" t="b">
        <v>0</v>
      </c>
      <c r="T125" s="14" t="s">
        <v>74</v>
      </c>
      <c r="U125" s="14" t="s">
        <v>86</v>
      </c>
      <c r="V125" s="14"/>
      <c r="W125" s="14" t="s">
        <v>704</v>
      </c>
      <c r="X125" s="24">
        <v>44594.0</v>
      </c>
      <c r="Y125" s="24">
        <v>44595.0</v>
      </c>
      <c r="Z125" s="18"/>
      <c r="AA125" s="19" t="s">
        <v>53</v>
      </c>
      <c r="AB125" s="20">
        <v>44594.0</v>
      </c>
      <c r="AC125" s="19" t="s">
        <v>54</v>
      </c>
      <c r="AD125" s="20">
        <v>44594.0</v>
      </c>
      <c r="AE125" s="21"/>
      <c r="AF125" s="18"/>
      <c r="AG125" s="21"/>
      <c r="AH125" s="18"/>
      <c r="AI125" s="18"/>
      <c r="AJ125" s="18"/>
      <c r="AK125" s="19" t="s">
        <v>86</v>
      </c>
      <c r="AL125" s="19" t="s">
        <v>86</v>
      </c>
      <c r="AM125" s="18"/>
      <c r="AN125" s="18"/>
      <c r="AO125" s="18"/>
      <c r="AP125" s="22" t="s">
        <v>56</v>
      </c>
      <c r="AQ125" s="18"/>
    </row>
    <row r="126">
      <c r="A126" s="11" t="s">
        <v>705</v>
      </c>
      <c r="B126" s="11" t="s">
        <v>706</v>
      </c>
      <c r="C126" s="11" t="str">
        <f>VLOOKUP(A126,import!A:C,3,0)</f>
        <v>DOĞRU</v>
      </c>
      <c r="D126" s="11" t="s">
        <v>406</v>
      </c>
      <c r="E126" s="11">
        <f>VLOOKUP(A126,import!A:J,5,0)</f>
        <v>922</v>
      </c>
      <c r="F126" s="11">
        <f>VLOOKUP(A126,import!A:J,6,0)</f>
        <v>26</v>
      </c>
      <c r="G126" s="11">
        <f>VLOOKUP(A126,import!A:J,7,0)</f>
        <v>27</v>
      </c>
      <c r="H126" s="11">
        <f>VLOOKUP(A126,import!A:J,8,0)</f>
        <v>19</v>
      </c>
      <c r="I126" s="11">
        <f>VLOOKUP(A126,import!A:J,9,0)</f>
        <v>46</v>
      </c>
      <c r="J126" s="12">
        <f>VLOOKUP(A126,import!A:J,10,0)</f>
        <v>0.59</v>
      </c>
      <c r="K126" s="11" t="s">
        <v>707</v>
      </c>
      <c r="L126" s="11">
        <v>3.522230405E9</v>
      </c>
      <c r="M126" s="11" t="s">
        <v>71</v>
      </c>
      <c r="N126" s="11" t="s">
        <v>708</v>
      </c>
      <c r="O126" s="11" t="s">
        <v>709</v>
      </c>
      <c r="P126" s="11" t="str">
        <f>VLOOKUP(A126,import!A:P,16,0)</f>
        <v>Geleneksel</v>
      </c>
      <c r="Q126" s="13"/>
      <c r="R126" s="13" t="b">
        <v>1</v>
      </c>
      <c r="S126" s="13" t="b">
        <v>0</v>
      </c>
      <c r="T126" s="14" t="s">
        <v>74</v>
      </c>
      <c r="U126" s="14" t="s">
        <v>95</v>
      </c>
      <c r="V126" s="14" t="s">
        <v>96</v>
      </c>
      <c r="W126" s="14" t="s">
        <v>710</v>
      </c>
      <c r="X126" s="24">
        <v>44344.0</v>
      </c>
      <c r="Y126" s="24">
        <v>44347.0</v>
      </c>
      <c r="Z126" s="19" t="s">
        <v>711</v>
      </c>
      <c r="AA126" s="18"/>
      <c r="AB126" s="18"/>
      <c r="AC126" s="18"/>
      <c r="AD126" s="18"/>
      <c r="AE126" s="21"/>
      <c r="AF126" s="18"/>
      <c r="AG126" s="21"/>
      <c r="AH126" s="18"/>
      <c r="AI126" s="18"/>
      <c r="AJ126" s="18"/>
      <c r="AK126" s="18"/>
      <c r="AL126" s="18"/>
      <c r="AM126" s="18"/>
      <c r="AN126" s="18"/>
      <c r="AO126" s="18"/>
      <c r="AP126" s="22" t="s">
        <v>56</v>
      </c>
      <c r="AQ126" s="18"/>
    </row>
    <row r="127">
      <c r="A127" s="11" t="s">
        <v>712</v>
      </c>
      <c r="B127" s="11" t="s">
        <v>713</v>
      </c>
      <c r="C127" s="11" t="str">
        <f>VLOOKUP(A127,import!A:C,3,0)</f>
        <v>DOĞRU</v>
      </c>
      <c r="D127" s="11" t="s">
        <v>165</v>
      </c>
      <c r="E127" s="11">
        <f>VLOOKUP(A127,import!A:J,5,0)</f>
        <v>444</v>
      </c>
      <c r="F127" s="11" t="str">
        <f>VLOOKUP(A127,import!A:J,6,0)</f>
        <v/>
      </c>
      <c r="G127" s="11">
        <f>VLOOKUP(A127,import!A:J,7,0)</f>
        <v>12</v>
      </c>
      <c r="H127" s="11">
        <f>VLOOKUP(A127,import!A:J,8,0)</f>
        <v>23</v>
      </c>
      <c r="I127" s="11">
        <f>VLOOKUP(A127,import!A:J,9,0)</f>
        <v>35</v>
      </c>
      <c r="J127" s="12">
        <f>VLOOKUP(A127,import!A:J,10,0)</f>
        <v>0.34</v>
      </c>
      <c r="K127" s="11" t="s">
        <v>714</v>
      </c>
      <c r="L127" s="11">
        <v>3.522206166E9</v>
      </c>
      <c r="M127" s="11" t="s">
        <v>47</v>
      </c>
      <c r="N127" s="11" t="s">
        <v>391</v>
      </c>
      <c r="O127" s="11" t="s">
        <v>715</v>
      </c>
      <c r="P127" s="11" t="str">
        <f>VLOOKUP(A127,import!A:P,16,0)</f>
        <v>Geleneksel</v>
      </c>
      <c r="Q127" s="13"/>
      <c r="R127" s="13" t="b">
        <v>1</v>
      </c>
      <c r="S127" s="13" t="b">
        <v>0</v>
      </c>
      <c r="T127" s="14" t="s">
        <v>74</v>
      </c>
      <c r="U127" s="14" t="s">
        <v>127</v>
      </c>
      <c r="V127" s="39" t="s">
        <v>76</v>
      </c>
      <c r="W127" s="14" t="s">
        <v>716</v>
      </c>
      <c r="X127" s="24">
        <v>44596.0</v>
      </c>
      <c r="Y127" s="24">
        <v>44599.0</v>
      </c>
      <c r="Z127" s="18"/>
      <c r="AA127" s="19" t="s">
        <v>54</v>
      </c>
      <c r="AB127" s="20">
        <v>44596.0</v>
      </c>
      <c r="AC127" s="18"/>
      <c r="AD127" s="18"/>
      <c r="AE127" s="21"/>
      <c r="AF127" s="18"/>
      <c r="AG127" s="21"/>
      <c r="AH127" s="18"/>
      <c r="AI127" s="18"/>
      <c r="AJ127" s="18"/>
      <c r="AK127" s="19" t="s">
        <v>127</v>
      </c>
      <c r="AL127" s="18"/>
      <c r="AM127" s="18"/>
      <c r="AN127" s="18"/>
      <c r="AO127" s="18"/>
      <c r="AP127" s="22" t="s">
        <v>56</v>
      </c>
      <c r="AQ127" s="18"/>
    </row>
    <row r="128">
      <c r="A128" s="11" t="s">
        <v>717</v>
      </c>
      <c r="B128" s="11" t="s">
        <v>718</v>
      </c>
      <c r="C128" s="11" t="str">
        <f>VLOOKUP(A128,import!A:C,3,0)</f>
        <v>DOĞRU</v>
      </c>
      <c r="D128" s="11" t="s">
        <v>165</v>
      </c>
      <c r="E128" s="11">
        <f>VLOOKUP(A128,import!A:J,5,0)</f>
        <v>375</v>
      </c>
      <c r="F128" s="11">
        <f>VLOOKUP(A128,import!A:J,6,0)</f>
        <v>88</v>
      </c>
      <c r="G128" s="11">
        <f>VLOOKUP(A128,import!A:J,7,0)</f>
        <v>9</v>
      </c>
      <c r="H128" s="11">
        <f>VLOOKUP(A128,import!A:J,8,0)</f>
        <v>14</v>
      </c>
      <c r="I128" s="11">
        <f>VLOOKUP(A128,import!A:J,9,0)</f>
        <v>23</v>
      </c>
      <c r="J128" s="12">
        <f>VLOOKUP(A128,import!A:J,10,0)</f>
        <v>0.39</v>
      </c>
      <c r="K128" s="11" t="s">
        <v>719</v>
      </c>
      <c r="L128" s="11">
        <v>3.524370514E9</v>
      </c>
      <c r="M128" s="11" t="s">
        <v>61</v>
      </c>
      <c r="N128" s="11" t="s">
        <v>107</v>
      </c>
      <c r="O128" s="11" t="s">
        <v>720</v>
      </c>
      <c r="P128" s="11" t="str">
        <f>VLOOKUP(A128,import!A:P,16,0)</f>
        <v>Geleneksel</v>
      </c>
      <c r="Q128" s="13"/>
      <c r="R128" s="13" t="b">
        <v>1</v>
      </c>
      <c r="S128" s="13" t="b">
        <v>0</v>
      </c>
      <c r="T128" s="14" t="s">
        <v>74</v>
      </c>
      <c r="U128" s="14" t="s">
        <v>127</v>
      </c>
      <c r="V128" s="30" t="s">
        <v>76</v>
      </c>
      <c r="W128" s="14"/>
      <c r="X128" s="24">
        <v>44600.0</v>
      </c>
      <c r="Y128" s="24">
        <v>44601.0</v>
      </c>
      <c r="Z128" s="18"/>
      <c r="AA128" s="19" t="s">
        <v>54</v>
      </c>
      <c r="AB128" s="20">
        <v>44600.0</v>
      </c>
      <c r="AC128" s="19"/>
      <c r="AD128" s="20"/>
      <c r="AE128" s="19"/>
      <c r="AF128" s="20"/>
      <c r="AG128" s="21"/>
      <c r="AH128" s="18"/>
      <c r="AI128" s="18"/>
      <c r="AJ128" s="18"/>
      <c r="AK128" s="19" t="s">
        <v>127</v>
      </c>
      <c r="AL128" s="19"/>
      <c r="AM128" s="19"/>
      <c r="AN128" s="18"/>
      <c r="AO128" s="18"/>
      <c r="AP128" s="22"/>
      <c r="AQ128" s="18"/>
    </row>
    <row r="129">
      <c r="A129" s="11" t="s">
        <v>721</v>
      </c>
      <c r="B129" s="11" t="s">
        <v>722</v>
      </c>
      <c r="C129" s="11" t="str">
        <f>VLOOKUP(A129,import!A:C,3,0)</f>
        <v>DOĞRU</v>
      </c>
      <c r="D129" s="11" t="s">
        <v>505</v>
      </c>
      <c r="E129" s="11">
        <f>VLOOKUP(A129,import!A:J,5,0)</f>
        <v>1162</v>
      </c>
      <c r="F129" s="11">
        <f>VLOOKUP(A129,import!A:J,6,0)</f>
        <v>104</v>
      </c>
      <c r="G129" s="11">
        <f>VLOOKUP(A129,import!A:J,7,0)</f>
        <v>7</v>
      </c>
      <c r="H129" s="11">
        <f>VLOOKUP(A129,import!A:J,8,0)</f>
        <v>11</v>
      </c>
      <c r="I129" s="11">
        <f>VLOOKUP(A129,import!A:J,9,0)</f>
        <v>18</v>
      </c>
      <c r="J129" s="12">
        <f>VLOOKUP(A129,import!A:J,10,0)</f>
        <v>0.39</v>
      </c>
      <c r="K129" s="11" t="s">
        <v>723</v>
      </c>
      <c r="L129" s="11">
        <v>5.427990038E9</v>
      </c>
      <c r="M129" s="11" t="s">
        <v>71</v>
      </c>
      <c r="N129" s="11" t="s">
        <v>420</v>
      </c>
      <c r="O129" s="11" t="s">
        <v>724</v>
      </c>
      <c r="P129" s="11" t="str">
        <f>VLOOKUP(A129,import!A:P,16,0)</f>
        <v>Geleneksel</v>
      </c>
      <c r="Q129" s="13"/>
      <c r="R129" s="13" t="b">
        <v>1</v>
      </c>
      <c r="S129" s="13" t="b">
        <v>0</v>
      </c>
      <c r="T129" s="14" t="s">
        <v>74</v>
      </c>
      <c r="U129" s="14" t="s">
        <v>381</v>
      </c>
      <c r="V129" s="33" t="s">
        <v>76</v>
      </c>
      <c r="W129" s="14"/>
      <c r="X129" s="24">
        <v>44611.0</v>
      </c>
      <c r="Y129" s="24">
        <v>44613.0</v>
      </c>
      <c r="Z129" s="18"/>
      <c r="AA129" s="19"/>
      <c r="AB129" s="20"/>
      <c r="AC129" s="19"/>
      <c r="AD129" s="20"/>
      <c r="AE129" s="21"/>
      <c r="AF129" s="18"/>
      <c r="AG129" s="21"/>
      <c r="AH129" s="18"/>
      <c r="AI129" s="18"/>
      <c r="AJ129" s="18"/>
      <c r="AK129" s="19" t="s">
        <v>381</v>
      </c>
      <c r="AL129" s="19"/>
      <c r="AM129" s="18"/>
      <c r="AN129" s="18"/>
      <c r="AO129" s="18"/>
      <c r="AP129" s="22"/>
      <c r="AQ129" s="18"/>
    </row>
    <row r="130">
      <c r="A130" s="22" t="s">
        <v>725</v>
      </c>
      <c r="B130" s="22" t="s">
        <v>726</v>
      </c>
      <c r="C130" s="11" t="str">
        <f>VLOOKUP(A130,import!A:C,3,0)</f>
        <v>DOĞRU</v>
      </c>
      <c r="D130" s="22" t="s">
        <v>172</v>
      </c>
      <c r="E130" s="11" t="str">
        <f>VLOOKUP(A130,import!A:J,5,0)</f>
        <v/>
      </c>
      <c r="F130" s="11" t="str">
        <f>VLOOKUP(A130,import!A:J,6,0)</f>
        <v/>
      </c>
      <c r="G130" s="11">
        <f>VLOOKUP(A130,import!A:J,7,0)</f>
        <v>0</v>
      </c>
      <c r="H130" s="11">
        <f>VLOOKUP(A130,import!A:J,8,0)</f>
        <v>9</v>
      </c>
      <c r="I130" s="11">
        <f>VLOOKUP(A130,import!A:J,9,0)</f>
        <v>9</v>
      </c>
      <c r="J130" s="12">
        <f>VLOOKUP(A130,import!A:J,10,0)</f>
        <v>0</v>
      </c>
      <c r="K130" s="22" t="s">
        <v>727</v>
      </c>
      <c r="L130" s="22">
        <v>5.465961875E9</v>
      </c>
      <c r="M130" s="22" t="s">
        <v>47</v>
      </c>
      <c r="N130" s="22" t="s">
        <v>728</v>
      </c>
      <c r="O130" s="22" t="s">
        <v>729</v>
      </c>
      <c r="P130" s="11" t="str">
        <f>VLOOKUP(A130,import!A:P,16,0)</f>
        <v>Geleneksel</v>
      </c>
      <c r="Q130" s="13"/>
      <c r="R130" s="13" t="b">
        <v>1</v>
      </c>
      <c r="S130" s="13" t="b">
        <v>0</v>
      </c>
      <c r="T130" s="14" t="s">
        <v>133</v>
      </c>
      <c r="U130" s="14"/>
      <c r="V130" s="31"/>
      <c r="W130" s="14" t="s">
        <v>730</v>
      </c>
      <c r="X130" s="24"/>
      <c r="Y130" s="24"/>
      <c r="Z130" s="18"/>
      <c r="AA130" s="19" t="s">
        <v>54</v>
      </c>
      <c r="AB130" s="20">
        <v>44676.0</v>
      </c>
      <c r="AC130" s="19"/>
      <c r="AD130" s="20"/>
      <c r="AE130" s="19"/>
      <c r="AF130" s="20"/>
      <c r="AG130" s="21"/>
      <c r="AH130" s="18"/>
      <c r="AI130" s="18"/>
      <c r="AJ130" s="18"/>
      <c r="AK130" s="19" t="s">
        <v>110</v>
      </c>
      <c r="AL130" s="19"/>
      <c r="AM130" s="19"/>
      <c r="AN130" s="18"/>
      <c r="AO130" s="18"/>
      <c r="AP130" s="22"/>
      <c r="AQ130" s="18"/>
    </row>
    <row r="131">
      <c r="A131" s="11" t="s">
        <v>731</v>
      </c>
      <c r="B131" s="11" t="s">
        <v>732</v>
      </c>
      <c r="C131" s="11" t="str">
        <f>VLOOKUP(A131,import!A:C,3,0)</f>
        <v>DOĞRU</v>
      </c>
      <c r="D131" s="11" t="s">
        <v>172</v>
      </c>
      <c r="E131" s="11">
        <f>VLOOKUP(A131,import!A:J,5,0)</f>
        <v>32</v>
      </c>
      <c r="F131" s="11">
        <f>VLOOKUP(A131,import!A:J,6,0)</f>
        <v>32</v>
      </c>
      <c r="G131" s="11">
        <f>VLOOKUP(A131,import!A:J,7,0)</f>
        <v>0</v>
      </c>
      <c r="H131" s="11">
        <f>VLOOKUP(A131,import!A:J,8,0)</f>
        <v>14</v>
      </c>
      <c r="I131" s="11">
        <f>VLOOKUP(A131,import!A:J,9,0)</f>
        <v>14</v>
      </c>
      <c r="J131" s="12">
        <f>VLOOKUP(A131,import!A:J,10,0)</f>
        <v>0</v>
      </c>
      <c r="K131" s="11" t="s">
        <v>733</v>
      </c>
      <c r="L131" s="11">
        <v>5.550556638E9</v>
      </c>
      <c r="M131" s="11" t="s">
        <v>47</v>
      </c>
      <c r="N131" s="11" t="s">
        <v>277</v>
      </c>
      <c r="O131" s="11" t="s">
        <v>734</v>
      </c>
      <c r="P131" s="11" t="str">
        <f>VLOOKUP(A131,import!A:P,16,0)</f>
        <v>Geleneksel</v>
      </c>
      <c r="Q131" s="13"/>
      <c r="R131" s="13" t="b">
        <v>1</v>
      </c>
      <c r="S131" s="13" t="b">
        <v>0</v>
      </c>
      <c r="T131" s="14"/>
      <c r="U131" s="14"/>
      <c r="V131" s="14"/>
      <c r="W131" s="14" t="s">
        <v>735</v>
      </c>
      <c r="X131" s="24"/>
      <c r="Y131" s="24"/>
      <c r="Z131" s="18"/>
      <c r="AA131" s="19" t="s">
        <v>54</v>
      </c>
      <c r="AB131" s="20">
        <v>44662.0</v>
      </c>
      <c r="AC131" s="19"/>
      <c r="AD131" s="20"/>
      <c r="AE131" s="19"/>
      <c r="AF131" s="20"/>
      <c r="AG131" s="21"/>
      <c r="AH131" s="18"/>
      <c r="AI131" s="18"/>
      <c r="AJ131" s="18"/>
      <c r="AK131" s="19" t="s">
        <v>110</v>
      </c>
      <c r="AL131" s="19"/>
      <c r="AM131" s="19"/>
      <c r="AN131" s="18"/>
      <c r="AO131" s="18"/>
      <c r="AP131" s="22"/>
      <c r="AQ131" s="18"/>
    </row>
    <row r="132">
      <c r="A132" s="11" t="s">
        <v>736</v>
      </c>
      <c r="B132" s="11" t="s">
        <v>737</v>
      </c>
      <c r="C132" s="11" t="str">
        <f>VLOOKUP(A132,import!A:C,3,0)</f>
        <v>DOĞRU</v>
      </c>
      <c r="D132" s="11" t="s">
        <v>59</v>
      </c>
      <c r="E132" s="11">
        <f>VLOOKUP(A132,import!A:J,5,0)</f>
        <v>2440</v>
      </c>
      <c r="F132" s="11">
        <f>VLOOKUP(A132,import!A:J,6,0)</f>
        <v>81</v>
      </c>
      <c r="G132" s="11">
        <f>VLOOKUP(A132,import!A:J,7,0)</f>
        <v>0</v>
      </c>
      <c r="H132" s="11">
        <f>VLOOKUP(A132,import!A:J,8,0)</f>
        <v>21</v>
      </c>
      <c r="I132" s="11">
        <f>VLOOKUP(A132,import!A:J,9,0)</f>
        <v>21</v>
      </c>
      <c r="J132" s="12">
        <f>VLOOKUP(A132,import!A:J,10,0)</f>
        <v>0</v>
      </c>
      <c r="K132" s="11" t="s">
        <v>738</v>
      </c>
      <c r="L132" s="11">
        <v>3.525036969E9</v>
      </c>
      <c r="M132" s="11" t="s">
        <v>61</v>
      </c>
      <c r="N132" s="11" t="s">
        <v>62</v>
      </c>
      <c r="O132" s="11" t="s">
        <v>739</v>
      </c>
      <c r="P132" s="11" t="str">
        <f>VLOOKUP(A132,import!A:P,16,0)</f>
        <v>Geleneksel</v>
      </c>
      <c r="Q132" s="13"/>
      <c r="R132" s="13" t="b">
        <v>1</v>
      </c>
      <c r="S132" s="13" t="b">
        <v>0</v>
      </c>
      <c r="T132" s="14" t="s">
        <v>94</v>
      </c>
      <c r="U132" s="14" t="s">
        <v>95</v>
      </c>
      <c r="V132" s="14" t="s">
        <v>121</v>
      </c>
      <c r="W132" s="14" t="s">
        <v>740</v>
      </c>
      <c r="X132" s="24">
        <v>44578.0</v>
      </c>
      <c r="Y132" s="24">
        <v>44579.0</v>
      </c>
      <c r="Z132" s="18"/>
      <c r="AA132" s="19" t="s">
        <v>54</v>
      </c>
      <c r="AB132" s="20">
        <v>44578.0</v>
      </c>
      <c r="AC132" s="19" t="s">
        <v>78</v>
      </c>
      <c r="AD132" s="20">
        <v>44595.0</v>
      </c>
      <c r="AE132" s="19" t="s">
        <v>54</v>
      </c>
      <c r="AF132" s="20">
        <v>44606.0</v>
      </c>
      <c r="AG132" s="21"/>
      <c r="AH132" s="18"/>
      <c r="AI132" s="18"/>
      <c r="AJ132" s="18"/>
      <c r="AK132" s="19" t="s">
        <v>95</v>
      </c>
      <c r="AL132" s="19" t="s">
        <v>127</v>
      </c>
      <c r="AM132" s="19" t="s">
        <v>86</v>
      </c>
      <c r="AN132" s="18"/>
      <c r="AO132" s="18"/>
      <c r="AP132" s="22" t="s">
        <v>56</v>
      </c>
      <c r="AQ132" s="18"/>
    </row>
    <row r="133">
      <c r="A133" s="11" t="s">
        <v>741</v>
      </c>
      <c r="B133" s="11" t="s">
        <v>742</v>
      </c>
      <c r="C133" s="11" t="str">
        <f>VLOOKUP(A133,import!A:C,3,0)</f>
        <v>DOĞRU</v>
      </c>
      <c r="D133" s="11" t="s">
        <v>100</v>
      </c>
      <c r="E133" s="11">
        <f>VLOOKUP(A133,import!A:J,5,0)</f>
        <v>398</v>
      </c>
      <c r="F133" s="11">
        <f>VLOOKUP(A133,import!A:J,6,0)</f>
        <v>21</v>
      </c>
      <c r="G133" s="11">
        <f>VLOOKUP(A133,import!A:J,7,0)</f>
        <v>0</v>
      </c>
      <c r="H133" s="11">
        <f>VLOOKUP(A133,import!A:J,8,0)</f>
        <v>24</v>
      </c>
      <c r="I133" s="11">
        <f>VLOOKUP(A133,import!A:J,9,0)</f>
        <v>24</v>
      </c>
      <c r="J133" s="12">
        <f>VLOOKUP(A133,import!A:J,10,0)</f>
        <v>0</v>
      </c>
      <c r="K133" s="11" t="s">
        <v>743</v>
      </c>
      <c r="L133" s="11">
        <v>5.511954538E9</v>
      </c>
      <c r="M133" s="11" t="s">
        <v>71</v>
      </c>
      <c r="N133" s="11" t="s">
        <v>684</v>
      </c>
      <c r="O133" s="11" t="s">
        <v>744</v>
      </c>
      <c r="P133" s="11" t="str">
        <f>VLOOKUP(A133,import!A:P,16,0)</f>
        <v>Geleneksel</v>
      </c>
      <c r="Q133" s="13"/>
      <c r="R133" s="13" t="b">
        <v>1</v>
      </c>
      <c r="S133" s="13" t="b">
        <v>0</v>
      </c>
      <c r="T133" s="14" t="s">
        <v>74</v>
      </c>
      <c r="U133" s="14" t="s">
        <v>381</v>
      </c>
      <c r="V133" s="33" t="s">
        <v>76</v>
      </c>
      <c r="W133" s="14"/>
      <c r="X133" s="24">
        <v>44611.0</v>
      </c>
      <c r="Y133" s="24">
        <v>44613.0</v>
      </c>
      <c r="Z133" s="18"/>
      <c r="AA133" s="19" t="s">
        <v>54</v>
      </c>
      <c r="AB133" s="20">
        <v>44611.0</v>
      </c>
      <c r="AC133" s="19"/>
      <c r="AD133" s="20"/>
      <c r="AE133" s="21"/>
      <c r="AF133" s="18"/>
      <c r="AG133" s="21"/>
      <c r="AH133" s="18"/>
      <c r="AI133" s="18"/>
      <c r="AJ133" s="18"/>
      <c r="AK133" s="19" t="s">
        <v>381</v>
      </c>
      <c r="AL133" s="19"/>
      <c r="AM133" s="18"/>
      <c r="AN133" s="18"/>
      <c r="AO133" s="18"/>
      <c r="AP133" s="22" t="s">
        <v>56</v>
      </c>
      <c r="AQ133" s="18"/>
    </row>
    <row r="134">
      <c r="A134" s="11" t="s">
        <v>745</v>
      </c>
      <c r="B134" s="11" t="s">
        <v>746</v>
      </c>
      <c r="C134" s="11" t="str">
        <f>VLOOKUP(A134,import!A:C,3,0)</f>
        <v>DOĞRU</v>
      </c>
      <c r="D134" s="11" t="s">
        <v>172</v>
      </c>
      <c r="E134" s="11" t="str">
        <f>VLOOKUP(A134,import!A:J,5,0)</f>
        <v/>
      </c>
      <c r="F134" s="11" t="str">
        <f>VLOOKUP(A134,import!A:J,6,0)</f>
        <v/>
      </c>
      <c r="G134" s="11">
        <f>VLOOKUP(A134,import!A:J,7,0)</f>
        <v>0</v>
      </c>
      <c r="H134" s="11">
        <f>VLOOKUP(A134,import!A:J,8,0)</f>
        <v>13</v>
      </c>
      <c r="I134" s="11">
        <f>VLOOKUP(A134,import!A:J,9,0)</f>
        <v>13</v>
      </c>
      <c r="J134" s="12">
        <f>VLOOKUP(A134,import!A:J,10,0)</f>
        <v>0</v>
      </c>
      <c r="K134" s="11" t="s">
        <v>747</v>
      </c>
      <c r="L134" s="11">
        <v>5.41520028E8</v>
      </c>
      <c r="M134" s="11" t="s">
        <v>71</v>
      </c>
      <c r="N134" s="11" t="s">
        <v>748</v>
      </c>
      <c r="O134" s="11" t="s">
        <v>749</v>
      </c>
      <c r="P134" s="11" t="str">
        <f>VLOOKUP(A134,import!A:P,16,0)</f>
        <v>Geleneksel</v>
      </c>
      <c r="Q134" s="13"/>
      <c r="R134" s="13" t="b">
        <v>1</v>
      </c>
      <c r="S134" s="13" t="b">
        <v>0</v>
      </c>
      <c r="T134" s="14" t="s">
        <v>53</v>
      </c>
      <c r="U134" s="14"/>
      <c r="V134" s="14"/>
      <c r="W134" s="14" t="s">
        <v>750</v>
      </c>
      <c r="X134" s="24"/>
      <c r="Y134" s="24"/>
      <c r="Z134" s="18"/>
      <c r="AA134" s="19" t="s">
        <v>53</v>
      </c>
      <c r="AB134" s="20">
        <v>44662.0</v>
      </c>
      <c r="AC134" s="19"/>
      <c r="AD134" s="20"/>
      <c r="AE134" s="19"/>
      <c r="AF134" s="20"/>
      <c r="AG134" s="21"/>
      <c r="AH134" s="18"/>
      <c r="AI134" s="18"/>
      <c r="AJ134" s="18"/>
      <c r="AK134" s="19" t="s">
        <v>110</v>
      </c>
      <c r="AL134" s="19"/>
      <c r="AM134" s="19"/>
      <c r="AN134" s="18"/>
      <c r="AO134" s="18"/>
      <c r="AP134" s="22"/>
      <c r="AQ134" s="18"/>
    </row>
    <row r="135">
      <c r="A135" s="11" t="s">
        <v>751</v>
      </c>
      <c r="B135" s="11" t="s">
        <v>752</v>
      </c>
      <c r="C135" s="11" t="str">
        <f>VLOOKUP(A135,import!A:C,3,0)</f>
        <v>DOĞRU</v>
      </c>
      <c r="D135" s="11" t="s">
        <v>653</v>
      </c>
      <c r="E135" s="11">
        <f>VLOOKUP(A135,import!A:J,5,0)</f>
        <v>26036</v>
      </c>
      <c r="F135" s="11">
        <f>VLOOKUP(A135,import!A:J,6,0)</f>
        <v>1604</v>
      </c>
      <c r="G135" s="11">
        <f>VLOOKUP(A135,import!A:J,7,0)</f>
        <v>30</v>
      </c>
      <c r="H135" s="11">
        <f>VLOOKUP(A135,import!A:J,8,0)</f>
        <v>16</v>
      </c>
      <c r="I135" s="11">
        <f>VLOOKUP(A135,import!A:J,9,0)</f>
        <v>46</v>
      </c>
      <c r="J135" s="12">
        <f>VLOOKUP(A135,import!A:J,10,0)</f>
        <v>0.65</v>
      </c>
      <c r="K135" s="11" t="s">
        <v>753</v>
      </c>
      <c r="L135" s="11">
        <v>5.306240638E9</v>
      </c>
      <c r="M135" s="11" t="s">
        <v>61</v>
      </c>
      <c r="N135" s="11" t="s">
        <v>62</v>
      </c>
      <c r="O135" s="11" t="s">
        <v>754</v>
      </c>
      <c r="P135" s="11" t="str">
        <f>VLOOKUP(A135,import!A:P,16,0)</f>
        <v>Geleneksel</v>
      </c>
      <c r="Q135" s="13"/>
      <c r="R135" s="13" t="b">
        <v>0</v>
      </c>
      <c r="S135" s="13" t="b">
        <v>0</v>
      </c>
      <c r="T135" s="14"/>
      <c r="U135" s="14"/>
      <c r="V135" s="14"/>
      <c r="W135" s="14"/>
      <c r="X135" s="24"/>
      <c r="Y135" s="24"/>
      <c r="Z135" s="18"/>
      <c r="AA135" s="19"/>
      <c r="AB135" s="20"/>
      <c r="AC135" s="19"/>
      <c r="AD135" s="20"/>
      <c r="AE135" s="19"/>
      <c r="AF135" s="20"/>
      <c r="AG135" s="21"/>
      <c r="AH135" s="18"/>
      <c r="AI135" s="18"/>
      <c r="AJ135" s="18"/>
      <c r="AK135" s="19"/>
      <c r="AL135" s="19"/>
      <c r="AM135" s="19"/>
      <c r="AN135" s="18"/>
      <c r="AO135" s="18"/>
      <c r="AP135" s="22"/>
      <c r="AQ135" s="18"/>
    </row>
    <row r="136">
      <c r="A136" s="11" t="s">
        <v>755</v>
      </c>
      <c r="B136" s="11" t="s">
        <v>756</v>
      </c>
      <c r="C136" s="11" t="str">
        <f>VLOOKUP(A136,import!A:C,3,0)</f>
        <v>DOĞRU</v>
      </c>
      <c r="D136" s="11" t="s">
        <v>165</v>
      </c>
      <c r="E136" s="11">
        <f>VLOOKUP(A136,import!A:J,5,0)</f>
        <v>1781</v>
      </c>
      <c r="F136" s="11">
        <f>VLOOKUP(A136,import!A:J,6,0)</f>
        <v>1</v>
      </c>
      <c r="G136" s="11">
        <f>VLOOKUP(A136,import!A:J,7,0)</f>
        <v>0</v>
      </c>
      <c r="H136" s="11">
        <f>VLOOKUP(A136,import!A:J,8,0)</f>
        <v>4</v>
      </c>
      <c r="I136" s="11">
        <f>VLOOKUP(A136,import!A:J,9,0)</f>
        <v>4</v>
      </c>
      <c r="J136" s="12">
        <f>VLOOKUP(A136,import!A:J,10,0)</f>
        <v>0</v>
      </c>
      <c r="K136" s="11" t="s">
        <v>757</v>
      </c>
      <c r="L136" s="11">
        <v>3.52232317E9</v>
      </c>
      <c r="M136" s="11" t="s">
        <v>47</v>
      </c>
      <c r="N136" s="11" t="s">
        <v>408</v>
      </c>
      <c r="O136" s="11" t="s">
        <v>758</v>
      </c>
      <c r="P136" s="11" t="str">
        <f>VLOOKUP(A136,import!A:P,16,0)</f>
        <v>Geleneksel</v>
      </c>
      <c r="Q136" s="13"/>
      <c r="R136" s="13" t="b">
        <v>1</v>
      </c>
      <c r="S136" s="13" t="b">
        <v>0</v>
      </c>
      <c r="T136" s="14" t="s">
        <v>115</v>
      </c>
      <c r="U136" s="15"/>
      <c r="V136" s="15"/>
      <c r="W136" s="14" t="s">
        <v>759</v>
      </c>
      <c r="X136" s="17"/>
      <c r="Y136" s="17"/>
      <c r="Z136" s="18"/>
      <c r="AA136" s="18"/>
      <c r="AB136" s="18"/>
      <c r="AC136" s="18"/>
      <c r="AD136" s="18"/>
      <c r="AE136" s="21"/>
      <c r="AF136" s="18"/>
      <c r="AG136" s="21"/>
      <c r="AH136" s="18"/>
      <c r="AI136" s="18"/>
      <c r="AJ136" s="18"/>
      <c r="AK136" s="18"/>
      <c r="AL136" s="18"/>
      <c r="AM136" s="18"/>
      <c r="AN136" s="18"/>
      <c r="AO136" s="18"/>
      <c r="AP136" s="22" t="s">
        <v>56</v>
      </c>
      <c r="AQ136" s="18"/>
    </row>
    <row r="137">
      <c r="A137" s="11" t="s">
        <v>760</v>
      </c>
      <c r="B137" s="11" t="s">
        <v>761</v>
      </c>
      <c r="C137" s="11" t="str">
        <f>VLOOKUP(A137,import!A:C,3,0)</f>
        <v>DOĞRU</v>
      </c>
      <c r="D137" s="11" t="s">
        <v>69</v>
      </c>
      <c r="E137" s="11">
        <f>VLOOKUP(A137,import!A:J,5,0)</f>
        <v>2054</v>
      </c>
      <c r="F137" s="11">
        <f>VLOOKUP(A137,import!A:J,6,0)</f>
        <v>42</v>
      </c>
      <c r="G137" s="11">
        <f>VLOOKUP(A137,import!A:J,7,0)</f>
        <v>0</v>
      </c>
      <c r="H137" s="11">
        <f>VLOOKUP(A137,import!A:J,8,0)</f>
        <v>14</v>
      </c>
      <c r="I137" s="11">
        <f>VLOOKUP(A137,import!A:J,9,0)</f>
        <v>14</v>
      </c>
      <c r="J137" s="12">
        <f>VLOOKUP(A137,import!A:J,10,0)</f>
        <v>0</v>
      </c>
      <c r="K137" s="11" t="s">
        <v>762</v>
      </c>
      <c r="L137" s="11">
        <v>3.529993633E9</v>
      </c>
      <c r="M137" s="11" t="s">
        <v>47</v>
      </c>
      <c r="N137" s="11" t="s">
        <v>48</v>
      </c>
      <c r="O137" s="11" t="s">
        <v>763</v>
      </c>
      <c r="P137" s="11" t="str">
        <f>VLOOKUP(A137,import!A:P,16,0)</f>
        <v>Geleneksel</v>
      </c>
      <c r="Q137" s="13"/>
      <c r="R137" s="13" t="b">
        <v>1</v>
      </c>
      <c r="S137" s="13" t="b">
        <v>0</v>
      </c>
      <c r="T137" s="14" t="s">
        <v>74</v>
      </c>
      <c r="U137" s="14" t="s">
        <v>95</v>
      </c>
      <c r="V137" s="14" t="s">
        <v>96</v>
      </c>
      <c r="W137" s="14" t="s">
        <v>764</v>
      </c>
      <c r="X137" s="24">
        <v>44370.0</v>
      </c>
      <c r="Y137" s="24">
        <v>44372.0</v>
      </c>
      <c r="Z137" s="18"/>
      <c r="AA137" s="19" t="s">
        <v>54</v>
      </c>
      <c r="AB137" s="20">
        <v>44370.0</v>
      </c>
      <c r="AC137" s="19" t="s">
        <v>54</v>
      </c>
      <c r="AD137" s="20">
        <v>44589.0</v>
      </c>
      <c r="AE137" s="21"/>
      <c r="AF137" s="18"/>
      <c r="AG137" s="21"/>
      <c r="AH137" s="18"/>
      <c r="AI137" s="18"/>
      <c r="AJ137" s="18"/>
      <c r="AK137" s="19" t="s">
        <v>95</v>
      </c>
      <c r="AL137" s="19" t="s">
        <v>110</v>
      </c>
      <c r="AM137" s="18"/>
      <c r="AN137" s="18"/>
      <c r="AO137" s="18"/>
      <c r="AP137" s="22" t="s">
        <v>56</v>
      </c>
      <c r="AQ137" s="18"/>
    </row>
    <row r="138">
      <c r="A138" s="11" t="s">
        <v>765</v>
      </c>
      <c r="B138" s="11" t="s">
        <v>766</v>
      </c>
      <c r="C138" s="11" t="str">
        <f>VLOOKUP(A138,import!A:C,3,0)</f>
        <v>DOĞRU</v>
      </c>
      <c r="D138" s="11" t="s">
        <v>172</v>
      </c>
      <c r="E138" s="11">
        <f>VLOOKUP(A138,import!A:J,5,0)</f>
        <v>742</v>
      </c>
      <c r="F138" s="11">
        <f>VLOOKUP(A138,import!A:J,6,0)</f>
        <v>35</v>
      </c>
      <c r="G138" s="11">
        <f>VLOOKUP(A138,import!A:J,7,0)</f>
        <v>0</v>
      </c>
      <c r="H138" s="11">
        <f>VLOOKUP(A138,import!A:J,8,0)</f>
        <v>12</v>
      </c>
      <c r="I138" s="11">
        <f>VLOOKUP(A138,import!A:J,9,0)</f>
        <v>12</v>
      </c>
      <c r="J138" s="12">
        <f>VLOOKUP(A138,import!A:J,10,0)</f>
        <v>0</v>
      </c>
      <c r="K138" s="11" t="s">
        <v>767</v>
      </c>
      <c r="L138" s="11">
        <v>5.551721592E9</v>
      </c>
      <c r="M138" s="11" t="s">
        <v>61</v>
      </c>
      <c r="N138" s="11" t="s">
        <v>62</v>
      </c>
      <c r="O138" s="11" t="s">
        <v>768</v>
      </c>
      <c r="P138" s="11" t="str">
        <f>VLOOKUP(A138,import!A:P,16,0)</f>
        <v>Geleneksel</v>
      </c>
      <c r="Q138" s="13"/>
      <c r="R138" s="13" t="b">
        <v>1</v>
      </c>
      <c r="S138" s="13" t="b">
        <v>0</v>
      </c>
      <c r="T138" s="14" t="s">
        <v>168</v>
      </c>
      <c r="U138" s="14"/>
      <c r="V138" s="14"/>
      <c r="W138" s="14" t="s">
        <v>769</v>
      </c>
      <c r="X138" s="24"/>
      <c r="Y138" s="24"/>
      <c r="Z138" s="18"/>
      <c r="AA138" s="19" t="s">
        <v>54</v>
      </c>
      <c r="AB138" s="20">
        <v>44579.0</v>
      </c>
      <c r="AC138" s="19"/>
      <c r="AD138" s="20"/>
      <c r="AE138" s="21"/>
      <c r="AF138" s="18"/>
      <c r="AG138" s="21"/>
      <c r="AH138" s="18"/>
      <c r="AI138" s="18"/>
      <c r="AJ138" s="18"/>
      <c r="AK138" s="19" t="s">
        <v>95</v>
      </c>
      <c r="AL138" s="19"/>
      <c r="AM138" s="18"/>
      <c r="AN138" s="18"/>
      <c r="AO138" s="18"/>
      <c r="AP138" s="22"/>
      <c r="AQ138" s="18"/>
    </row>
    <row r="139">
      <c r="A139" s="22" t="s">
        <v>770</v>
      </c>
      <c r="B139" s="22" t="s">
        <v>771</v>
      </c>
      <c r="C139" s="11" t="str">
        <f>VLOOKUP(A139,import!A:C,3,0)</f>
        <v>DOĞRU</v>
      </c>
      <c r="D139" s="22" t="s">
        <v>406</v>
      </c>
      <c r="E139" s="11" t="str">
        <f>VLOOKUP(A139,import!A:J,5,0)</f>
        <v/>
      </c>
      <c r="F139" s="11" t="str">
        <f>VLOOKUP(A139,import!A:J,6,0)</f>
        <v/>
      </c>
      <c r="G139" s="11">
        <f>VLOOKUP(A139,import!A:J,7,0)</f>
        <v>0</v>
      </c>
      <c r="H139" s="11">
        <f>VLOOKUP(A139,import!A:J,8,0)</f>
        <v>15</v>
      </c>
      <c r="I139" s="11">
        <f>VLOOKUP(A139,import!A:J,9,0)</f>
        <v>15</v>
      </c>
      <c r="J139" s="12">
        <f>VLOOKUP(A139,import!A:J,10,0)</f>
        <v>0</v>
      </c>
      <c r="K139" s="22" t="s">
        <v>772</v>
      </c>
      <c r="L139" s="22">
        <v>3.522221219E9</v>
      </c>
      <c r="M139" s="22" t="s">
        <v>47</v>
      </c>
      <c r="N139" s="22" t="s">
        <v>391</v>
      </c>
      <c r="O139" s="22" t="s">
        <v>773</v>
      </c>
      <c r="P139" s="11" t="str">
        <f>VLOOKUP(A139,import!A:P,16,0)</f>
        <v>Geleneksel</v>
      </c>
      <c r="Q139" s="13"/>
      <c r="R139" s="13" t="b">
        <v>1</v>
      </c>
      <c r="S139" s="13" t="b">
        <v>0</v>
      </c>
      <c r="T139" s="14" t="s">
        <v>133</v>
      </c>
      <c r="U139" s="14"/>
      <c r="V139" s="35"/>
      <c r="W139" s="14" t="s">
        <v>774</v>
      </c>
      <c r="X139" s="24"/>
      <c r="Y139" s="24"/>
      <c r="Z139" s="18"/>
      <c r="AA139" s="19" t="s">
        <v>54</v>
      </c>
      <c r="AB139" s="20">
        <v>44662.0</v>
      </c>
      <c r="AC139" s="19"/>
      <c r="AD139" s="20"/>
      <c r="AE139" s="19"/>
      <c r="AF139" s="20"/>
      <c r="AG139" s="21"/>
      <c r="AH139" s="18"/>
      <c r="AI139" s="18"/>
      <c r="AJ139" s="18"/>
      <c r="AK139" s="19" t="s">
        <v>110</v>
      </c>
      <c r="AL139" s="19"/>
      <c r="AM139" s="19"/>
      <c r="AN139" s="18"/>
      <c r="AO139" s="18"/>
      <c r="AP139" s="22"/>
      <c r="AQ139" s="18"/>
    </row>
    <row r="140">
      <c r="A140" s="22" t="s">
        <v>775</v>
      </c>
      <c r="B140" s="22" t="s">
        <v>776</v>
      </c>
      <c r="C140" s="11" t="str">
        <f>VLOOKUP(A140,import!A:C,3,0)</f>
        <v>DOĞRU</v>
      </c>
      <c r="D140" s="22" t="s">
        <v>653</v>
      </c>
      <c r="E140" s="11" t="str">
        <f>VLOOKUP(A140,import!A:J,5,0)</f>
        <v/>
      </c>
      <c r="F140" s="11" t="str">
        <f>VLOOKUP(A140,import!A:J,6,0)</f>
        <v/>
      </c>
      <c r="G140" s="11">
        <f>VLOOKUP(A140,import!A:J,7,0)</f>
        <v>0</v>
      </c>
      <c r="H140" s="11">
        <f>VLOOKUP(A140,import!A:J,8,0)</f>
        <v>24</v>
      </c>
      <c r="I140" s="11">
        <f>VLOOKUP(A140,import!A:J,9,0)</f>
        <v>24</v>
      </c>
      <c r="J140" s="12">
        <f>VLOOKUP(A140,import!A:J,10,0)</f>
        <v>0</v>
      </c>
      <c r="K140" s="22" t="s">
        <v>777</v>
      </c>
      <c r="L140" s="22">
        <v>3.52232866E9</v>
      </c>
      <c r="M140" s="22" t="s">
        <v>71</v>
      </c>
      <c r="N140" s="22" t="s">
        <v>684</v>
      </c>
      <c r="O140" s="22" t="s">
        <v>778</v>
      </c>
      <c r="P140" s="11" t="str">
        <f>VLOOKUP(A140,import!A:P,16,0)</f>
        <v>Geleneksel</v>
      </c>
      <c r="Q140" s="13"/>
      <c r="R140" s="13" t="b">
        <v>0</v>
      </c>
      <c r="S140" s="13" t="b">
        <v>0</v>
      </c>
      <c r="T140" s="14"/>
      <c r="U140" s="14"/>
      <c r="V140" s="16"/>
      <c r="W140" s="14"/>
      <c r="X140" s="24"/>
      <c r="Y140" s="24"/>
      <c r="Z140" s="18"/>
      <c r="AA140" s="19"/>
      <c r="AB140" s="20"/>
      <c r="AC140" s="19"/>
      <c r="AD140" s="20"/>
      <c r="AE140" s="19"/>
      <c r="AF140" s="20"/>
      <c r="AG140" s="21"/>
      <c r="AH140" s="18"/>
      <c r="AI140" s="18"/>
      <c r="AJ140" s="18"/>
      <c r="AK140" s="19"/>
      <c r="AL140" s="19"/>
      <c r="AM140" s="19"/>
      <c r="AN140" s="18"/>
      <c r="AO140" s="18"/>
      <c r="AP140" s="22"/>
      <c r="AQ140" s="18"/>
    </row>
    <row r="141">
      <c r="A141" s="11" t="s">
        <v>779</v>
      </c>
      <c r="B141" s="11" t="s">
        <v>780</v>
      </c>
      <c r="C141" s="11" t="str">
        <f>VLOOKUP(A141,import!A:C,3,0)</f>
        <v>DOĞRU</v>
      </c>
      <c r="D141" s="11" t="s">
        <v>653</v>
      </c>
      <c r="E141" s="11">
        <f>VLOOKUP(A141,import!A:J,5,0)</f>
        <v>161</v>
      </c>
      <c r="F141" s="11">
        <f>VLOOKUP(A141,import!A:J,6,0)</f>
        <v>45</v>
      </c>
      <c r="G141" s="11">
        <f>VLOOKUP(A141,import!A:J,7,0)</f>
        <v>0</v>
      </c>
      <c r="H141" s="11">
        <f>VLOOKUP(A141,import!A:J,8,0)</f>
        <v>30</v>
      </c>
      <c r="I141" s="11">
        <f>VLOOKUP(A141,import!A:J,9,0)</f>
        <v>30</v>
      </c>
      <c r="J141" s="12">
        <f>VLOOKUP(A141,import!A:J,10,0)</f>
        <v>0</v>
      </c>
      <c r="K141" s="11" t="s">
        <v>781</v>
      </c>
      <c r="L141" s="11">
        <v>3.523395566E9</v>
      </c>
      <c r="M141" s="11" t="s">
        <v>71</v>
      </c>
      <c r="N141" s="11" t="s">
        <v>62</v>
      </c>
      <c r="O141" s="11" t="s">
        <v>782</v>
      </c>
      <c r="P141" s="11" t="str">
        <f>VLOOKUP(A141,import!A:P,16,0)</f>
        <v>Geleneksel</v>
      </c>
      <c r="Q141" s="13"/>
      <c r="R141" s="13" t="b">
        <v>0</v>
      </c>
      <c r="S141" s="13" t="b">
        <v>0</v>
      </c>
      <c r="T141" s="14"/>
      <c r="U141" s="14"/>
      <c r="V141" s="14"/>
      <c r="W141" s="14" t="s">
        <v>783</v>
      </c>
      <c r="X141" s="24"/>
      <c r="Y141" s="24"/>
      <c r="Z141" s="18"/>
      <c r="AA141" s="19"/>
      <c r="AB141" s="20"/>
      <c r="AC141" s="19"/>
      <c r="AD141" s="20"/>
      <c r="AE141" s="19"/>
      <c r="AF141" s="20"/>
      <c r="AG141" s="21"/>
      <c r="AH141" s="18"/>
      <c r="AI141" s="18"/>
      <c r="AJ141" s="18"/>
      <c r="AK141" s="19"/>
      <c r="AL141" s="19"/>
      <c r="AM141" s="19"/>
      <c r="AN141" s="18"/>
      <c r="AO141" s="18"/>
      <c r="AP141" s="22"/>
      <c r="AQ141" s="18"/>
    </row>
    <row r="142">
      <c r="A142" s="22" t="s">
        <v>784</v>
      </c>
      <c r="B142" s="22" t="s">
        <v>785</v>
      </c>
      <c r="C142" s="11" t="str">
        <f>VLOOKUP(A142,import!A:C,3,0)</f>
        <v>DOĞRU</v>
      </c>
      <c r="D142" s="22" t="s">
        <v>59</v>
      </c>
      <c r="E142" s="11">
        <f>VLOOKUP(A142,import!A:J,5,0)</f>
        <v>24</v>
      </c>
      <c r="F142" s="11">
        <f>VLOOKUP(A142,import!A:J,6,0)</f>
        <v>24</v>
      </c>
      <c r="G142" s="11">
        <f>VLOOKUP(A142,import!A:J,7,0)</f>
        <v>0</v>
      </c>
      <c r="H142" s="11">
        <f>VLOOKUP(A142,import!A:J,8,0)</f>
        <v>18</v>
      </c>
      <c r="I142" s="11">
        <f>VLOOKUP(A142,import!A:J,9,0)</f>
        <v>18</v>
      </c>
      <c r="J142" s="12">
        <f>VLOOKUP(A142,import!A:J,10,0)</f>
        <v>0</v>
      </c>
      <c r="K142" s="22" t="s">
        <v>786</v>
      </c>
      <c r="L142" s="22">
        <v>3.523265555E9</v>
      </c>
      <c r="M142" s="22" t="s">
        <v>71</v>
      </c>
      <c r="N142" s="22" t="s">
        <v>787</v>
      </c>
      <c r="O142" s="22" t="s">
        <v>788</v>
      </c>
      <c r="P142" s="11" t="str">
        <f>VLOOKUP(A142,import!A:P,16,0)</f>
        <v>Geleneksel</v>
      </c>
      <c r="Q142" s="13"/>
      <c r="R142" s="13" t="b">
        <v>1</v>
      </c>
      <c r="S142" s="13" t="b">
        <v>1</v>
      </c>
      <c r="T142" s="14"/>
      <c r="U142" s="14"/>
      <c r="V142" s="14" t="s">
        <v>789</v>
      </c>
      <c r="W142" s="14"/>
      <c r="X142" s="24"/>
      <c r="Y142" s="24"/>
      <c r="Z142" s="18"/>
      <c r="AA142" s="19" t="s">
        <v>54</v>
      </c>
      <c r="AB142" s="20">
        <v>44676.0</v>
      </c>
      <c r="AC142" s="19"/>
      <c r="AD142" s="20"/>
      <c r="AE142" s="19"/>
      <c r="AF142" s="20"/>
      <c r="AG142" s="21"/>
      <c r="AH142" s="18"/>
      <c r="AI142" s="18"/>
      <c r="AJ142" s="18"/>
      <c r="AK142" s="19" t="s">
        <v>110</v>
      </c>
      <c r="AL142" s="19"/>
      <c r="AM142" s="19"/>
      <c r="AN142" s="18"/>
      <c r="AO142" s="18"/>
      <c r="AP142" s="22"/>
      <c r="AQ142" s="18"/>
    </row>
    <row r="143">
      <c r="A143" s="22" t="s">
        <v>790</v>
      </c>
      <c r="B143" s="22" t="s">
        <v>791</v>
      </c>
      <c r="C143" s="11" t="str">
        <f>VLOOKUP(A143,import!A:C,3,0)</f>
        <v>DOĞRU</v>
      </c>
      <c r="D143" s="22" t="s">
        <v>653</v>
      </c>
      <c r="E143" s="11">
        <f>VLOOKUP(A143,import!A:J,5,0)</f>
        <v>49</v>
      </c>
      <c r="F143" s="11">
        <f>VLOOKUP(A143,import!A:J,6,0)</f>
        <v>49</v>
      </c>
      <c r="G143" s="11">
        <f>VLOOKUP(A143,import!A:J,7,0)</f>
        <v>0</v>
      </c>
      <c r="H143" s="11">
        <f>VLOOKUP(A143,import!A:J,8,0)</f>
        <v>26</v>
      </c>
      <c r="I143" s="11">
        <f>VLOOKUP(A143,import!A:J,9,0)</f>
        <v>26</v>
      </c>
      <c r="J143" s="12">
        <f>VLOOKUP(A143,import!A:J,10,0)</f>
        <v>0</v>
      </c>
      <c r="K143" s="22" t="s">
        <v>792</v>
      </c>
      <c r="L143" s="22">
        <v>3.524370002E9</v>
      </c>
      <c r="M143" s="22" t="s">
        <v>61</v>
      </c>
      <c r="N143" s="22" t="s">
        <v>107</v>
      </c>
      <c r="O143" s="22" t="s">
        <v>793</v>
      </c>
      <c r="P143" s="11" t="str">
        <f>VLOOKUP(A143,import!A:P,16,0)</f>
        <v>Geleneksel</v>
      </c>
      <c r="Q143" s="13"/>
      <c r="R143" s="13" t="b">
        <v>1</v>
      </c>
      <c r="S143" s="13" t="b">
        <v>0</v>
      </c>
      <c r="T143" s="14"/>
      <c r="U143" s="14"/>
      <c r="V143" s="14"/>
      <c r="W143" s="14" t="s">
        <v>794</v>
      </c>
      <c r="X143" s="24"/>
      <c r="Y143" s="24"/>
      <c r="Z143" s="18"/>
      <c r="AA143" s="19" t="s">
        <v>54</v>
      </c>
      <c r="AB143" s="20">
        <v>44678.0</v>
      </c>
      <c r="AC143" s="19"/>
      <c r="AD143" s="20"/>
      <c r="AE143" s="19"/>
      <c r="AF143" s="20"/>
      <c r="AG143" s="21"/>
      <c r="AH143" s="18"/>
      <c r="AI143" s="18"/>
      <c r="AJ143" s="18"/>
      <c r="AK143" s="19" t="s">
        <v>75</v>
      </c>
      <c r="AL143" s="19"/>
      <c r="AM143" s="19"/>
      <c r="AN143" s="18"/>
      <c r="AO143" s="18"/>
      <c r="AP143" s="22"/>
      <c r="AQ143" s="18"/>
    </row>
    <row r="144">
      <c r="A144" s="22" t="s">
        <v>795</v>
      </c>
      <c r="B144" s="22" t="s">
        <v>796</v>
      </c>
      <c r="C144" s="11" t="str">
        <f>VLOOKUP(A144,import!A:C,3,0)</f>
        <v>DOĞRU</v>
      </c>
      <c r="D144" s="22" t="s">
        <v>653</v>
      </c>
      <c r="E144" s="11" t="str">
        <f>VLOOKUP(A144,import!A:J,5,0)</f>
        <v/>
      </c>
      <c r="F144" s="11" t="str">
        <f>VLOOKUP(A144,import!A:J,6,0)</f>
        <v/>
      </c>
      <c r="G144" s="11">
        <f>VLOOKUP(A144,import!A:J,7,0)</f>
        <v>0</v>
      </c>
      <c r="H144" s="11">
        <f>VLOOKUP(A144,import!A:J,8,0)</f>
        <v>25</v>
      </c>
      <c r="I144" s="11">
        <f>VLOOKUP(A144,import!A:J,9,0)</f>
        <v>25</v>
      </c>
      <c r="J144" s="12">
        <f>VLOOKUP(A144,import!A:J,10,0)</f>
        <v>0</v>
      </c>
      <c r="K144" s="22" t="s">
        <v>777</v>
      </c>
      <c r="L144" s="22">
        <v>3.522352521E9</v>
      </c>
      <c r="M144" s="22" t="s">
        <v>71</v>
      </c>
      <c r="N144" s="22" t="s">
        <v>797</v>
      </c>
      <c r="O144" s="22" t="s">
        <v>798</v>
      </c>
      <c r="P144" s="11" t="str">
        <f>VLOOKUP(A144,import!A:P,16,0)</f>
        <v>Geleneksel</v>
      </c>
      <c r="Q144" s="13"/>
      <c r="R144" s="13" t="b">
        <v>1</v>
      </c>
      <c r="S144" s="13" t="b">
        <v>0</v>
      </c>
      <c r="T144" s="14"/>
      <c r="U144" s="14"/>
      <c r="V144" s="14"/>
      <c r="W144" s="14" t="s">
        <v>799</v>
      </c>
      <c r="X144" s="24"/>
      <c r="Y144" s="24"/>
      <c r="Z144" s="18"/>
      <c r="AA144" s="19" t="s">
        <v>347</v>
      </c>
      <c r="AB144" s="20">
        <v>44676.0</v>
      </c>
      <c r="AC144" s="19"/>
      <c r="AD144" s="20"/>
      <c r="AE144" s="19"/>
      <c r="AF144" s="20"/>
      <c r="AG144" s="21"/>
      <c r="AH144" s="18"/>
      <c r="AI144" s="18"/>
      <c r="AJ144" s="18"/>
      <c r="AK144" s="19" t="s">
        <v>110</v>
      </c>
      <c r="AL144" s="19"/>
      <c r="AM144" s="19"/>
      <c r="AN144" s="18"/>
      <c r="AO144" s="18"/>
      <c r="AP144" s="22"/>
      <c r="AQ144" s="18"/>
    </row>
    <row r="145">
      <c r="A145" s="11" t="s">
        <v>800</v>
      </c>
      <c r="B145" s="11" t="s">
        <v>801</v>
      </c>
      <c r="C145" s="11" t="str">
        <f>VLOOKUP(A145,import!A:C,3,0)</f>
        <v>DOĞRU</v>
      </c>
      <c r="D145" s="11" t="s">
        <v>83</v>
      </c>
      <c r="E145" s="11">
        <f>VLOOKUP(A145,import!A:J,5,0)</f>
        <v>179</v>
      </c>
      <c r="F145" s="11">
        <f>VLOOKUP(A145,import!A:J,6,0)</f>
        <v>54</v>
      </c>
      <c r="G145" s="11">
        <f>VLOOKUP(A145,import!A:J,7,0)</f>
        <v>25</v>
      </c>
      <c r="H145" s="11">
        <f>VLOOKUP(A145,import!A:J,8,0)</f>
        <v>9</v>
      </c>
      <c r="I145" s="11">
        <f>VLOOKUP(A145,import!A:J,9,0)</f>
        <v>34</v>
      </c>
      <c r="J145" s="12">
        <f>VLOOKUP(A145,import!A:J,10,0)</f>
        <v>0.74</v>
      </c>
      <c r="K145" s="11" t="s">
        <v>802</v>
      </c>
      <c r="L145" s="11">
        <v>5.321713877E9</v>
      </c>
      <c r="M145" s="11" t="s">
        <v>71</v>
      </c>
      <c r="N145" s="11" t="s">
        <v>684</v>
      </c>
      <c r="O145" s="11" t="s">
        <v>803</v>
      </c>
      <c r="P145" s="11" t="str">
        <f>VLOOKUP(A145,import!A:P,16,0)</f>
        <v>Geleneksel</v>
      </c>
      <c r="Q145" s="13"/>
      <c r="R145" s="13" t="b">
        <v>1</v>
      </c>
      <c r="S145" s="13" t="b">
        <v>0</v>
      </c>
      <c r="T145" s="14" t="s">
        <v>74</v>
      </c>
      <c r="U145" s="14" t="s">
        <v>80</v>
      </c>
      <c r="V145" s="14"/>
      <c r="W145" s="14"/>
      <c r="X145" s="24">
        <v>44609.0</v>
      </c>
      <c r="Y145" s="24">
        <v>44610.0</v>
      </c>
      <c r="Z145" s="18"/>
      <c r="AA145" s="19" t="s">
        <v>54</v>
      </c>
      <c r="AB145" s="20">
        <v>44609.0</v>
      </c>
      <c r="AC145" s="19"/>
      <c r="AD145" s="20"/>
      <c r="AE145" s="21"/>
      <c r="AF145" s="18"/>
      <c r="AG145" s="21"/>
      <c r="AH145" s="18"/>
      <c r="AI145" s="18"/>
      <c r="AJ145" s="18"/>
      <c r="AK145" s="19" t="s">
        <v>80</v>
      </c>
      <c r="AL145" s="19"/>
      <c r="AM145" s="18"/>
      <c r="AN145" s="18"/>
      <c r="AO145" s="18"/>
      <c r="AP145" s="22"/>
      <c r="AQ145" s="18"/>
    </row>
    <row r="146">
      <c r="A146" s="11" t="s">
        <v>804</v>
      </c>
      <c r="B146" s="11" t="s">
        <v>805</v>
      </c>
      <c r="C146" s="11" t="str">
        <f>VLOOKUP(A146,import!A:C,3,0)</f>
        <v>DOĞRU</v>
      </c>
      <c r="D146" s="11" t="s">
        <v>653</v>
      </c>
      <c r="E146" s="11">
        <f>VLOOKUP(A146,import!A:J,5,0)</f>
        <v>1944</v>
      </c>
      <c r="F146" s="11">
        <f>VLOOKUP(A146,import!A:J,6,0)</f>
        <v>40</v>
      </c>
      <c r="G146" s="11">
        <f>VLOOKUP(A146,import!A:J,7,0)</f>
        <v>24</v>
      </c>
      <c r="H146" s="11">
        <f>VLOOKUP(A146,import!A:J,8,0)</f>
        <v>32</v>
      </c>
      <c r="I146" s="11">
        <f>VLOOKUP(A146,import!A:J,9,0)</f>
        <v>56</v>
      </c>
      <c r="J146" s="12">
        <f>VLOOKUP(A146,import!A:J,10,0)</f>
        <v>0.43</v>
      </c>
      <c r="K146" s="11" t="s">
        <v>806</v>
      </c>
      <c r="L146" s="11">
        <v>3.52738018E9</v>
      </c>
      <c r="M146" s="11" t="s">
        <v>47</v>
      </c>
      <c r="N146" s="11" t="s">
        <v>271</v>
      </c>
      <c r="O146" s="11" t="s">
        <v>807</v>
      </c>
      <c r="P146" s="11" t="str">
        <f>VLOOKUP(A146,import!A:P,16,0)</f>
        <v>Geleneksel</v>
      </c>
      <c r="Q146" s="13"/>
      <c r="R146" s="13" t="b">
        <v>1</v>
      </c>
      <c r="S146" s="13" t="b">
        <v>0</v>
      </c>
      <c r="T146" s="14" t="s">
        <v>74</v>
      </c>
      <c r="U146" s="14" t="s">
        <v>80</v>
      </c>
      <c r="V146" s="14"/>
      <c r="W146" s="14"/>
      <c r="X146" s="24">
        <v>44629.0</v>
      </c>
      <c r="Y146" s="24">
        <v>44635.0</v>
      </c>
      <c r="Z146" s="19" t="s">
        <v>711</v>
      </c>
      <c r="AA146" s="19" t="s">
        <v>53</v>
      </c>
      <c r="AB146" s="20">
        <v>44354.0</v>
      </c>
      <c r="AC146" s="19" t="s">
        <v>54</v>
      </c>
      <c r="AD146" s="20">
        <v>44354.0</v>
      </c>
      <c r="AE146" s="19" t="s">
        <v>54</v>
      </c>
      <c r="AF146" s="20">
        <v>44358.0</v>
      </c>
      <c r="AG146" s="19" t="s">
        <v>54</v>
      </c>
      <c r="AH146" s="20">
        <v>44628.0</v>
      </c>
      <c r="AI146" s="18"/>
      <c r="AJ146" s="18"/>
      <c r="AK146" s="19" t="s">
        <v>79</v>
      </c>
      <c r="AL146" s="19" t="s">
        <v>79</v>
      </c>
      <c r="AM146" s="19" t="s">
        <v>437</v>
      </c>
      <c r="AN146" s="19" t="s">
        <v>80</v>
      </c>
      <c r="AO146" s="18"/>
      <c r="AP146" s="22" t="s">
        <v>56</v>
      </c>
      <c r="AQ146" s="18"/>
    </row>
    <row r="147">
      <c r="A147" s="11" t="s">
        <v>808</v>
      </c>
      <c r="B147" s="11" t="s">
        <v>809</v>
      </c>
      <c r="C147" s="11" t="str">
        <f>VLOOKUP(A147,import!A:C,3,0)</f>
        <v>DOĞRU</v>
      </c>
      <c r="D147" s="11" t="s">
        <v>69</v>
      </c>
      <c r="E147" s="11">
        <f>VLOOKUP(A147,import!A:J,5,0)</f>
        <v>1482</v>
      </c>
      <c r="F147" s="11">
        <f>VLOOKUP(A147,import!A:J,6,0)</f>
        <v>97</v>
      </c>
      <c r="G147" s="11">
        <f>VLOOKUP(A147,import!A:J,7,0)</f>
        <v>5</v>
      </c>
      <c r="H147" s="11">
        <f>VLOOKUP(A147,import!A:J,8,0)</f>
        <v>1</v>
      </c>
      <c r="I147" s="11">
        <f>VLOOKUP(A147,import!A:J,9,0)</f>
        <v>6</v>
      </c>
      <c r="J147" s="12">
        <f>VLOOKUP(A147,import!A:J,10,0)</f>
        <v>0.83</v>
      </c>
      <c r="K147" s="11" t="s">
        <v>810</v>
      </c>
      <c r="L147" s="11">
        <v>3.524382022E9</v>
      </c>
      <c r="M147" s="11" t="s">
        <v>61</v>
      </c>
      <c r="N147" s="11" t="s">
        <v>811</v>
      </c>
      <c r="O147" s="11" t="s">
        <v>812</v>
      </c>
      <c r="P147" s="11" t="str">
        <f>VLOOKUP(A147,import!A:P,16,0)</f>
        <v>Geleneksel</v>
      </c>
      <c r="Q147" s="13"/>
      <c r="R147" s="13" t="b">
        <v>1</v>
      </c>
      <c r="S147" s="13" t="b">
        <v>0</v>
      </c>
      <c r="T147" s="14" t="s">
        <v>168</v>
      </c>
      <c r="U147" s="14"/>
      <c r="V147" s="14"/>
      <c r="W147" s="14" t="s">
        <v>813</v>
      </c>
      <c r="X147" s="24"/>
      <c r="Y147" s="24"/>
      <c r="Z147" s="18"/>
      <c r="AA147" s="19" t="s">
        <v>54</v>
      </c>
      <c r="AB147" s="20">
        <v>44593.0</v>
      </c>
      <c r="AC147" s="19"/>
      <c r="AD147" s="20"/>
      <c r="AE147" s="21"/>
      <c r="AF147" s="18"/>
      <c r="AG147" s="21"/>
      <c r="AH147" s="18"/>
      <c r="AI147" s="18"/>
      <c r="AJ147" s="18"/>
      <c r="AK147" s="19" t="s">
        <v>86</v>
      </c>
      <c r="AL147" s="19"/>
      <c r="AM147" s="18"/>
      <c r="AN147" s="18"/>
      <c r="AO147" s="18"/>
      <c r="AP147" s="22" t="s">
        <v>56</v>
      </c>
      <c r="AQ147" s="18"/>
    </row>
    <row r="148">
      <c r="A148" s="11" t="s">
        <v>814</v>
      </c>
      <c r="B148" s="11" t="s">
        <v>815</v>
      </c>
      <c r="C148" s="11" t="str">
        <f>VLOOKUP(A148,import!A:C,3,0)</f>
        <v>DOĞRU</v>
      </c>
      <c r="D148" s="11" t="s">
        <v>69</v>
      </c>
      <c r="E148" s="11">
        <f>VLOOKUP(A148,import!A:J,5,0)</f>
        <v>659</v>
      </c>
      <c r="F148" s="11">
        <f>VLOOKUP(A148,import!A:J,6,0)</f>
        <v>15</v>
      </c>
      <c r="G148" s="11">
        <f>VLOOKUP(A148,import!A:J,7,0)</f>
        <v>0</v>
      </c>
      <c r="H148" s="11">
        <f>VLOOKUP(A148,import!A:J,8,0)</f>
        <v>4</v>
      </c>
      <c r="I148" s="11">
        <f>VLOOKUP(A148,import!A:J,9,0)</f>
        <v>4</v>
      </c>
      <c r="J148" s="12">
        <f>VLOOKUP(A148,import!A:J,10,0)</f>
        <v>0</v>
      </c>
      <c r="K148" s="11" t="s">
        <v>816</v>
      </c>
      <c r="L148" s="11">
        <v>5.535423587E9</v>
      </c>
      <c r="M148" s="11" t="s">
        <v>47</v>
      </c>
      <c r="N148" s="11" t="s">
        <v>47</v>
      </c>
      <c r="O148" s="11" t="s">
        <v>817</v>
      </c>
      <c r="P148" s="11" t="str">
        <f>VLOOKUP(A148,import!A:P,16,0)</f>
        <v>Geleneksel</v>
      </c>
      <c r="Q148" s="13"/>
      <c r="R148" s="13" t="b">
        <v>1</v>
      </c>
      <c r="S148" s="13" t="b">
        <v>1</v>
      </c>
      <c r="T148" s="14"/>
      <c r="U148" s="14"/>
      <c r="V148" s="14"/>
      <c r="W148" s="14" t="s">
        <v>818</v>
      </c>
      <c r="X148" s="17"/>
      <c r="Y148" s="17"/>
      <c r="Z148" s="18"/>
      <c r="AA148" s="18"/>
      <c r="AB148" s="18"/>
      <c r="AC148" s="18"/>
      <c r="AD148" s="18"/>
      <c r="AE148" s="21"/>
      <c r="AF148" s="18"/>
      <c r="AG148" s="21"/>
      <c r="AH148" s="18"/>
      <c r="AI148" s="18"/>
      <c r="AJ148" s="18"/>
      <c r="AK148" s="18"/>
      <c r="AL148" s="18"/>
      <c r="AM148" s="18"/>
      <c r="AN148" s="18"/>
      <c r="AO148" s="18"/>
      <c r="AP148" s="22" t="s">
        <v>56</v>
      </c>
      <c r="AQ148" s="18"/>
    </row>
    <row r="149">
      <c r="A149" s="11" t="s">
        <v>819</v>
      </c>
      <c r="B149" s="11" t="s">
        <v>820</v>
      </c>
      <c r="C149" s="11" t="str">
        <f>VLOOKUP(A149,import!A:C,3,0)</f>
        <v>YANLIŞ</v>
      </c>
      <c r="D149" s="11" t="s">
        <v>69</v>
      </c>
      <c r="E149" s="11">
        <f>VLOOKUP(A149,import!A:J,5,0)</f>
        <v>15</v>
      </c>
      <c r="F149" s="11" t="str">
        <f>VLOOKUP(A149,import!A:J,6,0)</f>
        <v/>
      </c>
      <c r="G149" s="11">
        <f>VLOOKUP(A149,import!A:J,7,0)</f>
        <v>9</v>
      </c>
      <c r="H149" s="11">
        <f>VLOOKUP(A149,import!A:J,8,0)</f>
        <v>3</v>
      </c>
      <c r="I149" s="11">
        <f>VLOOKUP(A149,import!A:J,9,0)</f>
        <v>12</v>
      </c>
      <c r="J149" s="12">
        <f>VLOOKUP(A149,import!A:J,10,0)</f>
        <v>0.75</v>
      </c>
      <c r="K149" s="11" t="s">
        <v>821</v>
      </c>
      <c r="L149" s="11">
        <v>5.524404044E9</v>
      </c>
      <c r="M149" s="11" t="s">
        <v>47</v>
      </c>
      <c r="N149" s="11" t="s">
        <v>271</v>
      </c>
      <c r="O149" s="11" t="s">
        <v>822</v>
      </c>
      <c r="P149" s="11" t="str">
        <f>VLOOKUP(A149,import!A:P,16,0)</f>
        <v>Geleneksel</v>
      </c>
      <c r="Q149" s="13"/>
      <c r="R149" s="13" t="b">
        <v>1</v>
      </c>
      <c r="S149" s="13" t="b">
        <v>1</v>
      </c>
      <c r="T149" s="14" t="s">
        <v>50</v>
      </c>
      <c r="U149" s="15"/>
      <c r="V149" s="15"/>
      <c r="W149" s="14" t="s">
        <v>823</v>
      </c>
      <c r="X149" s="17"/>
      <c r="Y149" s="17"/>
      <c r="Z149" s="18"/>
      <c r="AA149" s="18"/>
      <c r="AB149" s="18"/>
      <c r="AC149" s="18"/>
      <c r="AD149" s="18"/>
      <c r="AE149" s="21"/>
      <c r="AF149" s="18"/>
      <c r="AG149" s="21"/>
      <c r="AH149" s="18"/>
      <c r="AI149" s="18"/>
      <c r="AJ149" s="18"/>
      <c r="AK149" s="18"/>
      <c r="AL149" s="18"/>
      <c r="AM149" s="18"/>
      <c r="AN149" s="18"/>
      <c r="AO149" s="18"/>
      <c r="AP149" s="22" t="s">
        <v>56</v>
      </c>
      <c r="AQ149" s="18"/>
    </row>
    <row r="150">
      <c r="A150" s="11" t="s">
        <v>824</v>
      </c>
      <c r="B150" s="11" t="s">
        <v>825</v>
      </c>
      <c r="C150" s="11" t="str">
        <f>VLOOKUP(A150,import!A:C,3,0)</f>
        <v>DOĞRU</v>
      </c>
      <c r="D150" s="11" t="s">
        <v>406</v>
      </c>
      <c r="E150" s="11">
        <f>VLOOKUP(A150,import!A:J,5,0)</f>
        <v>339</v>
      </c>
      <c r="F150" s="11" t="str">
        <f>VLOOKUP(A150,import!A:J,6,0)</f>
        <v/>
      </c>
      <c r="G150" s="11">
        <f>VLOOKUP(A150,import!A:J,7,0)</f>
        <v>0</v>
      </c>
      <c r="H150" s="11">
        <f>VLOOKUP(A150,import!A:J,8,0)</f>
        <v>41</v>
      </c>
      <c r="I150" s="11">
        <f>VLOOKUP(A150,import!A:J,9,0)</f>
        <v>41</v>
      </c>
      <c r="J150" s="12">
        <f>VLOOKUP(A150,import!A:J,10,0)</f>
        <v>0</v>
      </c>
      <c r="K150" s="11" t="s">
        <v>826</v>
      </c>
      <c r="L150" s="11">
        <v>3.523371E9</v>
      </c>
      <c r="M150" s="11" t="s">
        <v>71</v>
      </c>
      <c r="N150" s="11" t="s">
        <v>179</v>
      </c>
      <c r="O150" s="11" t="s">
        <v>827</v>
      </c>
      <c r="P150" s="11" t="s">
        <v>666</v>
      </c>
      <c r="Q150" s="13"/>
      <c r="R150" s="13" t="b">
        <v>1</v>
      </c>
      <c r="S150" s="13" t="b">
        <v>0</v>
      </c>
      <c r="T150" s="14" t="s">
        <v>133</v>
      </c>
      <c r="U150" s="14"/>
      <c r="V150" s="14"/>
      <c r="W150" s="14" t="s">
        <v>828</v>
      </c>
      <c r="X150" s="24"/>
      <c r="Y150" s="24"/>
      <c r="Z150" s="18"/>
      <c r="AA150" s="19" t="s">
        <v>54</v>
      </c>
      <c r="AB150" s="20">
        <v>44613.0</v>
      </c>
      <c r="AC150" s="19" t="s">
        <v>54</v>
      </c>
      <c r="AD150" s="24">
        <v>44642.0</v>
      </c>
      <c r="AE150" s="21"/>
      <c r="AF150" s="18"/>
      <c r="AG150" s="21"/>
      <c r="AH150" s="18"/>
      <c r="AI150" s="18"/>
      <c r="AJ150" s="18"/>
      <c r="AK150" s="19" t="s">
        <v>66</v>
      </c>
      <c r="AL150" s="19" t="s">
        <v>75</v>
      </c>
      <c r="AM150" s="18"/>
      <c r="AN150" s="18"/>
      <c r="AO150" s="18"/>
      <c r="AP150" s="22" t="s">
        <v>56</v>
      </c>
      <c r="AQ150" s="18"/>
    </row>
    <row r="151">
      <c r="A151" s="11" t="s">
        <v>829</v>
      </c>
      <c r="B151" s="11" t="s">
        <v>830</v>
      </c>
      <c r="C151" s="11" t="str">
        <f>VLOOKUP(A151,import!A:C,3,0)</f>
        <v>DOĞRU</v>
      </c>
      <c r="D151" s="11" t="s">
        <v>406</v>
      </c>
      <c r="E151" s="11">
        <f>VLOOKUP(A151,import!A:J,5,0)</f>
        <v>2855</v>
      </c>
      <c r="F151" s="11">
        <f>VLOOKUP(A151,import!A:J,6,0)</f>
        <v>89</v>
      </c>
      <c r="G151" s="11">
        <f>VLOOKUP(A151,import!A:J,7,0)</f>
        <v>0</v>
      </c>
      <c r="H151" s="11">
        <f>VLOOKUP(A151,import!A:J,8,0)</f>
        <v>67</v>
      </c>
      <c r="I151" s="11">
        <f>VLOOKUP(A151,import!A:J,9,0)</f>
        <v>67</v>
      </c>
      <c r="J151" s="12">
        <f>VLOOKUP(A151,import!A:J,10,0)</f>
        <v>0</v>
      </c>
      <c r="K151" s="11" t="s">
        <v>831</v>
      </c>
      <c r="L151" s="11">
        <v>3.522233838E9</v>
      </c>
      <c r="M151" s="11" t="s">
        <v>71</v>
      </c>
      <c r="N151" s="11" t="s">
        <v>102</v>
      </c>
      <c r="O151" s="11" t="s">
        <v>832</v>
      </c>
      <c r="P151" s="11" t="str">
        <f>VLOOKUP(A151,import!A:P,16,0)</f>
        <v>Geleneksel</v>
      </c>
      <c r="Q151" s="13"/>
      <c r="R151" s="13" t="b">
        <v>1</v>
      </c>
      <c r="S151" s="13" t="b">
        <v>1</v>
      </c>
      <c r="T151" s="14"/>
      <c r="U151" s="15"/>
      <c r="V151" s="15"/>
      <c r="W151" s="14" t="s">
        <v>833</v>
      </c>
      <c r="X151" s="17"/>
      <c r="Y151" s="17"/>
      <c r="Z151" s="18"/>
      <c r="AA151" s="19" t="s">
        <v>54</v>
      </c>
      <c r="AB151" s="20">
        <v>44662.0</v>
      </c>
      <c r="AC151" s="18"/>
      <c r="AD151" s="18"/>
      <c r="AE151" s="21"/>
      <c r="AF151" s="18"/>
      <c r="AG151" s="21"/>
      <c r="AH151" s="18"/>
      <c r="AI151" s="18"/>
      <c r="AJ151" s="18"/>
      <c r="AK151" s="19" t="s">
        <v>110</v>
      </c>
      <c r="AL151" s="18"/>
      <c r="AM151" s="18"/>
      <c r="AN151" s="18"/>
      <c r="AO151" s="18"/>
      <c r="AP151" s="22" t="s">
        <v>56</v>
      </c>
      <c r="AQ151" s="18"/>
    </row>
    <row r="152">
      <c r="A152" s="11" t="s">
        <v>834</v>
      </c>
      <c r="B152" s="11" t="s">
        <v>835</v>
      </c>
      <c r="C152" s="11" t="str">
        <f>VLOOKUP(A152,import!A:C,3,0)</f>
        <v>DOĞRU</v>
      </c>
      <c r="D152" s="11" t="s">
        <v>69</v>
      </c>
      <c r="E152" s="11">
        <f>VLOOKUP(A152,import!A:J,5,0)</f>
        <v>9695</v>
      </c>
      <c r="F152" s="11">
        <f>VLOOKUP(A152,import!A:J,6,0)</f>
        <v>817</v>
      </c>
      <c r="G152" s="11">
        <f>VLOOKUP(A152,import!A:J,7,0)</f>
        <v>107</v>
      </c>
      <c r="H152" s="11">
        <f>VLOOKUP(A152,import!A:J,8,0)</f>
        <v>114</v>
      </c>
      <c r="I152" s="11">
        <f>VLOOKUP(A152,import!A:J,9,0)</f>
        <v>221</v>
      </c>
      <c r="J152" s="12">
        <f>VLOOKUP(A152,import!A:J,10,0)</f>
        <v>0.48</v>
      </c>
      <c r="K152" s="11" t="s">
        <v>836</v>
      </c>
      <c r="L152" s="11">
        <v>5.323617738E9</v>
      </c>
      <c r="M152" s="11" t="s">
        <v>61</v>
      </c>
      <c r="N152" s="11" t="s">
        <v>62</v>
      </c>
      <c r="O152" s="11" t="s">
        <v>837</v>
      </c>
      <c r="P152" s="11" t="str">
        <f>VLOOKUP(A152,import!A:P,16,0)</f>
        <v>Geleneksel</v>
      </c>
      <c r="Q152" s="13"/>
      <c r="R152" s="13" t="b">
        <v>1</v>
      </c>
      <c r="S152" s="13" t="b">
        <v>0</v>
      </c>
      <c r="T152" s="14" t="s">
        <v>74</v>
      </c>
      <c r="U152" s="14" t="s">
        <v>75</v>
      </c>
      <c r="V152" s="23" t="s">
        <v>76</v>
      </c>
      <c r="W152" s="14" t="s">
        <v>838</v>
      </c>
      <c r="X152" s="24">
        <v>44618.0</v>
      </c>
      <c r="Y152" s="24">
        <v>44621.0</v>
      </c>
      <c r="Z152" s="18"/>
      <c r="AA152" s="19" t="s">
        <v>347</v>
      </c>
      <c r="AB152" s="20">
        <v>44578.0</v>
      </c>
      <c r="AC152" s="19" t="s">
        <v>78</v>
      </c>
      <c r="AD152" s="20">
        <v>44595.0</v>
      </c>
      <c r="AE152" s="19" t="s">
        <v>347</v>
      </c>
      <c r="AF152" s="20">
        <v>44606.0</v>
      </c>
      <c r="AG152" s="19" t="s">
        <v>54</v>
      </c>
      <c r="AH152" s="20">
        <v>44618.0</v>
      </c>
      <c r="AI152" s="18"/>
      <c r="AJ152" s="18"/>
      <c r="AK152" s="19" t="s">
        <v>95</v>
      </c>
      <c r="AL152" s="19" t="s">
        <v>127</v>
      </c>
      <c r="AM152" s="19" t="s">
        <v>86</v>
      </c>
      <c r="AN152" s="19" t="s">
        <v>75</v>
      </c>
      <c r="AO152" s="18"/>
      <c r="AP152" s="22" t="s">
        <v>56</v>
      </c>
      <c r="AQ152" s="18"/>
    </row>
    <row r="153">
      <c r="A153" s="11" t="s">
        <v>839</v>
      </c>
      <c r="B153" s="11" t="s">
        <v>840</v>
      </c>
      <c r="C153" s="11" t="str">
        <f>VLOOKUP(A153,import!A:C,3,0)</f>
        <v>DOĞRU</v>
      </c>
      <c r="D153" s="11" t="s">
        <v>69</v>
      </c>
      <c r="E153" s="11">
        <f>VLOOKUP(A153,import!A:J,5,0)</f>
        <v>9681</v>
      </c>
      <c r="F153" s="11">
        <f>VLOOKUP(A153,import!A:J,6,0)</f>
        <v>342</v>
      </c>
      <c r="G153" s="11">
        <f>VLOOKUP(A153,import!A:J,7,0)</f>
        <v>36</v>
      </c>
      <c r="H153" s="11">
        <f>VLOOKUP(A153,import!A:J,8,0)</f>
        <v>164</v>
      </c>
      <c r="I153" s="11">
        <f>VLOOKUP(A153,import!A:J,9,0)</f>
        <v>200</v>
      </c>
      <c r="J153" s="12">
        <f>VLOOKUP(A153,import!A:J,10,0)</f>
        <v>0.18</v>
      </c>
      <c r="K153" s="11" t="s">
        <v>841</v>
      </c>
      <c r="L153" s="11">
        <v>3.522354242E9</v>
      </c>
      <c r="M153" s="11" t="s">
        <v>47</v>
      </c>
      <c r="N153" s="11" t="s">
        <v>271</v>
      </c>
      <c r="O153" s="11" t="s">
        <v>842</v>
      </c>
      <c r="P153" s="11" t="str">
        <f>VLOOKUP(A153,import!A:P,16,0)</f>
        <v>Geleneksel</v>
      </c>
      <c r="Q153" s="13"/>
      <c r="R153" s="13" t="b">
        <v>1</v>
      </c>
      <c r="S153" s="13" t="b">
        <v>0</v>
      </c>
      <c r="T153" s="14" t="s">
        <v>74</v>
      </c>
      <c r="U153" s="14" t="s">
        <v>75</v>
      </c>
      <c r="V153" s="23" t="s">
        <v>76</v>
      </c>
      <c r="W153" s="14" t="s">
        <v>838</v>
      </c>
      <c r="X153" s="24">
        <v>44617.0</v>
      </c>
      <c r="Y153" s="24">
        <v>44617.0</v>
      </c>
      <c r="Z153" s="18"/>
      <c r="AA153" s="19" t="s">
        <v>54</v>
      </c>
      <c r="AB153" s="24">
        <v>44617.0</v>
      </c>
      <c r="AC153" s="19" t="s">
        <v>54</v>
      </c>
      <c r="AD153" s="20">
        <v>44618.0</v>
      </c>
      <c r="AE153" s="21"/>
      <c r="AF153" s="18"/>
      <c r="AG153" s="21"/>
      <c r="AH153" s="18"/>
      <c r="AI153" s="18"/>
      <c r="AJ153" s="18"/>
      <c r="AK153" s="19" t="s">
        <v>75</v>
      </c>
      <c r="AL153" s="19" t="s">
        <v>75</v>
      </c>
      <c r="AM153" s="18"/>
      <c r="AN153" s="18"/>
      <c r="AO153" s="18"/>
      <c r="AP153" s="22" t="s">
        <v>56</v>
      </c>
      <c r="AQ153" s="18"/>
    </row>
    <row r="154">
      <c r="A154" s="11" t="s">
        <v>843</v>
      </c>
      <c r="B154" s="11" t="s">
        <v>844</v>
      </c>
      <c r="C154" s="11" t="str">
        <f>VLOOKUP(A154,import!A:C,3,0)</f>
        <v>DOĞRU</v>
      </c>
      <c r="D154" s="11" t="s">
        <v>845</v>
      </c>
      <c r="E154" s="11">
        <f>VLOOKUP(A154,import!A:J,5,0)</f>
        <v>1067</v>
      </c>
      <c r="F154" s="11">
        <f>VLOOKUP(A154,import!A:J,6,0)</f>
        <v>57</v>
      </c>
      <c r="G154" s="11">
        <f>VLOOKUP(A154,import!A:J,7,0)</f>
        <v>0</v>
      </c>
      <c r="H154" s="11">
        <f>VLOOKUP(A154,import!A:J,8,0)</f>
        <v>153</v>
      </c>
      <c r="I154" s="11">
        <f>VLOOKUP(A154,import!A:J,9,0)</f>
        <v>153</v>
      </c>
      <c r="J154" s="12">
        <f>VLOOKUP(A154,import!A:J,10,0)</f>
        <v>0</v>
      </c>
      <c r="K154" s="11" t="s">
        <v>841</v>
      </c>
      <c r="L154" s="11">
        <v>3.522324426E9</v>
      </c>
      <c r="M154" s="11" t="s">
        <v>47</v>
      </c>
      <c r="N154" s="11" t="s">
        <v>307</v>
      </c>
      <c r="O154" s="11" t="s">
        <v>846</v>
      </c>
      <c r="P154" s="11" t="str">
        <f>VLOOKUP(A154,import!A:P,16,0)</f>
        <v>Geleneksel</v>
      </c>
      <c r="Q154" s="13"/>
      <c r="R154" s="13" t="b">
        <v>1</v>
      </c>
      <c r="S154" s="13" t="b">
        <v>0</v>
      </c>
      <c r="T154" s="14" t="s">
        <v>50</v>
      </c>
      <c r="U154" s="14"/>
      <c r="V154" s="14"/>
      <c r="W154" s="14" t="s">
        <v>847</v>
      </c>
      <c r="X154" s="24"/>
      <c r="Y154" s="24"/>
      <c r="Z154" s="18"/>
      <c r="AA154" s="18"/>
      <c r="AB154" s="18"/>
      <c r="AC154" s="18"/>
      <c r="AD154" s="18"/>
      <c r="AE154" s="21"/>
      <c r="AF154" s="18"/>
      <c r="AG154" s="21"/>
      <c r="AH154" s="18"/>
      <c r="AI154" s="18"/>
      <c r="AJ154" s="18"/>
      <c r="AK154" s="18"/>
      <c r="AL154" s="18"/>
      <c r="AM154" s="18"/>
      <c r="AN154" s="18"/>
      <c r="AO154" s="18"/>
      <c r="AP154" s="22" t="s">
        <v>56</v>
      </c>
      <c r="AQ154" s="18"/>
    </row>
    <row r="155">
      <c r="A155" s="11" t="s">
        <v>848</v>
      </c>
      <c r="B155" s="11" t="s">
        <v>849</v>
      </c>
      <c r="C155" s="11" t="str">
        <f>VLOOKUP(A155,import!A:C,3,0)</f>
        <v>YANLIŞ</v>
      </c>
      <c r="D155" s="11" t="s">
        <v>91</v>
      </c>
      <c r="E155" s="11">
        <f>VLOOKUP(A155,import!A:J,5,0)</f>
        <v>68</v>
      </c>
      <c r="F155" s="11" t="str">
        <f>VLOOKUP(A155,import!A:J,6,0)</f>
        <v/>
      </c>
      <c r="G155" s="11">
        <f>VLOOKUP(A155,import!A:J,7,0)</f>
        <v>0</v>
      </c>
      <c r="H155" s="11">
        <f>VLOOKUP(A155,import!A:J,8,0)</f>
        <v>13</v>
      </c>
      <c r="I155" s="11">
        <f>VLOOKUP(A155,import!A:J,9,0)</f>
        <v>13</v>
      </c>
      <c r="J155" s="12">
        <f>VLOOKUP(A155,import!A:J,10,0)</f>
        <v>0</v>
      </c>
      <c r="K155" s="11" t="s">
        <v>850</v>
      </c>
      <c r="L155" s="11">
        <v>5.530180244E9</v>
      </c>
      <c r="M155" s="11" t="s">
        <v>47</v>
      </c>
      <c r="N155" s="11" t="s">
        <v>107</v>
      </c>
      <c r="O155" s="11" t="s">
        <v>851</v>
      </c>
      <c r="P155" s="11" t="str">
        <f>VLOOKUP(A155,import!A:P,16,0)</f>
        <v>Geleneksel</v>
      </c>
      <c r="Q155" s="13"/>
      <c r="R155" s="13" t="b">
        <v>1</v>
      </c>
      <c r="S155" s="13" t="b">
        <v>0</v>
      </c>
      <c r="T155" s="14" t="s">
        <v>168</v>
      </c>
      <c r="U155" s="14"/>
      <c r="V155" s="14"/>
      <c r="W155" s="14" t="s">
        <v>852</v>
      </c>
      <c r="X155" s="24"/>
      <c r="Y155" s="24"/>
      <c r="Z155" s="18"/>
      <c r="AA155" s="19" t="s">
        <v>54</v>
      </c>
      <c r="AB155" s="20">
        <v>44578.0</v>
      </c>
      <c r="AC155" s="19"/>
      <c r="AD155" s="20"/>
      <c r="AE155" s="21"/>
      <c r="AF155" s="18"/>
      <c r="AG155" s="21"/>
      <c r="AH155" s="18"/>
      <c r="AI155" s="18"/>
      <c r="AJ155" s="18"/>
      <c r="AK155" s="19" t="s">
        <v>95</v>
      </c>
      <c r="AL155" s="19"/>
      <c r="AM155" s="18"/>
      <c r="AN155" s="18"/>
      <c r="AO155" s="18"/>
      <c r="AP155" s="22"/>
      <c r="AQ155" s="18"/>
    </row>
    <row r="156">
      <c r="A156" s="11" t="s">
        <v>853</v>
      </c>
      <c r="B156" s="11" t="s">
        <v>854</v>
      </c>
      <c r="C156" s="11" t="str">
        <f>VLOOKUP(A156,import!A:C,3,0)</f>
        <v>YANLIŞ</v>
      </c>
      <c r="D156" s="11" t="s">
        <v>855</v>
      </c>
      <c r="E156" s="11">
        <f>VLOOKUP(A156,import!A:J,5,0)</f>
        <v>26</v>
      </c>
      <c r="F156" s="11" t="str">
        <f>VLOOKUP(A156,import!A:J,6,0)</f>
        <v/>
      </c>
      <c r="G156" s="11">
        <f>VLOOKUP(A156,import!A:J,7,0)</f>
        <v>0</v>
      </c>
      <c r="H156" s="11">
        <f>VLOOKUP(A156,import!A:J,8,0)</f>
        <v>46</v>
      </c>
      <c r="I156" s="11">
        <f>VLOOKUP(A156,import!A:J,9,0)</f>
        <v>46</v>
      </c>
      <c r="J156" s="12">
        <f>VLOOKUP(A156,import!A:J,10,0)</f>
        <v>0</v>
      </c>
      <c r="K156" s="11" t="s">
        <v>856</v>
      </c>
      <c r="L156" s="11">
        <v>3.522345668E9</v>
      </c>
      <c r="M156" s="11" t="s">
        <v>47</v>
      </c>
      <c r="N156" s="11" t="s">
        <v>47</v>
      </c>
      <c r="O156" s="11" t="s">
        <v>857</v>
      </c>
      <c r="P156" s="11" t="str">
        <f>VLOOKUP(A156,import!A:P,16,0)</f>
        <v>Geleneksel</v>
      </c>
      <c r="Q156" s="13"/>
      <c r="R156" s="13" t="b">
        <v>1</v>
      </c>
      <c r="S156" s="13" t="b">
        <v>0</v>
      </c>
      <c r="T156" s="25" t="s">
        <v>145</v>
      </c>
      <c r="U156" s="25"/>
      <c r="V156" s="25"/>
      <c r="W156" s="25"/>
      <c r="X156" s="34"/>
      <c r="Y156" s="34"/>
      <c r="Z156" s="18"/>
      <c r="AA156" s="18"/>
      <c r="AB156" s="18"/>
      <c r="AC156" s="18"/>
      <c r="AD156" s="18"/>
      <c r="AE156" s="21"/>
      <c r="AF156" s="18"/>
      <c r="AG156" s="21"/>
      <c r="AH156" s="18"/>
      <c r="AI156" s="18"/>
      <c r="AJ156" s="18"/>
      <c r="AK156" s="18"/>
      <c r="AL156" s="18"/>
      <c r="AM156" s="18"/>
      <c r="AN156" s="18"/>
      <c r="AO156" s="18"/>
      <c r="AP156" s="22" t="s">
        <v>56</v>
      </c>
      <c r="AQ156" s="18"/>
    </row>
    <row r="157">
      <c r="A157" s="11" t="s">
        <v>858</v>
      </c>
      <c r="B157" s="11" t="s">
        <v>859</v>
      </c>
      <c r="C157" s="11" t="str">
        <f>VLOOKUP(A157,import!A:C,3,0)</f>
        <v>DOĞRU</v>
      </c>
      <c r="D157" s="11" t="s">
        <v>855</v>
      </c>
      <c r="E157" s="11">
        <f>VLOOKUP(A157,import!A:J,5,0)</f>
        <v>90</v>
      </c>
      <c r="F157" s="11">
        <f>VLOOKUP(A157,import!A:J,6,0)</f>
        <v>3</v>
      </c>
      <c r="G157" s="11">
        <f>VLOOKUP(A157,import!A:J,7,0)</f>
        <v>0</v>
      </c>
      <c r="H157" s="11">
        <f>VLOOKUP(A157,import!A:J,8,0)</f>
        <v>37</v>
      </c>
      <c r="I157" s="11">
        <f>VLOOKUP(A157,import!A:J,9,0)</f>
        <v>37</v>
      </c>
      <c r="J157" s="12">
        <f>VLOOKUP(A157,import!A:J,10,0)</f>
        <v>0</v>
      </c>
      <c r="K157" s="11" t="s">
        <v>856</v>
      </c>
      <c r="L157" s="11">
        <v>3.52237001E9</v>
      </c>
      <c r="M157" s="11" t="s">
        <v>47</v>
      </c>
      <c r="N157" s="11" t="s">
        <v>47</v>
      </c>
      <c r="O157" s="11" t="s">
        <v>860</v>
      </c>
      <c r="P157" s="11" t="str">
        <f>VLOOKUP(A157,import!A:P,16,0)</f>
        <v>Geleneksel</v>
      </c>
      <c r="Q157" s="11" t="s">
        <v>860</v>
      </c>
      <c r="R157" s="13" t="b">
        <v>1</v>
      </c>
      <c r="S157" s="13" t="b">
        <v>0</v>
      </c>
      <c r="T157" s="14" t="s">
        <v>74</v>
      </c>
      <c r="U157" s="14" t="s">
        <v>95</v>
      </c>
      <c r="V157" s="31"/>
      <c r="W157" s="14" t="s">
        <v>861</v>
      </c>
      <c r="X157" s="24">
        <v>44300.0</v>
      </c>
      <c r="Y157" s="24">
        <v>44302.0</v>
      </c>
      <c r="Z157" s="18"/>
      <c r="AA157" s="19" t="s">
        <v>54</v>
      </c>
      <c r="AB157" s="20">
        <v>44589.0</v>
      </c>
      <c r="AC157" s="18"/>
      <c r="AD157" s="18"/>
      <c r="AE157" s="21"/>
      <c r="AF157" s="18"/>
      <c r="AG157" s="21"/>
      <c r="AH157" s="18"/>
      <c r="AI157" s="18"/>
      <c r="AJ157" s="18"/>
      <c r="AK157" s="19" t="s">
        <v>110</v>
      </c>
      <c r="AL157" s="18"/>
      <c r="AM157" s="18"/>
      <c r="AN157" s="18"/>
      <c r="AO157" s="18"/>
      <c r="AP157" s="22" t="s">
        <v>56</v>
      </c>
      <c r="AQ157" s="18"/>
    </row>
    <row r="158">
      <c r="A158" s="11" t="s">
        <v>862</v>
      </c>
      <c r="B158" s="11" t="s">
        <v>863</v>
      </c>
      <c r="C158" s="11" t="str">
        <f>VLOOKUP(A158,import!A:C,3,0)</f>
        <v>YANLIŞ</v>
      </c>
      <c r="D158" s="11" t="s">
        <v>855</v>
      </c>
      <c r="E158" s="11">
        <f>VLOOKUP(A158,import!A:J,5,0)</f>
        <v>67</v>
      </c>
      <c r="F158" s="11" t="str">
        <f>VLOOKUP(A158,import!A:J,6,0)</f>
        <v/>
      </c>
      <c r="G158" s="11">
        <f>VLOOKUP(A158,import!A:J,7,0)</f>
        <v>0</v>
      </c>
      <c r="H158" s="11">
        <f>VLOOKUP(A158,import!A:J,8,0)</f>
        <v>51</v>
      </c>
      <c r="I158" s="11">
        <f>VLOOKUP(A158,import!A:J,9,0)</f>
        <v>51</v>
      </c>
      <c r="J158" s="12">
        <f>VLOOKUP(A158,import!A:J,10,0)</f>
        <v>0</v>
      </c>
      <c r="K158" s="11" t="s">
        <v>856</v>
      </c>
      <c r="L158" s="11">
        <v>3.524374047E9</v>
      </c>
      <c r="M158" s="11" t="s">
        <v>61</v>
      </c>
      <c r="N158" s="11" t="s">
        <v>107</v>
      </c>
      <c r="O158" s="11" t="s">
        <v>864</v>
      </c>
      <c r="P158" s="11" t="str">
        <f>VLOOKUP(A158,import!A:P,16,0)</f>
        <v>Geleneksel</v>
      </c>
      <c r="Q158" s="13"/>
      <c r="R158" s="13" t="b">
        <v>1</v>
      </c>
      <c r="S158" s="13" t="b">
        <v>0</v>
      </c>
      <c r="T158" s="14" t="s">
        <v>145</v>
      </c>
      <c r="U158" s="15"/>
      <c r="V158" s="15"/>
      <c r="W158" s="14" t="s">
        <v>865</v>
      </c>
      <c r="X158" s="17"/>
      <c r="Y158" s="17"/>
      <c r="Z158" s="18"/>
      <c r="AA158" s="18"/>
      <c r="AB158" s="18"/>
      <c r="AC158" s="18"/>
      <c r="AD158" s="18"/>
      <c r="AE158" s="21"/>
      <c r="AF158" s="18"/>
      <c r="AG158" s="21"/>
      <c r="AH158" s="18"/>
      <c r="AI158" s="18"/>
      <c r="AJ158" s="18"/>
      <c r="AK158" s="18"/>
      <c r="AL158" s="18"/>
      <c r="AM158" s="18"/>
      <c r="AN158" s="18"/>
      <c r="AO158" s="18"/>
      <c r="AP158" s="22" t="s">
        <v>56</v>
      </c>
      <c r="AQ158" s="18"/>
    </row>
    <row r="159">
      <c r="A159" s="11" t="s">
        <v>866</v>
      </c>
      <c r="B159" s="11" t="s">
        <v>867</v>
      </c>
      <c r="C159" s="11" t="str">
        <f>VLOOKUP(A159,import!A:C,3,0)</f>
        <v>DOĞRU</v>
      </c>
      <c r="D159" s="11" t="s">
        <v>406</v>
      </c>
      <c r="E159" s="11">
        <f>VLOOKUP(A159,import!A:J,5,0)</f>
        <v>544</v>
      </c>
      <c r="F159" s="11" t="str">
        <f>VLOOKUP(A159,import!A:J,6,0)</f>
        <v/>
      </c>
      <c r="G159" s="11">
        <f>VLOOKUP(A159,import!A:J,7,0)</f>
        <v>0</v>
      </c>
      <c r="H159" s="11">
        <f>VLOOKUP(A159,import!A:J,8,0)</f>
        <v>11</v>
      </c>
      <c r="I159" s="11">
        <f>VLOOKUP(A159,import!A:J,9,0)</f>
        <v>11</v>
      </c>
      <c r="J159" s="12">
        <f>VLOOKUP(A159,import!A:J,10,0)</f>
        <v>0</v>
      </c>
      <c r="K159" s="11" t="s">
        <v>868</v>
      </c>
      <c r="L159" s="11">
        <v>3.522222298E9</v>
      </c>
      <c r="M159" s="11" t="s">
        <v>47</v>
      </c>
      <c r="N159" s="11" t="s">
        <v>307</v>
      </c>
      <c r="O159" s="11" t="s">
        <v>869</v>
      </c>
      <c r="P159" s="11" t="str">
        <f>VLOOKUP(A159,import!A:P,16,0)</f>
        <v>Geleneksel</v>
      </c>
      <c r="Q159" s="13"/>
      <c r="R159" s="13" t="b">
        <v>1</v>
      </c>
      <c r="S159" s="13" t="b">
        <v>0</v>
      </c>
      <c r="T159" s="14" t="s">
        <v>168</v>
      </c>
      <c r="U159" s="14" t="s">
        <v>95</v>
      </c>
      <c r="V159" s="14" t="s">
        <v>96</v>
      </c>
      <c r="W159" s="14" t="s">
        <v>870</v>
      </c>
      <c r="X159" s="24">
        <v>44327.0</v>
      </c>
      <c r="Y159" s="24">
        <v>44333.0</v>
      </c>
      <c r="Z159" s="18"/>
      <c r="AA159" s="19" t="s">
        <v>53</v>
      </c>
      <c r="AB159" s="20">
        <v>44603.0</v>
      </c>
      <c r="AC159" s="18"/>
      <c r="AD159" s="18"/>
      <c r="AE159" s="21"/>
      <c r="AF159" s="18"/>
      <c r="AG159" s="21"/>
      <c r="AH159" s="18"/>
      <c r="AI159" s="18"/>
      <c r="AJ159" s="18"/>
      <c r="AK159" s="19" t="s">
        <v>75</v>
      </c>
      <c r="AL159" s="18"/>
      <c r="AM159" s="18"/>
      <c r="AN159" s="18"/>
      <c r="AO159" s="18"/>
      <c r="AP159" s="22" t="s">
        <v>56</v>
      </c>
      <c r="AQ159" s="18"/>
    </row>
    <row r="160">
      <c r="A160" s="11" t="s">
        <v>871</v>
      </c>
      <c r="B160" s="11" t="s">
        <v>872</v>
      </c>
      <c r="C160" s="11" t="str">
        <f>VLOOKUP(A160,import!A:C,3,0)</f>
        <v>DOĞRU</v>
      </c>
      <c r="D160" s="11" t="s">
        <v>406</v>
      </c>
      <c r="E160" s="11">
        <f>VLOOKUP(A160,import!A:J,5,0)</f>
        <v>153</v>
      </c>
      <c r="F160" s="11" t="str">
        <f>VLOOKUP(A160,import!A:J,6,0)</f>
        <v/>
      </c>
      <c r="G160" s="11">
        <f>VLOOKUP(A160,import!A:J,7,0)</f>
        <v>0</v>
      </c>
      <c r="H160" s="11">
        <f>VLOOKUP(A160,import!A:J,8,0)</f>
        <v>8</v>
      </c>
      <c r="I160" s="11">
        <f>VLOOKUP(A160,import!A:J,9,0)</f>
        <v>8</v>
      </c>
      <c r="J160" s="12">
        <f>VLOOKUP(A160,import!A:J,10,0)</f>
        <v>0</v>
      </c>
      <c r="K160" s="11" t="s">
        <v>873</v>
      </c>
      <c r="L160" s="11">
        <v>3.523209555E9</v>
      </c>
      <c r="M160" s="11" t="s">
        <v>47</v>
      </c>
      <c r="N160" s="11" t="s">
        <v>874</v>
      </c>
      <c r="O160" s="11" t="s">
        <v>875</v>
      </c>
      <c r="P160" s="11" t="str">
        <f>VLOOKUP(A160,import!A:P,16,0)</f>
        <v>Geleneksel</v>
      </c>
      <c r="Q160" s="13"/>
      <c r="R160" s="13" t="b">
        <v>1</v>
      </c>
      <c r="S160" s="13" t="b">
        <v>1</v>
      </c>
      <c r="T160" s="14"/>
      <c r="U160" s="14"/>
      <c r="V160" s="16"/>
      <c r="W160" s="14">
        <v>5.468911561E9</v>
      </c>
      <c r="X160" s="24"/>
      <c r="Y160" s="24"/>
      <c r="Z160" s="18"/>
      <c r="AA160" s="19" t="s">
        <v>54</v>
      </c>
      <c r="AB160" s="20">
        <v>44587.0</v>
      </c>
      <c r="AC160" s="19"/>
      <c r="AD160" s="20"/>
      <c r="AE160" s="21"/>
      <c r="AF160" s="18"/>
      <c r="AG160" s="21"/>
      <c r="AH160" s="18"/>
      <c r="AI160" s="18"/>
      <c r="AJ160" s="18"/>
      <c r="AK160" s="19" t="s">
        <v>86</v>
      </c>
      <c r="AL160" s="19"/>
      <c r="AM160" s="18"/>
      <c r="AN160" s="18"/>
      <c r="AO160" s="18"/>
      <c r="AP160" s="22"/>
      <c r="AQ160" s="18"/>
    </row>
    <row r="161">
      <c r="A161" s="11" t="s">
        <v>876</v>
      </c>
      <c r="B161" s="11" t="s">
        <v>877</v>
      </c>
      <c r="C161" s="11" t="str">
        <f>VLOOKUP(A161,import!A:C,3,0)</f>
        <v>DOĞRU</v>
      </c>
      <c r="D161" s="11" t="s">
        <v>69</v>
      </c>
      <c r="E161" s="11">
        <f>VLOOKUP(A161,import!A:J,5,0)</f>
        <v>65</v>
      </c>
      <c r="F161" s="11">
        <f>VLOOKUP(A161,import!A:J,6,0)</f>
        <v>14</v>
      </c>
      <c r="G161" s="11">
        <f>VLOOKUP(A161,import!A:J,7,0)</f>
        <v>62</v>
      </c>
      <c r="H161" s="11">
        <f>VLOOKUP(A161,import!A:J,8,0)</f>
        <v>24</v>
      </c>
      <c r="I161" s="11">
        <f>VLOOKUP(A161,import!A:J,9,0)</f>
        <v>86</v>
      </c>
      <c r="J161" s="12">
        <f>VLOOKUP(A161,import!A:J,10,0)</f>
        <v>0.72</v>
      </c>
      <c r="K161" s="11" t="s">
        <v>878</v>
      </c>
      <c r="L161" s="11">
        <v>3.523325138E9</v>
      </c>
      <c r="M161" s="11" t="s">
        <v>47</v>
      </c>
      <c r="N161" s="11" t="s">
        <v>448</v>
      </c>
      <c r="O161" s="11" t="s">
        <v>879</v>
      </c>
      <c r="P161" s="11" t="str">
        <f>VLOOKUP(A161,import!A:P,16,0)</f>
        <v>Geleneksel</v>
      </c>
      <c r="Q161" s="13"/>
      <c r="R161" s="13" t="b">
        <v>1</v>
      </c>
      <c r="S161" s="13" t="b">
        <v>0</v>
      </c>
      <c r="T161" s="14" t="s">
        <v>74</v>
      </c>
      <c r="U161" s="14" t="s">
        <v>75</v>
      </c>
      <c r="V161" s="30" t="s">
        <v>76</v>
      </c>
      <c r="W161" s="14" t="s">
        <v>880</v>
      </c>
      <c r="X161" s="24">
        <v>44644.0</v>
      </c>
      <c r="Y161" s="24">
        <v>44645.0</v>
      </c>
      <c r="Z161" s="18"/>
      <c r="AA161" s="19" t="s">
        <v>78</v>
      </c>
      <c r="AB161" s="20">
        <v>44586.0</v>
      </c>
      <c r="AC161" s="19" t="s">
        <v>54</v>
      </c>
      <c r="AD161" s="24">
        <v>44641.0</v>
      </c>
      <c r="AE161" s="19" t="s">
        <v>54</v>
      </c>
      <c r="AF161" s="24">
        <v>44644.0</v>
      </c>
      <c r="AG161" s="21"/>
      <c r="AH161" s="18"/>
      <c r="AI161" s="18"/>
      <c r="AJ161" s="18"/>
      <c r="AK161" s="19" t="s">
        <v>80</v>
      </c>
      <c r="AL161" s="19" t="s">
        <v>75</v>
      </c>
      <c r="AM161" s="19" t="s">
        <v>75</v>
      </c>
      <c r="AN161" s="18"/>
      <c r="AO161" s="18"/>
      <c r="AP161" s="22"/>
      <c r="AQ161" s="18"/>
    </row>
    <row r="162">
      <c r="A162" s="11" t="s">
        <v>881</v>
      </c>
      <c r="B162" s="11" t="s">
        <v>882</v>
      </c>
      <c r="C162" s="11" t="str">
        <f>VLOOKUP(A162,import!A:C,3,0)</f>
        <v>DOĞRU</v>
      </c>
      <c r="D162" s="11" t="s">
        <v>100</v>
      </c>
      <c r="E162" s="11">
        <f>VLOOKUP(A162,import!A:J,5,0)</f>
        <v>528</v>
      </c>
      <c r="F162" s="11">
        <f>VLOOKUP(A162,import!A:J,6,0)</f>
        <v>2</v>
      </c>
      <c r="G162" s="11">
        <f>VLOOKUP(A162,import!A:J,7,0)</f>
        <v>6</v>
      </c>
      <c r="H162" s="11">
        <f>VLOOKUP(A162,import!A:J,8,0)</f>
        <v>14</v>
      </c>
      <c r="I162" s="11">
        <f>VLOOKUP(A162,import!A:J,9,0)</f>
        <v>20</v>
      </c>
      <c r="J162" s="12">
        <f>VLOOKUP(A162,import!A:J,10,0)</f>
        <v>0.3</v>
      </c>
      <c r="K162" s="11" t="s">
        <v>883</v>
      </c>
      <c r="L162" s="11">
        <v>5.063956745E9</v>
      </c>
      <c r="M162" s="11" t="s">
        <v>47</v>
      </c>
      <c r="N162" s="11" t="s">
        <v>884</v>
      </c>
      <c r="O162" s="11" t="s">
        <v>885</v>
      </c>
      <c r="P162" s="11" t="str">
        <f>VLOOKUP(A162,import!A:P,16,0)</f>
        <v>Geleneksel</v>
      </c>
      <c r="Q162" s="13"/>
      <c r="R162" s="13" t="b">
        <v>1</v>
      </c>
      <c r="S162" s="13" t="b">
        <v>0</v>
      </c>
      <c r="T162" s="14" t="s">
        <v>74</v>
      </c>
      <c r="U162" s="14" t="s">
        <v>75</v>
      </c>
      <c r="V162" s="23" t="s">
        <v>76</v>
      </c>
      <c r="W162" s="14"/>
      <c r="X162" s="24">
        <v>44603.0</v>
      </c>
      <c r="Y162" s="24">
        <v>44603.0</v>
      </c>
      <c r="Z162" s="18"/>
      <c r="AA162" s="19" t="s">
        <v>54</v>
      </c>
      <c r="AB162" s="20">
        <v>44603.0</v>
      </c>
      <c r="AC162" s="19"/>
      <c r="AD162" s="20"/>
      <c r="AE162" s="21"/>
      <c r="AF162" s="18"/>
      <c r="AG162" s="21"/>
      <c r="AH162" s="18"/>
      <c r="AI162" s="18"/>
      <c r="AJ162" s="18"/>
      <c r="AK162" s="19" t="s">
        <v>75</v>
      </c>
      <c r="AL162" s="19"/>
      <c r="AM162" s="18"/>
      <c r="AN162" s="18"/>
      <c r="AO162" s="18"/>
      <c r="AP162" s="22" t="s">
        <v>56</v>
      </c>
      <c r="AQ162" s="18"/>
    </row>
    <row r="163">
      <c r="A163" s="11" t="s">
        <v>886</v>
      </c>
      <c r="B163" s="11" t="s">
        <v>887</v>
      </c>
      <c r="C163" s="11" t="str">
        <f>VLOOKUP(A163,import!A:C,3,0)</f>
        <v>DOĞRU</v>
      </c>
      <c r="D163" s="11" t="s">
        <v>453</v>
      </c>
      <c r="E163" s="11">
        <f>VLOOKUP(A163,import!A:J,5,0)</f>
        <v>4539</v>
      </c>
      <c r="F163" s="11">
        <f>VLOOKUP(A163,import!A:J,6,0)</f>
        <v>145</v>
      </c>
      <c r="G163" s="11">
        <f>VLOOKUP(A163,import!A:J,7,0)</f>
        <v>28</v>
      </c>
      <c r="H163" s="11">
        <f>VLOOKUP(A163,import!A:J,8,0)</f>
        <v>18</v>
      </c>
      <c r="I163" s="11">
        <f>VLOOKUP(A163,import!A:J,9,0)</f>
        <v>46</v>
      </c>
      <c r="J163" s="12">
        <f>VLOOKUP(A163,import!A:J,10,0)</f>
        <v>0.61</v>
      </c>
      <c r="K163" s="11" t="s">
        <v>557</v>
      </c>
      <c r="L163" s="11">
        <v>5.433838887E9</v>
      </c>
      <c r="M163" s="11" t="s">
        <v>61</v>
      </c>
      <c r="N163" s="11" t="s">
        <v>62</v>
      </c>
      <c r="O163" s="11" t="s">
        <v>558</v>
      </c>
      <c r="P163" s="11" t="str">
        <f>VLOOKUP(A163,import!A:P,16,0)</f>
        <v>Geleneksel</v>
      </c>
      <c r="Q163" s="13"/>
      <c r="R163" s="13" t="b">
        <v>1</v>
      </c>
      <c r="S163" s="13" t="b">
        <v>0</v>
      </c>
      <c r="T163" s="14" t="s">
        <v>74</v>
      </c>
      <c r="U163" s="14" t="s">
        <v>75</v>
      </c>
      <c r="V163" s="35" t="s">
        <v>76</v>
      </c>
      <c r="W163" s="14" t="s">
        <v>888</v>
      </c>
      <c r="X163" s="24">
        <v>44642.0</v>
      </c>
      <c r="Y163" s="24">
        <v>44643.0</v>
      </c>
      <c r="Z163" s="18"/>
      <c r="AA163" s="19" t="s">
        <v>54</v>
      </c>
      <c r="AB163" s="24">
        <v>44642.0</v>
      </c>
      <c r="AC163" s="18"/>
      <c r="AD163" s="18"/>
      <c r="AE163" s="21"/>
      <c r="AF163" s="18"/>
      <c r="AG163" s="21"/>
      <c r="AH163" s="18"/>
      <c r="AI163" s="18"/>
      <c r="AJ163" s="18"/>
      <c r="AK163" s="19" t="s">
        <v>75</v>
      </c>
      <c r="AL163" s="18"/>
      <c r="AM163" s="18"/>
      <c r="AN163" s="18"/>
      <c r="AO163" s="18"/>
      <c r="AP163" s="22" t="s">
        <v>56</v>
      </c>
      <c r="AQ163" s="18"/>
    </row>
    <row r="164">
      <c r="A164" s="11" t="s">
        <v>889</v>
      </c>
      <c r="B164" s="11" t="s">
        <v>890</v>
      </c>
      <c r="C164" s="11" t="str">
        <f>VLOOKUP(A164,import!A:C,3,0)</f>
        <v>DOĞRU</v>
      </c>
      <c r="D164" s="11" t="s">
        <v>453</v>
      </c>
      <c r="E164" s="11">
        <f>VLOOKUP(A164,import!A:J,5,0)</f>
        <v>21</v>
      </c>
      <c r="F164" s="11" t="str">
        <f>VLOOKUP(A164,import!A:J,6,0)</f>
        <v/>
      </c>
      <c r="G164" s="11">
        <f>VLOOKUP(A164,import!A:J,7,0)</f>
        <v>0</v>
      </c>
      <c r="H164" s="11">
        <f>VLOOKUP(A164,import!A:J,8,0)</f>
        <v>25</v>
      </c>
      <c r="I164" s="11">
        <f>VLOOKUP(A164,import!A:J,9,0)</f>
        <v>25</v>
      </c>
      <c r="J164" s="12">
        <f>VLOOKUP(A164,import!A:J,10,0)</f>
        <v>0</v>
      </c>
      <c r="K164" s="11" t="s">
        <v>891</v>
      </c>
      <c r="L164" s="11">
        <v>3.523338282E9</v>
      </c>
      <c r="M164" s="11" t="s">
        <v>47</v>
      </c>
      <c r="N164" s="11" t="s">
        <v>47</v>
      </c>
      <c r="O164" s="11" t="s">
        <v>892</v>
      </c>
      <c r="P164" s="11" t="str">
        <f>VLOOKUP(A164,import!A:P,16,0)</f>
        <v>Geleneksel</v>
      </c>
      <c r="Q164" s="13"/>
      <c r="R164" s="13" t="b">
        <v>1</v>
      </c>
      <c r="S164" s="13" t="b">
        <v>0</v>
      </c>
      <c r="T164" s="14" t="s">
        <v>115</v>
      </c>
      <c r="U164" s="14"/>
      <c r="V164" s="14"/>
      <c r="W164" s="14" t="s">
        <v>893</v>
      </c>
      <c r="X164" s="24"/>
      <c r="Y164" s="24"/>
      <c r="Z164" s="18"/>
      <c r="AA164" s="19" t="s">
        <v>78</v>
      </c>
      <c r="AB164" s="20">
        <v>44362.0</v>
      </c>
      <c r="AC164" s="19" t="s">
        <v>347</v>
      </c>
      <c r="AD164" s="20">
        <v>44362.0</v>
      </c>
      <c r="AE164" s="19" t="s">
        <v>54</v>
      </c>
      <c r="AF164" s="20">
        <v>44601.0</v>
      </c>
      <c r="AG164" s="21"/>
      <c r="AH164" s="18"/>
      <c r="AI164" s="18"/>
      <c r="AJ164" s="18"/>
      <c r="AK164" s="19" t="s">
        <v>88</v>
      </c>
      <c r="AL164" s="19" t="s">
        <v>88</v>
      </c>
      <c r="AM164" s="19" t="s">
        <v>110</v>
      </c>
      <c r="AN164" s="18"/>
      <c r="AO164" s="18"/>
      <c r="AP164" s="22" t="s">
        <v>56</v>
      </c>
      <c r="AQ164" s="18"/>
    </row>
    <row r="165">
      <c r="A165" s="11" t="s">
        <v>894</v>
      </c>
      <c r="B165" s="11" t="s">
        <v>895</v>
      </c>
      <c r="C165" s="11" t="str">
        <f>VLOOKUP(A165,import!A:C,3,0)</f>
        <v>DOĞRU</v>
      </c>
      <c r="D165" s="11" t="s">
        <v>653</v>
      </c>
      <c r="E165" s="11">
        <f>VLOOKUP(A165,import!A:J,5,0)</f>
        <v>2084</v>
      </c>
      <c r="F165" s="11">
        <f>VLOOKUP(A165,import!A:J,6,0)</f>
        <v>24</v>
      </c>
      <c r="G165" s="11">
        <f>VLOOKUP(A165,import!A:J,7,0)</f>
        <v>9</v>
      </c>
      <c r="H165" s="11">
        <f>VLOOKUP(A165,import!A:J,8,0)</f>
        <v>75</v>
      </c>
      <c r="I165" s="11">
        <f>VLOOKUP(A165,import!A:J,9,0)</f>
        <v>84</v>
      </c>
      <c r="J165" s="12">
        <f>VLOOKUP(A165,import!A:J,10,0)</f>
        <v>0.11</v>
      </c>
      <c r="K165" s="11" t="s">
        <v>896</v>
      </c>
      <c r="L165" s="11">
        <v>3.525020949E9</v>
      </c>
      <c r="M165" s="11" t="s">
        <v>61</v>
      </c>
      <c r="N165" s="11" t="s">
        <v>62</v>
      </c>
      <c r="O165" s="11" t="s">
        <v>897</v>
      </c>
      <c r="P165" s="11" t="str">
        <f>VLOOKUP(A165,import!A:P,16,0)</f>
        <v>Geleneksel</v>
      </c>
      <c r="Q165" s="13"/>
      <c r="R165" s="13" t="b">
        <v>1</v>
      </c>
      <c r="S165" s="13" t="b">
        <v>0</v>
      </c>
      <c r="T165" s="14" t="s">
        <v>74</v>
      </c>
      <c r="U165" s="14" t="s">
        <v>127</v>
      </c>
      <c r="V165" s="23" t="s">
        <v>76</v>
      </c>
      <c r="W165" s="14" t="s">
        <v>898</v>
      </c>
      <c r="X165" s="24">
        <v>44596.0</v>
      </c>
      <c r="Y165" s="24">
        <v>44601.0</v>
      </c>
      <c r="Z165" s="18"/>
      <c r="AA165" s="19" t="s">
        <v>53</v>
      </c>
      <c r="AB165" s="20">
        <v>44578.0</v>
      </c>
      <c r="AC165" s="19" t="s">
        <v>54</v>
      </c>
      <c r="AD165" s="20">
        <v>44595.0</v>
      </c>
      <c r="AE165" s="19" t="s">
        <v>54</v>
      </c>
      <c r="AF165" s="20">
        <v>44596.0</v>
      </c>
      <c r="AG165" s="19" t="s">
        <v>54</v>
      </c>
      <c r="AH165" s="20">
        <v>44670.0</v>
      </c>
      <c r="AI165" s="18"/>
      <c r="AJ165" s="18"/>
      <c r="AK165" s="19" t="s">
        <v>381</v>
      </c>
      <c r="AL165" s="19" t="s">
        <v>127</v>
      </c>
      <c r="AM165" s="19" t="s">
        <v>127</v>
      </c>
      <c r="AN165" s="19" t="s">
        <v>110</v>
      </c>
      <c r="AO165" s="18"/>
      <c r="AP165" s="22" t="s">
        <v>56</v>
      </c>
      <c r="AQ165" s="18"/>
    </row>
    <row r="166">
      <c r="A166" s="11" t="s">
        <v>899</v>
      </c>
      <c r="B166" s="11" t="s">
        <v>900</v>
      </c>
      <c r="C166" s="11" t="str">
        <f>VLOOKUP(A166,import!A:C,3,0)</f>
        <v>DOĞRU</v>
      </c>
      <c r="D166" s="11" t="s">
        <v>165</v>
      </c>
      <c r="E166" s="11">
        <f>VLOOKUP(A166,import!A:J,5,0)</f>
        <v>2015</v>
      </c>
      <c r="F166" s="11">
        <f>VLOOKUP(A166,import!A:J,6,0)</f>
        <v>92</v>
      </c>
      <c r="G166" s="11">
        <f>VLOOKUP(A166,import!A:J,7,0)</f>
        <v>10</v>
      </c>
      <c r="H166" s="11">
        <f>VLOOKUP(A166,import!A:J,8,0)</f>
        <v>50</v>
      </c>
      <c r="I166" s="11">
        <f>VLOOKUP(A166,import!A:J,9,0)</f>
        <v>60</v>
      </c>
      <c r="J166" s="12">
        <f>VLOOKUP(A166,import!A:J,10,0)</f>
        <v>0.17</v>
      </c>
      <c r="K166" s="11" t="s">
        <v>901</v>
      </c>
      <c r="L166" s="11">
        <v>3.52431305E9</v>
      </c>
      <c r="M166" s="11" t="s">
        <v>61</v>
      </c>
      <c r="N166" s="11" t="s">
        <v>62</v>
      </c>
      <c r="O166" s="11" t="s">
        <v>902</v>
      </c>
      <c r="P166" s="11" t="str">
        <f>VLOOKUP(A166,import!A:P,16,0)</f>
        <v>Geleneksel</v>
      </c>
      <c r="Q166" s="13"/>
      <c r="R166" s="13" t="b">
        <v>1</v>
      </c>
      <c r="S166" s="13" t="b">
        <v>0</v>
      </c>
      <c r="T166" s="14" t="s">
        <v>74</v>
      </c>
      <c r="U166" s="14" t="s">
        <v>88</v>
      </c>
      <c r="V166" s="31" t="s">
        <v>96</v>
      </c>
      <c r="W166" s="14" t="s">
        <v>903</v>
      </c>
      <c r="X166" s="24">
        <v>44361.0</v>
      </c>
      <c r="Y166" s="24">
        <v>44362.0</v>
      </c>
      <c r="Z166" s="18"/>
      <c r="AA166" s="18"/>
      <c r="AB166" s="18"/>
      <c r="AC166" s="18"/>
      <c r="AD166" s="18"/>
      <c r="AE166" s="21"/>
      <c r="AF166" s="18"/>
      <c r="AG166" s="21"/>
      <c r="AH166" s="18"/>
      <c r="AI166" s="18"/>
      <c r="AJ166" s="18"/>
      <c r="AK166" s="18"/>
      <c r="AL166" s="18"/>
      <c r="AM166" s="18"/>
      <c r="AN166" s="18"/>
      <c r="AO166" s="18"/>
      <c r="AP166" s="22" t="s">
        <v>56</v>
      </c>
      <c r="AQ166" s="18"/>
    </row>
    <row r="167">
      <c r="A167" s="11" t="s">
        <v>904</v>
      </c>
      <c r="B167" s="11" t="s">
        <v>905</v>
      </c>
      <c r="C167" s="11" t="str">
        <f>VLOOKUP(A167,import!A:C,3,0)</f>
        <v>DOĞRU</v>
      </c>
      <c r="D167" s="11" t="s">
        <v>69</v>
      </c>
      <c r="E167" s="11">
        <f>VLOOKUP(A167,import!A:J,5,0)</f>
        <v>2904</v>
      </c>
      <c r="F167" s="11">
        <f>VLOOKUP(A167,import!A:J,6,0)</f>
        <v>134</v>
      </c>
      <c r="G167" s="11">
        <f>VLOOKUP(A167,import!A:J,7,0)</f>
        <v>0</v>
      </c>
      <c r="H167" s="11">
        <f>VLOOKUP(A167,import!A:J,8,0)</f>
        <v>69</v>
      </c>
      <c r="I167" s="11">
        <f>VLOOKUP(A167,import!A:J,9,0)</f>
        <v>69</v>
      </c>
      <c r="J167" s="12">
        <f>VLOOKUP(A167,import!A:J,10,0)</f>
        <v>0</v>
      </c>
      <c r="K167" s="11" t="s">
        <v>906</v>
      </c>
      <c r="L167" s="11">
        <v>3.525048887E9</v>
      </c>
      <c r="M167" s="11" t="s">
        <v>61</v>
      </c>
      <c r="N167" s="11" t="s">
        <v>107</v>
      </c>
      <c r="O167" s="11" t="s">
        <v>907</v>
      </c>
      <c r="P167" s="11" t="str">
        <f>VLOOKUP(A167,import!A:P,16,0)</f>
        <v>Geleneksel</v>
      </c>
      <c r="Q167" s="13"/>
      <c r="R167" s="13" t="b">
        <v>1</v>
      </c>
      <c r="S167" s="13" t="b">
        <v>1</v>
      </c>
      <c r="T167" s="25"/>
      <c r="U167" s="25"/>
      <c r="V167" s="28"/>
      <c r="W167" s="25" t="s">
        <v>908</v>
      </c>
      <c r="X167" s="34"/>
      <c r="Y167" s="34"/>
      <c r="Z167" s="18"/>
      <c r="AA167" s="19" t="s">
        <v>54</v>
      </c>
      <c r="AB167" s="20">
        <v>44595.0</v>
      </c>
      <c r="AC167" s="18"/>
      <c r="AD167" s="18"/>
      <c r="AE167" s="21"/>
      <c r="AF167" s="18"/>
      <c r="AG167" s="21"/>
      <c r="AH167" s="18"/>
      <c r="AI167" s="18"/>
      <c r="AJ167" s="18"/>
      <c r="AK167" s="19" t="s">
        <v>127</v>
      </c>
      <c r="AL167" s="18"/>
      <c r="AM167" s="18"/>
      <c r="AN167" s="18"/>
      <c r="AO167" s="18"/>
      <c r="AP167" s="22" t="s">
        <v>56</v>
      </c>
      <c r="AQ167" s="18"/>
    </row>
    <row r="168">
      <c r="A168" s="11" t="s">
        <v>909</v>
      </c>
      <c r="B168" s="11" t="s">
        <v>910</v>
      </c>
      <c r="C168" s="11" t="str">
        <f>VLOOKUP(A168,import!A:C,3,0)</f>
        <v>DOĞRU</v>
      </c>
      <c r="D168" s="11" t="s">
        <v>165</v>
      </c>
      <c r="E168" s="11">
        <f>VLOOKUP(A168,import!A:J,5,0)</f>
        <v>199</v>
      </c>
      <c r="F168" s="11">
        <f>VLOOKUP(A168,import!A:J,6,0)</f>
        <v>46</v>
      </c>
      <c r="G168" s="11">
        <f>VLOOKUP(A168,import!A:J,7,0)</f>
        <v>0</v>
      </c>
      <c r="H168" s="11">
        <f>VLOOKUP(A168,import!A:J,8,0)</f>
        <v>11</v>
      </c>
      <c r="I168" s="11">
        <f>VLOOKUP(A168,import!A:J,9,0)</f>
        <v>11</v>
      </c>
      <c r="J168" s="12">
        <f>VLOOKUP(A168,import!A:J,10,0)</f>
        <v>0</v>
      </c>
      <c r="K168" s="11" t="s">
        <v>911</v>
      </c>
      <c r="L168" s="11">
        <v>3.52503807E9</v>
      </c>
      <c r="M168" s="11" t="s">
        <v>47</v>
      </c>
      <c r="N168" s="11" t="s">
        <v>259</v>
      </c>
      <c r="O168" s="11" t="s">
        <v>912</v>
      </c>
      <c r="P168" s="11" t="str">
        <f>VLOOKUP(A168,import!A:P,16,0)</f>
        <v>Geleneksel</v>
      </c>
      <c r="Q168" s="13"/>
      <c r="R168" s="13" t="b">
        <v>1</v>
      </c>
      <c r="S168" s="13" t="b">
        <v>0</v>
      </c>
      <c r="T168" s="14" t="s">
        <v>133</v>
      </c>
      <c r="U168" s="14"/>
      <c r="V168" s="14"/>
      <c r="W168" s="14" t="s">
        <v>913</v>
      </c>
      <c r="X168" s="24"/>
      <c r="Y168" s="24"/>
      <c r="Z168" s="18"/>
      <c r="AA168" s="19" t="s">
        <v>54</v>
      </c>
      <c r="AB168" s="20">
        <v>44614.0</v>
      </c>
      <c r="AC168" s="19"/>
      <c r="AD168" s="20"/>
      <c r="AE168" s="19"/>
      <c r="AF168" s="20"/>
      <c r="AG168" s="21"/>
      <c r="AH168" s="18"/>
      <c r="AI168" s="18"/>
      <c r="AJ168" s="18"/>
      <c r="AK168" s="19" t="s">
        <v>110</v>
      </c>
      <c r="AL168" s="19"/>
      <c r="AM168" s="19"/>
      <c r="AN168" s="18"/>
      <c r="AO168" s="18"/>
      <c r="AP168" s="22"/>
      <c r="AQ168" s="18"/>
    </row>
    <row r="169">
      <c r="A169" s="11" t="s">
        <v>914</v>
      </c>
      <c r="B169" s="11" t="s">
        <v>915</v>
      </c>
      <c r="C169" s="11" t="str">
        <f>VLOOKUP(A169,import!A:C,3,0)</f>
        <v>DOĞRU</v>
      </c>
      <c r="D169" s="11" t="s">
        <v>59</v>
      </c>
      <c r="E169" s="11">
        <f>VLOOKUP(A169,import!A:J,5,0)</f>
        <v>936</v>
      </c>
      <c r="F169" s="11">
        <f>VLOOKUP(A169,import!A:J,6,0)</f>
        <v>38</v>
      </c>
      <c r="G169" s="11">
        <f>VLOOKUP(A169,import!A:J,7,0)</f>
        <v>0</v>
      </c>
      <c r="H169" s="11">
        <f>VLOOKUP(A169,import!A:J,8,0)</f>
        <v>44</v>
      </c>
      <c r="I169" s="11">
        <f>VLOOKUP(A169,import!A:J,9,0)</f>
        <v>44</v>
      </c>
      <c r="J169" s="12">
        <f>VLOOKUP(A169,import!A:J,10,0)</f>
        <v>0</v>
      </c>
      <c r="K169" s="11" t="s">
        <v>916</v>
      </c>
      <c r="L169" s="11">
        <v>3.52888201E9</v>
      </c>
      <c r="M169" s="11" t="s">
        <v>61</v>
      </c>
      <c r="N169" s="11" t="s">
        <v>107</v>
      </c>
      <c r="O169" s="11" t="s">
        <v>917</v>
      </c>
      <c r="P169" s="11" t="str">
        <f>VLOOKUP(A169,import!A:P,16,0)</f>
        <v>Geleneksel</v>
      </c>
      <c r="Q169" s="13"/>
      <c r="R169" s="13" t="b">
        <v>1</v>
      </c>
      <c r="S169" s="13" t="b">
        <v>0</v>
      </c>
      <c r="T169" s="14" t="s">
        <v>133</v>
      </c>
      <c r="U169" s="15"/>
      <c r="V169" s="40"/>
      <c r="W169" s="14" t="s">
        <v>918</v>
      </c>
      <c r="X169" s="17"/>
      <c r="Y169" s="17"/>
      <c r="Z169" s="18"/>
      <c r="AA169" s="19" t="s">
        <v>54</v>
      </c>
      <c r="AB169" s="20">
        <v>44361.0</v>
      </c>
      <c r="AC169" s="19" t="s">
        <v>53</v>
      </c>
      <c r="AD169" s="20">
        <v>44595.0</v>
      </c>
      <c r="AE169" s="21"/>
      <c r="AF169" s="18"/>
      <c r="AG169" s="21"/>
      <c r="AH169" s="18"/>
      <c r="AI169" s="18"/>
      <c r="AJ169" s="18"/>
      <c r="AK169" s="19" t="s">
        <v>55</v>
      </c>
      <c r="AL169" s="19" t="s">
        <v>127</v>
      </c>
      <c r="AM169" s="18"/>
      <c r="AN169" s="18"/>
      <c r="AO169" s="18"/>
      <c r="AP169" s="22" t="s">
        <v>56</v>
      </c>
      <c r="AQ169" s="18"/>
    </row>
    <row r="170">
      <c r="A170" s="11" t="s">
        <v>919</v>
      </c>
      <c r="B170" s="11" t="s">
        <v>920</v>
      </c>
      <c r="C170" s="11" t="str">
        <f>VLOOKUP(A170,import!A:C,3,0)</f>
        <v>DOĞRU</v>
      </c>
      <c r="D170" s="11" t="s">
        <v>100</v>
      </c>
      <c r="E170" s="11">
        <f>VLOOKUP(A170,import!A:J,5,0)</f>
        <v>217</v>
      </c>
      <c r="F170" s="11">
        <f>VLOOKUP(A170,import!A:J,6,0)</f>
        <v>18</v>
      </c>
      <c r="G170" s="11">
        <f>VLOOKUP(A170,import!A:J,7,0)</f>
        <v>11</v>
      </c>
      <c r="H170" s="11">
        <f>VLOOKUP(A170,import!A:J,8,0)</f>
        <v>10</v>
      </c>
      <c r="I170" s="11">
        <f>VLOOKUP(A170,import!A:J,9,0)</f>
        <v>21</v>
      </c>
      <c r="J170" s="12">
        <f>VLOOKUP(A170,import!A:J,10,0)</f>
        <v>0.52</v>
      </c>
      <c r="K170" s="11" t="s">
        <v>921</v>
      </c>
      <c r="L170" s="11">
        <v>3.525031908E9</v>
      </c>
      <c r="M170" s="11" t="s">
        <v>47</v>
      </c>
      <c r="N170" s="11" t="s">
        <v>48</v>
      </c>
      <c r="O170" s="11" t="s">
        <v>922</v>
      </c>
      <c r="P170" s="11" t="str">
        <f>VLOOKUP(A170,import!A:P,16,0)</f>
        <v>Geleneksel</v>
      </c>
      <c r="Q170" s="13"/>
      <c r="R170" s="13" t="b">
        <v>1</v>
      </c>
      <c r="S170" s="13" t="b">
        <v>0</v>
      </c>
      <c r="T170" s="14" t="s">
        <v>50</v>
      </c>
      <c r="U170" s="14"/>
      <c r="V170" s="14"/>
      <c r="W170" s="14"/>
      <c r="X170" s="24"/>
      <c r="Y170" s="24"/>
      <c r="Z170" s="18"/>
      <c r="AA170" s="19"/>
      <c r="AB170" s="20"/>
      <c r="AC170" s="19"/>
      <c r="AD170" s="20"/>
      <c r="AE170" s="21"/>
      <c r="AF170" s="18"/>
      <c r="AG170" s="21"/>
      <c r="AH170" s="18"/>
      <c r="AI170" s="18"/>
      <c r="AJ170" s="18"/>
      <c r="AK170" s="19"/>
      <c r="AL170" s="19"/>
      <c r="AM170" s="18"/>
      <c r="AN170" s="18"/>
      <c r="AO170" s="18"/>
      <c r="AP170" s="22"/>
      <c r="AQ170" s="18"/>
    </row>
    <row r="171">
      <c r="A171" s="11" t="s">
        <v>923</v>
      </c>
      <c r="B171" s="11" t="s">
        <v>924</v>
      </c>
      <c r="C171" s="11" t="str">
        <f>VLOOKUP(A171,import!A:C,3,0)</f>
        <v>DOĞRU</v>
      </c>
      <c r="D171" s="11" t="s">
        <v>100</v>
      </c>
      <c r="E171" s="11">
        <f>VLOOKUP(A171,import!A:J,5,0)</f>
        <v>249</v>
      </c>
      <c r="F171" s="11" t="str">
        <f>VLOOKUP(A171,import!A:J,6,0)</f>
        <v/>
      </c>
      <c r="G171" s="11">
        <f>VLOOKUP(A171,import!A:J,7,0)</f>
        <v>10</v>
      </c>
      <c r="H171" s="11">
        <f>VLOOKUP(A171,import!A:J,8,0)</f>
        <v>9</v>
      </c>
      <c r="I171" s="11">
        <f>VLOOKUP(A171,import!A:J,9,0)</f>
        <v>19</v>
      </c>
      <c r="J171" s="12">
        <f>VLOOKUP(A171,import!A:J,10,0)</f>
        <v>0.53</v>
      </c>
      <c r="K171" s="11" t="s">
        <v>925</v>
      </c>
      <c r="L171" s="11">
        <v>5.417481713E9</v>
      </c>
      <c r="M171" s="11" t="s">
        <v>47</v>
      </c>
      <c r="N171" s="11" t="s">
        <v>391</v>
      </c>
      <c r="O171" s="11" t="s">
        <v>926</v>
      </c>
      <c r="P171" s="11" t="str">
        <f>VLOOKUP(A171,import!A:P,16,0)</f>
        <v>Geleneksel</v>
      </c>
      <c r="Q171" s="13"/>
      <c r="R171" s="13" t="b">
        <v>1</v>
      </c>
      <c r="S171" s="13" t="b">
        <v>0</v>
      </c>
      <c r="T171" s="14" t="s">
        <v>50</v>
      </c>
      <c r="U171" s="14"/>
      <c r="V171" s="31"/>
      <c r="W171" s="14"/>
      <c r="X171" s="24"/>
      <c r="Y171" s="24"/>
      <c r="Z171" s="18"/>
      <c r="AA171" s="19"/>
      <c r="AB171" s="20"/>
      <c r="AC171" s="19"/>
      <c r="AD171" s="20"/>
      <c r="AE171" s="21"/>
      <c r="AF171" s="18"/>
      <c r="AG171" s="21"/>
      <c r="AH171" s="18"/>
      <c r="AI171" s="18"/>
      <c r="AJ171" s="18"/>
      <c r="AK171" s="19"/>
      <c r="AL171" s="19"/>
      <c r="AM171" s="18"/>
      <c r="AN171" s="18"/>
      <c r="AO171" s="18"/>
      <c r="AP171" s="22" t="s">
        <v>56</v>
      </c>
      <c r="AQ171" s="18"/>
    </row>
    <row r="172">
      <c r="A172" s="11" t="s">
        <v>927</v>
      </c>
      <c r="B172" s="11" t="s">
        <v>928</v>
      </c>
      <c r="C172" s="11" t="str">
        <f>VLOOKUP(A172,import!A:C,3,0)</f>
        <v>DOĞRU</v>
      </c>
      <c r="D172" s="11" t="s">
        <v>165</v>
      </c>
      <c r="E172" s="11">
        <f>VLOOKUP(A172,import!A:J,5,0)</f>
        <v>2836</v>
      </c>
      <c r="F172" s="11">
        <f>VLOOKUP(A172,import!A:J,6,0)</f>
        <v>196</v>
      </c>
      <c r="G172" s="11">
        <f>VLOOKUP(A172,import!A:J,7,0)</f>
        <v>9</v>
      </c>
      <c r="H172" s="11">
        <f>VLOOKUP(A172,import!A:J,8,0)</f>
        <v>9</v>
      </c>
      <c r="I172" s="11">
        <f>VLOOKUP(A172,import!A:J,9,0)</f>
        <v>18</v>
      </c>
      <c r="J172" s="12">
        <f>VLOOKUP(A172,import!A:J,10,0)</f>
        <v>0.5</v>
      </c>
      <c r="K172" s="11" t="s">
        <v>929</v>
      </c>
      <c r="L172" s="11">
        <v>3.522221971E9</v>
      </c>
      <c r="M172" s="11" t="s">
        <v>61</v>
      </c>
      <c r="N172" s="11" t="s">
        <v>62</v>
      </c>
      <c r="O172" s="11" t="s">
        <v>930</v>
      </c>
      <c r="P172" s="11" t="str">
        <f>VLOOKUP(A172,import!A:P,16,0)</f>
        <v>Geleneksel</v>
      </c>
      <c r="Q172" s="13"/>
      <c r="R172" s="13" t="b">
        <v>1</v>
      </c>
      <c r="S172" s="13" t="b">
        <v>0</v>
      </c>
      <c r="T172" s="14" t="s">
        <v>74</v>
      </c>
      <c r="U172" s="14" t="s">
        <v>86</v>
      </c>
      <c r="V172" s="23" t="s">
        <v>76</v>
      </c>
      <c r="W172" s="25" t="s">
        <v>931</v>
      </c>
      <c r="X172" s="24">
        <v>44606.0</v>
      </c>
      <c r="Y172" s="24">
        <v>44607.0</v>
      </c>
      <c r="Z172" s="18"/>
      <c r="AA172" s="19" t="s">
        <v>54</v>
      </c>
      <c r="AB172" s="20">
        <v>44606.0</v>
      </c>
      <c r="AC172" s="18"/>
      <c r="AD172" s="18"/>
      <c r="AE172" s="21"/>
      <c r="AF172" s="18"/>
      <c r="AG172" s="21"/>
      <c r="AH172" s="18"/>
      <c r="AI172" s="18"/>
      <c r="AJ172" s="18"/>
      <c r="AK172" s="19" t="s">
        <v>86</v>
      </c>
      <c r="AL172" s="18"/>
      <c r="AM172" s="18"/>
      <c r="AN172" s="18"/>
      <c r="AO172" s="18"/>
      <c r="AP172" s="22" t="s">
        <v>56</v>
      </c>
      <c r="AQ172" s="18"/>
    </row>
    <row r="173">
      <c r="A173" s="11" t="s">
        <v>932</v>
      </c>
      <c r="B173" s="11" t="s">
        <v>933</v>
      </c>
      <c r="C173" s="11" t="str">
        <f>VLOOKUP(A173,import!A:C,3,0)</f>
        <v>DOĞRU</v>
      </c>
      <c r="D173" s="11" t="s">
        <v>453</v>
      </c>
      <c r="E173" s="11">
        <f>VLOOKUP(A173,import!A:J,5,0)</f>
        <v>184</v>
      </c>
      <c r="F173" s="11">
        <f>VLOOKUP(A173,import!A:J,6,0)</f>
        <v>65</v>
      </c>
      <c r="G173" s="11">
        <f>VLOOKUP(A173,import!A:J,7,0)</f>
        <v>0</v>
      </c>
      <c r="H173" s="11">
        <f>VLOOKUP(A173,import!A:J,8,0)</f>
        <v>21</v>
      </c>
      <c r="I173" s="11">
        <f>VLOOKUP(A173,import!A:J,9,0)</f>
        <v>21</v>
      </c>
      <c r="J173" s="12">
        <f>VLOOKUP(A173,import!A:J,10,0)</f>
        <v>0</v>
      </c>
      <c r="K173" s="11" t="s">
        <v>934</v>
      </c>
      <c r="L173" s="11">
        <v>5.358790838E9</v>
      </c>
      <c r="M173" s="11" t="s">
        <v>61</v>
      </c>
      <c r="N173" s="11" t="s">
        <v>62</v>
      </c>
      <c r="O173" s="11" t="s">
        <v>935</v>
      </c>
      <c r="P173" s="11" t="str">
        <f>VLOOKUP(A173,import!A:P,16,0)</f>
        <v>Geleneksel</v>
      </c>
      <c r="Q173" s="13"/>
      <c r="R173" s="13" t="b">
        <v>1</v>
      </c>
      <c r="S173" s="13" t="b">
        <v>0</v>
      </c>
      <c r="T173" s="14" t="s">
        <v>133</v>
      </c>
      <c r="U173" s="14"/>
      <c r="V173" s="14"/>
      <c r="W173" s="14" t="s">
        <v>936</v>
      </c>
      <c r="X173" s="24"/>
      <c r="Y173" s="24"/>
      <c r="Z173" s="18"/>
      <c r="AA173" s="19" t="s">
        <v>53</v>
      </c>
      <c r="AB173" s="20">
        <v>44638.0</v>
      </c>
      <c r="AC173" s="19" t="s">
        <v>54</v>
      </c>
      <c r="AD173" s="20">
        <v>44643.0</v>
      </c>
      <c r="AE173" s="19" t="s">
        <v>54</v>
      </c>
      <c r="AF173" s="20">
        <v>44670.0</v>
      </c>
      <c r="AG173" s="21"/>
      <c r="AH173" s="18"/>
      <c r="AI173" s="18"/>
      <c r="AJ173" s="18"/>
      <c r="AK173" s="19" t="s">
        <v>140</v>
      </c>
      <c r="AL173" s="19" t="s">
        <v>75</v>
      </c>
      <c r="AM173" s="19" t="s">
        <v>110</v>
      </c>
      <c r="AN173" s="18"/>
      <c r="AO173" s="18"/>
      <c r="AP173" s="22"/>
      <c r="AQ173" s="18"/>
    </row>
    <row r="174">
      <c r="A174" s="11" t="s">
        <v>937</v>
      </c>
      <c r="B174" s="11" t="s">
        <v>938</v>
      </c>
      <c r="C174" s="11" t="str">
        <f>VLOOKUP(A174,import!A:C,3,0)</f>
        <v>DOĞRU</v>
      </c>
      <c r="D174" s="11" t="s">
        <v>59</v>
      </c>
      <c r="E174" s="11">
        <f>VLOOKUP(A174,import!A:J,5,0)</f>
        <v>1303</v>
      </c>
      <c r="F174" s="11">
        <f>VLOOKUP(A174,import!A:J,6,0)</f>
        <v>9</v>
      </c>
      <c r="G174" s="11">
        <f>VLOOKUP(A174,import!A:J,7,0)</f>
        <v>6</v>
      </c>
      <c r="H174" s="11">
        <f>VLOOKUP(A174,import!A:J,8,0)</f>
        <v>5</v>
      </c>
      <c r="I174" s="11">
        <f>VLOOKUP(A174,import!A:J,9,0)</f>
        <v>11</v>
      </c>
      <c r="J174" s="12">
        <f>VLOOKUP(A174,import!A:J,10,0)</f>
        <v>0.55</v>
      </c>
      <c r="K174" s="11" t="s">
        <v>939</v>
      </c>
      <c r="L174" s="11">
        <v>5.307314246E9</v>
      </c>
      <c r="M174" s="11" t="s">
        <v>61</v>
      </c>
      <c r="N174" s="11" t="s">
        <v>160</v>
      </c>
      <c r="O174" s="11" t="s">
        <v>940</v>
      </c>
      <c r="P174" s="11" t="str">
        <f>VLOOKUP(A174,import!A:P,16,0)</f>
        <v>Geleneksel</v>
      </c>
      <c r="Q174" s="13"/>
      <c r="R174" s="13" t="b">
        <v>1</v>
      </c>
      <c r="S174" s="13" t="b">
        <v>0</v>
      </c>
      <c r="T174" s="14" t="s">
        <v>74</v>
      </c>
      <c r="U174" s="14" t="s">
        <v>140</v>
      </c>
      <c r="V174" s="38" t="s">
        <v>76</v>
      </c>
      <c r="W174" s="14" t="s">
        <v>941</v>
      </c>
      <c r="X174" s="24">
        <v>44638.0</v>
      </c>
      <c r="Y174" s="24">
        <v>44641.0</v>
      </c>
      <c r="Z174" s="18"/>
      <c r="AA174" s="19" t="s">
        <v>54</v>
      </c>
      <c r="AB174" s="20">
        <v>44361.0</v>
      </c>
      <c r="AC174" s="19" t="s">
        <v>53</v>
      </c>
      <c r="AD174" s="20">
        <v>44377.0</v>
      </c>
      <c r="AE174" s="19" t="s">
        <v>54</v>
      </c>
      <c r="AF174" s="20">
        <v>44638.0</v>
      </c>
      <c r="AG174" s="21"/>
      <c r="AH174" s="18"/>
      <c r="AI174" s="18"/>
      <c r="AJ174" s="18"/>
      <c r="AK174" s="19" t="s">
        <v>55</v>
      </c>
      <c r="AL174" s="19" t="s">
        <v>79</v>
      </c>
      <c r="AM174" s="19" t="s">
        <v>140</v>
      </c>
      <c r="AN174" s="18"/>
      <c r="AO174" s="18"/>
      <c r="AP174" s="22" t="s">
        <v>56</v>
      </c>
      <c r="AQ174" s="18"/>
    </row>
    <row r="175">
      <c r="A175" s="11" t="s">
        <v>942</v>
      </c>
      <c r="B175" s="11" t="s">
        <v>943</v>
      </c>
      <c r="C175" s="11" t="str">
        <f>VLOOKUP(A175,import!A:C,3,0)</f>
        <v>DOĞRU</v>
      </c>
      <c r="D175" s="11" t="s">
        <v>944</v>
      </c>
      <c r="E175" s="11">
        <f>VLOOKUP(A175,import!A:J,5,0)</f>
        <v>343</v>
      </c>
      <c r="F175" s="11" t="str">
        <f>VLOOKUP(A175,import!A:J,6,0)</f>
        <v/>
      </c>
      <c r="G175" s="11">
        <f>VLOOKUP(A175,import!A:J,7,0)</f>
        <v>0</v>
      </c>
      <c r="H175" s="11">
        <f>VLOOKUP(A175,import!A:J,8,0)</f>
        <v>31</v>
      </c>
      <c r="I175" s="11">
        <f>VLOOKUP(A175,import!A:J,9,0)</f>
        <v>31</v>
      </c>
      <c r="J175" s="12">
        <f>VLOOKUP(A175,import!A:J,10,0)</f>
        <v>0</v>
      </c>
      <c r="K175" s="11" t="s">
        <v>945</v>
      </c>
      <c r="L175" s="11">
        <v>5.309473345E9</v>
      </c>
      <c r="M175" s="11" t="s">
        <v>61</v>
      </c>
      <c r="N175" s="11" t="s">
        <v>62</v>
      </c>
      <c r="O175" s="11" t="s">
        <v>946</v>
      </c>
      <c r="P175" s="11" t="str">
        <f>VLOOKUP(A175,import!A:P,16,0)</f>
        <v>Geleneksel</v>
      </c>
      <c r="Q175" s="13"/>
      <c r="R175" s="13" t="b">
        <v>1</v>
      </c>
      <c r="S175" s="13" t="b">
        <v>0</v>
      </c>
      <c r="T175" s="14" t="s">
        <v>199</v>
      </c>
      <c r="U175" s="14"/>
      <c r="V175" s="14"/>
      <c r="W175" s="14" t="s">
        <v>947</v>
      </c>
      <c r="X175" s="24"/>
      <c r="Y175" s="24"/>
      <c r="Z175" s="18"/>
      <c r="AA175" s="19" t="s">
        <v>54</v>
      </c>
      <c r="AB175" s="20">
        <v>44579.0</v>
      </c>
      <c r="AC175" s="19"/>
      <c r="AD175" s="20"/>
      <c r="AE175" s="21"/>
      <c r="AF175" s="18"/>
      <c r="AG175" s="21"/>
      <c r="AH175" s="18"/>
      <c r="AI175" s="18"/>
      <c r="AJ175" s="18"/>
      <c r="AK175" s="19" t="s">
        <v>86</v>
      </c>
      <c r="AL175" s="19"/>
      <c r="AM175" s="18"/>
      <c r="AN175" s="18"/>
      <c r="AO175" s="18"/>
      <c r="AP175" s="22" t="s">
        <v>56</v>
      </c>
      <c r="AQ175" s="18"/>
    </row>
    <row r="176">
      <c r="A176" s="11" t="s">
        <v>948</v>
      </c>
      <c r="B176" s="11" t="s">
        <v>949</v>
      </c>
      <c r="C176" s="11" t="str">
        <f>VLOOKUP(A176,import!A:C,3,0)</f>
        <v>DOĞRU</v>
      </c>
      <c r="D176" s="11" t="s">
        <v>406</v>
      </c>
      <c r="E176" s="11">
        <f>VLOOKUP(A176,import!A:J,5,0)</f>
        <v>2</v>
      </c>
      <c r="F176" s="11" t="str">
        <f>VLOOKUP(A176,import!A:J,6,0)</f>
        <v/>
      </c>
      <c r="G176" s="11">
        <f>VLOOKUP(A176,import!A:J,7,0)</f>
        <v>0</v>
      </c>
      <c r="H176" s="11">
        <f>VLOOKUP(A176,import!A:J,8,0)</f>
        <v>14</v>
      </c>
      <c r="I176" s="11">
        <f>VLOOKUP(A176,import!A:J,9,0)</f>
        <v>14</v>
      </c>
      <c r="J176" s="12">
        <f>VLOOKUP(A176,import!A:J,10,0)</f>
        <v>0</v>
      </c>
      <c r="K176" s="11" t="s">
        <v>950</v>
      </c>
      <c r="L176" s="11">
        <v>3.5250323E9</v>
      </c>
      <c r="M176" s="11" t="s">
        <v>61</v>
      </c>
      <c r="N176" s="11" t="s">
        <v>107</v>
      </c>
      <c r="O176" s="11" t="s">
        <v>951</v>
      </c>
      <c r="P176" s="11" t="str">
        <f>VLOOKUP(A176,import!A:P,16,0)</f>
        <v>Geleneksel</v>
      </c>
      <c r="Q176" s="13"/>
      <c r="R176" s="13" t="b">
        <v>1</v>
      </c>
      <c r="S176" s="13" t="b">
        <v>0</v>
      </c>
      <c r="T176" s="14" t="s">
        <v>53</v>
      </c>
      <c r="U176" s="14"/>
      <c r="V176" s="14"/>
      <c r="W176" s="14" t="s">
        <v>267</v>
      </c>
      <c r="X176" s="24"/>
      <c r="Y176" s="24"/>
      <c r="Z176" s="18"/>
      <c r="AA176" s="19" t="s">
        <v>53</v>
      </c>
      <c r="AB176" s="20">
        <v>44608.0</v>
      </c>
      <c r="AC176" s="19"/>
      <c r="AD176" s="20"/>
      <c r="AE176" s="21"/>
      <c r="AF176" s="18"/>
      <c r="AG176" s="21"/>
      <c r="AH176" s="18"/>
      <c r="AI176" s="18"/>
      <c r="AJ176" s="18"/>
      <c r="AK176" s="19" t="s">
        <v>66</v>
      </c>
      <c r="AL176" s="19"/>
      <c r="AM176" s="18"/>
      <c r="AN176" s="18"/>
      <c r="AO176" s="18"/>
      <c r="AP176" s="22"/>
      <c r="AQ176" s="18"/>
    </row>
    <row r="177">
      <c r="A177" s="11" t="s">
        <v>952</v>
      </c>
      <c r="B177" s="11" t="s">
        <v>953</v>
      </c>
      <c r="C177" s="11" t="str">
        <f>VLOOKUP(A177,import!A:C,3,0)</f>
        <v>DOĞRU</v>
      </c>
      <c r="D177" s="11" t="s">
        <v>406</v>
      </c>
      <c r="E177" s="11">
        <f>VLOOKUP(A177,import!A:J,5,0)</f>
        <v>20</v>
      </c>
      <c r="F177" s="11">
        <f>VLOOKUP(A177,import!A:J,6,0)</f>
        <v>6</v>
      </c>
      <c r="G177" s="11">
        <f>VLOOKUP(A177,import!A:J,7,0)</f>
        <v>0</v>
      </c>
      <c r="H177" s="11">
        <f>VLOOKUP(A177,import!A:J,8,0)</f>
        <v>32</v>
      </c>
      <c r="I177" s="11">
        <f>VLOOKUP(A177,import!A:J,9,0)</f>
        <v>32</v>
      </c>
      <c r="J177" s="12">
        <f>VLOOKUP(A177,import!A:J,10,0)</f>
        <v>0</v>
      </c>
      <c r="K177" s="11" t="s">
        <v>954</v>
      </c>
      <c r="L177" s="11">
        <v>3.524380123E9</v>
      </c>
      <c r="M177" s="11" t="s">
        <v>61</v>
      </c>
      <c r="N177" s="11" t="s">
        <v>62</v>
      </c>
      <c r="O177" s="11" t="s">
        <v>955</v>
      </c>
      <c r="P177" s="11" t="str">
        <f>VLOOKUP(A177,import!A:P,16,0)</f>
        <v>Geleneksel</v>
      </c>
      <c r="Q177" s="13"/>
      <c r="R177" s="13" t="b">
        <v>1</v>
      </c>
      <c r="S177" s="13" t="b">
        <v>0</v>
      </c>
      <c r="T177" s="14" t="s">
        <v>133</v>
      </c>
      <c r="U177" s="14"/>
      <c r="V177" s="16"/>
      <c r="W177" s="14" t="s">
        <v>956</v>
      </c>
      <c r="X177" s="24"/>
      <c r="Y177" s="24"/>
      <c r="Z177" s="18"/>
      <c r="AA177" s="19" t="s">
        <v>54</v>
      </c>
      <c r="AB177" s="20">
        <v>44670.0</v>
      </c>
      <c r="AC177" s="19"/>
      <c r="AD177" s="20"/>
      <c r="AE177" s="19"/>
      <c r="AF177" s="20"/>
      <c r="AG177" s="21"/>
      <c r="AH177" s="18"/>
      <c r="AI177" s="18"/>
      <c r="AJ177" s="18"/>
      <c r="AK177" s="19" t="s">
        <v>110</v>
      </c>
      <c r="AL177" s="19"/>
      <c r="AM177" s="19"/>
      <c r="AN177" s="18"/>
      <c r="AO177" s="18"/>
      <c r="AP177" s="22"/>
      <c r="AQ177" s="18"/>
    </row>
    <row r="178">
      <c r="A178" s="11" t="s">
        <v>957</v>
      </c>
      <c r="B178" s="11" t="s">
        <v>958</v>
      </c>
      <c r="C178" s="11" t="str">
        <f>VLOOKUP(A178,import!A:C,3,0)</f>
        <v>DOĞRU</v>
      </c>
      <c r="D178" s="11" t="s">
        <v>100</v>
      </c>
      <c r="E178" s="11">
        <f>VLOOKUP(A178,import!A:J,5,0)</f>
        <v>355</v>
      </c>
      <c r="F178" s="11">
        <f>VLOOKUP(A178,import!A:J,6,0)</f>
        <v>5</v>
      </c>
      <c r="G178" s="11">
        <f>VLOOKUP(A178,import!A:J,7,0)</f>
        <v>0</v>
      </c>
      <c r="H178" s="11">
        <f>VLOOKUP(A178,import!A:J,8,0)</f>
        <v>14</v>
      </c>
      <c r="I178" s="11">
        <f>VLOOKUP(A178,import!A:J,9,0)</f>
        <v>14</v>
      </c>
      <c r="J178" s="12">
        <f>VLOOKUP(A178,import!A:J,10,0)</f>
        <v>0</v>
      </c>
      <c r="K178" s="11" t="s">
        <v>959</v>
      </c>
      <c r="L178" s="11">
        <v>5.318748668E9</v>
      </c>
      <c r="M178" s="11" t="s">
        <v>61</v>
      </c>
      <c r="N178" s="11" t="s">
        <v>62</v>
      </c>
      <c r="O178" s="11" t="s">
        <v>960</v>
      </c>
      <c r="P178" s="11" t="str">
        <f>VLOOKUP(A178,import!A:P,16,0)</f>
        <v>Geleneksel</v>
      </c>
      <c r="Q178" s="13"/>
      <c r="R178" s="13" t="b">
        <v>1</v>
      </c>
      <c r="S178" s="13" t="b">
        <v>1</v>
      </c>
      <c r="T178" s="14"/>
      <c r="U178" s="14"/>
      <c r="V178" s="15"/>
      <c r="W178" s="14" t="s">
        <v>267</v>
      </c>
      <c r="X178" s="17"/>
      <c r="Y178" s="17"/>
      <c r="Z178" s="18"/>
      <c r="AA178" s="19" t="s">
        <v>53</v>
      </c>
      <c r="AB178" s="20">
        <v>44595.0</v>
      </c>
      <c r="AC178" s="19" t="s">
        <v>54</v>
      </c>
      <c r="AD178" s="20">
        <v>44606.0</v>
      </c>
      <c r="AE178" s="21"/>
      <c r="AF178" s="18"/>
      <c r="AG178" s="21"/>
      <c r="AH178" s="18"/>
      <c r="AI178" s="18"/>
      <c r="AJ178" s="18"/>
      <c r="AK178" s="19" t="s">
        <v>127</v>
      </c>
      <c r="AL178" s="19" t="s">
        <v>86</v>
      </c>
      <c r="AM178" s="18"/>
      <c r="AN178" s="18"/>
      <c r="AO178" s="18"/>
      <c r="AP178" s="22" t="s">
        <v>56</v>
      </c>
      <c r="AQ178" s="18"/>
    </row>
    <row r="179">
      <c r="A179" s="11" t="s">
        <v>961</v>
      </c>
      <c r="B179" s="11" t="s">
        <v>962</v>
      </c>
      <c r="C179" s="11" t="str">
        <f>VLOOKUP(A179,import!A:C,3,0)</f>
        <v>DOĞRU</v>
      </c>
      <c r="D179" s="11" t="s">
        <v>406</v>
      </c>
      <c r="E179" s="11">
        <f>VLOOKUP(A179,import!A:J,5,0)</f>
        <v>447</v>
      </c>
      <c r="F179" s="11">
        <f>VLOOKUP(A179,import!A:J,6,0)</f>
        <v>19</v>
      </c>
      <c r="G179" s="11">
        <f>VLOOKUP(A179,import!A:J,7,0)</f>
        <v>7</v>
      </c>
      <c r="H179" s="11">
        <f>VLOOKUP(A179,import!A:J,8,0)</f>
        <v>11</v>
      </c>
      <c r="I179" s="11">
        <f>VLOOKUP(A179,import!A:J,9,0)</f>
        <v>18</v>
      </c>
      <c r="J179" s="12">
        <f>VLOOKUP(A179,import!A:J,10,0)</f>
        <v>0.39</v>
      </c>
      <c r="K179" s="11" t="s">
        <v>963</v>
      </c>
      <c r="L179" s="11">
        <v>3.522204848E9</v>
      </c>
      <c r="M179" s="11" t="s">
        <v>47</v>
      </c>
      <c r="N179" s="11" t="s">
        <v>884</v>
      </c>
      <c r="O179" s="11" t="s">
        <v>964</v>
      </c>
      <c r="P179" s="11" t="str">
        <f>VLOOKUP(A179,import!A:P,16,0)</f>
        <v>Geleneksel</v>
      </c>
      <c r="Q179" s="13"/>
      <c r="R179" s="13" t="b">
        <v>1</v>
      </c>
      <c r="S179" s="13" t="b">
        <v>0</v>
      </c>
      <c r="T179" s="14" t="s">
        <v>74</v>
      </c>
      <c r="U179" s="14" t="s">
        <v>110</v>
      </c>
      <c r="V179" s="23" t="s">
        <v>76</v>
      </c>
      <c r="X179" s="24">
        <v>44586.0</v>
      </c>
      <c r="Y179" s="24">
        <v>44587.0</v>
      </c>
      <c r="Z179" s="18"/>
      <c r="AA179" s="19" t="s">
        <v>54</v>
      </c>
      <c r="AB179" s="20">
        <v>44586.0</v>
      </c>
      <c r="AC179" s="19"/>
      <c r="AD179" s="20"/>
      <c r="AE179" s="21"/>
      <c r="AF179" s="18"/>
      <c r="AG179" s="21"/>
      <c r="AH179" s="18"/>
      <c r="AI179" s="18"/>
      <c r="AJ179" s="18"/>
      <c r="AK179" s="19" t="s">
        <v>110</v>
      </c>
      <c r="AL179" s="19"/>
      <c r="AM179" s="18"/>
      <c r="AN179" s="18"/>
      <c r="AO179" s="18"/>
      <c r="AP179" s="22" t="s">
        <v>56</v>
      </c>
      <c r="AQ179" s="18"/>
    </row>
    <row r="180">
      <c r="A180" s="11" t="s">
        <v>965</v>
      </c>
      <c r="B180" s="11" t="s">
        <v>966</v>
      </c>
      <c r="C180" s="11" t="str">
        <f>VLOOKUP(A180,import!A:C,3,0)</f>
        <v>DOĞRU</v>
      </c>
      <c r="D180" s="11" t="s">
        <v>69</v>
      </c>
      <c r="E180" s="11">
        <f>VLOOKUP(A180,import!A:J,5,0)</f>
        <v>223</v>
      </c>
      <c r="F180" s="11">
        <f>VLOOKUP(A180,import!A:J,6,0)</f>
        <v>77</v>
      </c>
      <c r="G180" s="11">
        <f>VLOOKUP(A180,import!A:J,7,0)</f>
        <v>0</v>
      </c>
      <c r="H180" s="11">
        <f>VLOOKUP(A180,import!A:J,8,0)</f>
        <v>32</v>
      </c>
      <c r="I180" s="11">
        <f>VLOOKUP(A180,import!A:J,9,0)</f>
        <v>32</v>
      </c>
      <c r="J180" s="12">
        <f>VLOOKUP(A180,import!A:J,10,0)</f>
        <v>0</v>
      </c>
      <c r="K180" s="11" t="s">
        <v>967</v>
      </c>
      <c r="L180" s="11">
        <v>3.52503E9</v>
      </c>
      <c r="M180" s="11" t="s">
        <v>47</v>
      </c>
      <c r="N180" s="11" t="s">
        <v>536</v>
      </c>
      <c r="O180" s="11" t="s">
        <v>968</v>
      </c>
      <c r="P180" s="11" t="str">
        <f>VLOOKUP(A180,import!A:P,16,0)</f>
        <v>Geleneksel</v>
      </c>
      <c r="Q180" s="13"/>
      <c r="R180" s="13" t="b">
        <v>1</v>
      </c>
      <c r="S180" s="13" t="b">
        <v>1</v>
      </c>
      <c r="T180" s="14"/>
      <c r="U180" s="14"/>
      <c r="V180" s="14"/>
      <c r="W180" s="14" t="s">
        <v>969</v>
      </c>
      <c r="X180" s="24"/>
      <c r="Y180" s="24"/>
      <c r="Z180" s="18"/>
      <c r="AA180" s="19" t="s">
        <v>54</v>
      </c>
      <c r="AB180" s="20">
        <v>44614.0</v>
      </c>
      <c r="AC180" s="19"/>
      <c r="AD180" s="20"/>
      <c r="AE180" s="19"/>
      <c r="AF180" s="20"/>
      <c r="AG180" s="21"/>
      <c r="AH180" s="18"/>
      <c r="AI180" s="18"/>
      <c r="AJ180" s="18"/>
      <c r="AK180" s="19" t="s">
        <v>110</v>
      </c>
      <c r="AL180" s="19"/>
      <c r="AM180" s="19"/>
      <c r="AN180" s="18"/>
      <c r="AO180" s="18"/>
      <c r="AP180" s="22"/>
      <c r="AQ180" s="18"/>
    </row>
    <row r="181">
      <c r="A181" s="22" t="s">
        <v>970</v>
      </c>
      <c r="B181" s="22" t="s">
        <v>971</v>
      </c>
      <c r="C181" s="11" t="str">
        <f>VLOOKUP(A181,import!A:C,3,0)</f>
        <v>DOĞRU</v>
      </c>
      <c r="D181" s="22" t="s">
        <v>653</v>
      </c>
      <c r="E181" s="11" t="str">
        <f>VLOOKUP(A181,import!A:J,5,0)</f>
        <v/>
      </c>
      <c r="F181" s="11" t="str">
        <f>VLOOKUP(A181,import!A:J,6,0)</f>
        <v/>
      </c>
      <c r="G181" s="11">
        <f>VLOOKUP(A181,import!A:J,7,0)</f>
        <v>0</v>
      </c>
      <c r="H181" s="11">
        <f>VLOOKUP(A181,import!A:J,8,0)</f>
        <v>9</v>
      </c>
      <c r="I181" s="11">
        <f>VLOOKUP(A181,import!A:J,9,0)</f>
        <v>9</v>
      </c>
      <c r="J181" s="12">
        <f>VLOOKUP(A181,import!A:J,10,0)</f>
        <v>0</v>
      </c>
      <c r="K181" s="22" t="s">
        <v>697</v>
      </c>
      <c r="L181" s="22">
        <v>3.525131338E9</v>
      </c>
      <c r="M181" s="22" t="s">
        <v>61</v>
      </c>
      <c r="N181" s="22" t="s">
        <v>107</v>
      </c>
      <c r="O181" s="22" t="s">
        <v>972</v>
      </c>
      <c r="P181" s="11" t="str">
        <f>VLOOKUP(A181,import!A:P,16,0)</f>
        <v>Geleneksel</v>
      </c>
      <c r="Q181" s="13"/>
      <c r="R181" s="13" t="b">
        <v>0</v>
      </c>
      <c r="S181" s="13" t="b">
        <v>0</v>
      </c>
      <c r="T181" s="14"/>
      <c r="U181" s="14"/>
      <c r="V181" s="14"/>
      <c r="W181" s="14" t="s">
        <v>973</v>
      </c>
      <c r="X181" s="24"/>
      <c r="Y181" s="24"/>
      <c r="Z181" s="18"/>
      <c r="AA181" s="19"/>
      <c r="AB181" s="20"/>
      <c r="AC181" s="19"/>
      <c r="AD181" s="20"/>
      <c r="AE181" s="19"/>
      <c r="AF181" s="20"/>
      <c r="AG181" s="21"/>
      <c r="AH181" s="18"/>
      <c r="AI181" s="18"/>
      <c r="AJ181" s="18"/>
      <c r="AK181" s="19"/>
      <c r="AL181" s="19"/>
      <c r="AM181" s="19"/>
      <c r="AN181" s="18"/>
      <c r="AO181" s="18"/>
      <c r="AP181" s="22"/>
      <c r="AQ181" s="18"/>
    </row>
    <row r="182">
      <c r="A182" s="11" t="s">
        <v>974</v>
      </c>
      <c r="B182" s="11" t="s">
        <v>975</v>
      </c>
      <c r="C182" s="11" t="str">
        <f>VLOOKUP(A182,import!A:C,3,0)</f>
        <v>DOĞRU</v>
      </c>
      <c r="D182" s="11" t="s">
        <v>172</v>
      </c>
      <c r="E182" s="11">
        <f>VLOOKUP(A182,import!A:J,5,0)</f>
        <v>892</v>
      </c>
      <c r="F182" s="11" t="str">
        <f>VLOOKUP(A182,import!A:J,6,0)</f>
        <v/>
      </c>
      <c r="G182" s="11">
        <f>VLOOKUP(A182,import!A:J,7,0)</f>
        <v>3</v>
      </c>
      <c r="H182" s="11">
        <f>VLOOKUP(A182,import!A:J,8,0)</f>
        <v>1</v>
      </c>
      <c r="I182" s="11">
        <f>VLOOKUP(A182,import!A:J,9,0)</f>
        <v>4</v>
      </c>
      <c r="J182" s="12">
        <f>VLOOKUP(A182,import!A:J,10,0)</f>
        <v>0.75</v>
      </c>
      <c r="K182" s="11" t="s">
        <v>976</v>
      </c>
      <c r="L182" s="11">
        <v>5.316830438E9</v>
      </c>
      <c r="M182" s="11" t="s">
        <v>47</v>
      </c>
      <c r="N182" s="11" t="s">
        <v>47</v>
      </c>
      <c r="O182" s="11" t="s">
        <v>977</v>
      </c>
      <c r="P182" s="11" t="str">
        <f>VLOOKUP(A182,import!A:P,16,0)</f>
        <v>Geleneksel</v>
      </c>
      <c r="Q182" s="13"/>
      <c r="R182" s="13" t="b">
        <v>1</v>
      </c>
      <c r="S182" s="13" t="b">
        <v>0</v>
      </c>
      <c r="T182" s="14" t="s">
        <v>74</v>
      </c>
      <c r="U182" s="14" t="s">
        <v>110</v>
      </c>
      <c r="V182" s="23" t="s">
        <v>76</v>
      </c>
      <c r="W182" s="14"/>
      <c r="X182" s="24">
        <v>44587.0</v>
      </c>
      <c r="Y182" s="24">
        <v>44588.0</v>
      </c>
      <c r="Z182" s="18"/>
      <c r="AA182" s="19" t="s">
        <v>54</v>
      </c>
      <c r="AB182" s="20">
        <v>44587.0</v>
      </c>
      <c r="AC182" s="19"/>
      <c r="AD182" s="20"/>
      <c r="AE182" s="21"/>
      <c r="AF182" s="18"/>
      <c r="AG182" s="21"/>
      <c r="AH182" s="18"/>
      <c r="AI182" s="18"/>
      <c r="AJ182" s="18"/>
      <c r="AK182" s="19" t="s">
        <v>110</v>
      </c>
      <c r="AL182" s="19"/>
      <c r="AM182" s="18"/>
      <c r="AN182" s="18"/>
      <c r="AO182" s="18"/>
      <c r="AP182" s="22"/>
      <c r="AQ182" s="18"/>
    </row>
    <row r="183">
      <c r="A183" s="11" t="s">
        <v>978</v>
      </c>
      <c r="B183" s="11" t="s">
        <v>979</v>
      </c>
      <c r="C183" s="11" t="str">
        <f>VLOOKUP(A183,import!A:C,3,0)</f>
        <v>DOĞRU</v>
      </c>
      <c r="D183" s="11" t="s">
        <v>172</v>
      </c>
      <c r="E183" s="11">
        <f>VLOOKUP(A183,import!A:J,5,0)</f>
        <v>550</v>
      </c>
      <c r="F183" s="11">
        <f>VLOOKUP(A183,import!A:J,6,0)</f>
        <v>239</v>
      </c>
      <c r="G183" s="11">
        <f>VLOOKUP(A183,import!A:J,7,0)</f>
        <v>0</v>
      </c>
      <c r="H183" s="11">
        <f>VLOOKUP(A183,import!A:J,8,0)</f>
        <v>24</v>
      </c>
      <c r="I183" s="11">
        <f>VLOOKUP(A183,import!A:J,9,0)</f>
        <v>24</v>
      </c>
      <c r="J183" s="12">
        <f>VLOOKUP(A183,import!A:J,10,0)</f>
        <v>0</v>
      </c>
      <c r="K183" s="11" t="s">
        <v>980</v>
      </c>
      <c r="L183" s="11">
        <v>3.522324535E9</v>
      </c>
      <c r="M183" s="11" t="s">
        <v>71</v>
      </c>
      <c r="N183" s="11" t="s">
        <v>102</v>
      </c>
      <c r="O183" s="11" t="s">
        <v>981</v>
      </c>
      <c r="P183" s="11" t="str">
        <f>VLOOKUP(A183,import!A:P,16,0)</f>
        <v>Geleneksel</v>
      </c>
      <c r="Q183" s="13"/>
      <c r="R183" s="13" t="b">
        <v>1</v>
      </c>
      <c r="S183" s="13" t="b">
        <v>0</v>
      </c>
      <c r="T183" s="14" t="s">
        <v>74</v>
      </c>
      <c r="U183" s="14" t="s">
        <v>75</v>
      </c>
      <c r="V183" s="30" t="s">
        <v>76</v>
      </c>
      <c r="W183" s="14" t="s">
        <v>982</v>
      </c>
      <c r="X183" s="24">
        <v>44650.0</v>
      </c>
      <c r="Y183" s="24">
        <v>44652.0</v>
      </c>
      <c r="Z183" s="18"/>
      <c r="AA183" s="19" t="s">
        <v>54</v>
      </c>
      <c r="AB183" s="24">
        <v>44650.0</v>
      </c>
      <c r="AC183" s="19"/>
      <c r="AD183" s="20"/>
      <c r="AE183" s="19"/>
      <c r="AF183" s="20"/>
      <c r="AG183" s="21"/>
      <c r="AH183" s="18"/>
      <c r="AI183" s="18"/>
      <c r="AJ183" s="18"/>
      <c r="AK183" s="19" t="s">
        <v>75</v>
      </c>
      <c r="AL183" s="19"/>
      <c r="AM183" s="19"/>
      <c r="AN183" s="18"/>
      <c r="AO183" s="18"/>
      <c r="AP183" s="22"/>
      <c r="AQ183" s="18"/>
    </row>
    <row r="184">
      <c r="A184" s="11" t="s">
        <v>983</v>
      </c>
      <c r="B184" s="11" t="s">
        <v>984</v>
      </c>
      <c r="C184" s="11" t="str">
        <f>VLOOKUP(A184,import!A:C,3,0)</f>
        <v>DOĞRU</v>
      </c>
      <c r="D184" s="11" t="s">
        <v>172</v>
      </c>
      <c r="E184" s="11">
        <f>VLOOKUP(A184,import!A:J,5,0)</f>
        <v>4179</v>
      </c>
      <c r="F184" s="11">
        <f>VLOOKUP(A184,import!A:J,6,0)</f>
        <v>341</v>
      </c>
      <c r="G184" s="11">
        <f>VLOOKUP(A184,import!A:J,7,0)</f>
        <v>0</v>
      </c>
      <c r="H184" s="11">
        <f>VLOOKUP(A184,import!A:J,8,0)</f>
        <v>24</v>
      </c>
      <c r="I184" s="11">
        <f>VLOOKUP(A184,import!A:J,9,0)</f>
        <v>24</v>
      </c>
      <c r="J184" s="12">
        <f>VLOOKUP(A184,import!A:J,10,0)</f>
        <v>0</v>
      </c>
      <c r="K184" s="11" t="s">
        <v>985</v>
      </c>
      <c r="L184" s="11">
        <v>3.522212206E9</v>
      </c>
      <c r="M184" s="11" t="s">
        <v>71</v>
      </c>
      <c r="N184" s="11" t="s">
        <v>684</v>
      </c>
      <c r="O184" s="11" t="s">
        <v>986</v>
      </c>
      <c r="P184" s="11" t="str">
        <f>VLOOKUP(A184,import!A:P,16,0)</f>
        <v>Geleneksel</v>
      </c>
      <c r="Q184" s="13"/>
      <c r="R184" s="13" t="b">
        <v>1</v>
      </c>
      <c r="S184" s="13" t="b">
        <v>0</v>
      </c>
      <c r="T184" s="14" t="s">
        <v>50</v>
      </c>
      <c r="U184" s="14"/>
      <c r="V184" s="14"/>
      <c r="W184" s="14"/>
      <c r="X184" s="24"/>
      <c r="Y184" s="24"/>
      <c r="Z184" s="18"/>
      <c r="AA184" s="19"/>
      <c r="AB184" s="20"/>
      <c r="AC184" s="19"/>
      <c r="AD184" s="20"/>
      <c r="AE184" s="21"/>
      <c r="AF184" s="18"/>
      <c r="AG184" s="21"/>
      <c r="AH184" s="18"/>
      <c r="AI184" s="18"/>
      <c r="AJ184" s="18"/>
      <c r="AK184" s="19"/>
      <c r="AL184" s="19"/>
      <c r="AM184" s="18"/>
      <c r="AN184" s="18"/>
      <c r="AO184" s="18"/>
      <c r="AP184" s="22"/>
      <c r="AQ184" s="18"/>
    </row>
    <row r="185">
      <c r="A185" s="11" t="s">
        <v>987</v>
      </c>
      <c r="B185" s="11" t="s">
        <v>988</v>
      </c>
      <c r="C185" s="11" t="str">
        <f>VLOOKUP(A185,import!A:C,3,0)</f>
        <v>DOĞRU</v>
      </c>
      <c r="D185" s="11" t="s">
        <v>172</v>
      </c>
      <c r="E185" s="11">
        <f>VLOOKUP(A185,import!A:J,5,0)</f>
        <v>471</v>
      </c>
      <c r="F185" s="11">
        <f>VLOOKUP(A185,import!A:J,6,0)</f>
        <v>192</v>
      </c>
      <c r="G185" s="11">
        <f>VLOOKUP(A185,import!A:J,7,0)</f>
        <v>0</v>
      </c>
      <c r="H185" s="11">
        <f>VLOOKUP(A185,import!A:J,8,0)</f>
        <v>24</v>
      </c>
      <c r="I185" s="11">
        <f>VLOOKUP(A185,import!A:J,9,0)</f>
        <v>24</v>
      </c>
      <c r="J185" s="12">
        <f>VLOOKUP(A185,import!A:J,10,0)</f>
        <v>0</v>
      </c>
      <c r="K185" s="11" t="s">
        <v>980</v>
      </c>
      <c r="L185" s="11">
        <v>3.522333444E9</v>
      </c>
      <c r="M185" s="11" t="s">
        <v>47</v>
      </c>
      <c r="N185" s="11" t="s">
        <v>47</v>
      </c>
      <c r="O185" s="11" t="s">
        <v>989</v>
      </c>
      <c r="P185" s="11" t="str">
        <f>VLOOKUP(A185,import!A:P,16,0)</f>
        <v>Geleneksel</v>
      </c>
      <c r="Q185" s="13"/>
      <c r="R185" s="13" t="b">
        <v>1</v>
      </c>
      <c r="S185" s="13" t="b">
        <v>0</v>
      </c>
      <c r="T185" s="14" t="s">
        <v>74</v>
      </c>
      <c r="U185" s="14" t="s">
        <v>110</v>
      </c>
      <c r="V185" s="30" t="s">
        <v>76</v>
      </c>
      <c r="W185" s="14"/>
      <c r="X185" s="24">
        <v>44648.0</v>
      </c>
      <c r="Y185" s="24">
        <v>44649.0</v>
      </c>
      <c r="Z185" s="18"/>
      <c r="AA185" s="19" t="s">
        <v>54</v>
      </c>
      <c r="AB185" s="20">
        <v>44648.0</v>
      </c>
      <c r="AC185" s="19"/>
      <c r="AD185" s="20"/>
      <c r="AE185" s="19"/>
      <c r="AF185" s="20"/>
      <c r="AG185" s="21"/>
      <c r="AH185" s="18"/>
      <c r="AI185" s="18"/>
      <c r="AJ185" s="18"/>
      <c r="AK185" s="19" t="s">
        <v>110</v>
      </c>
      <c r="AL185" s="19"/>
      <c r="AM185" s="19"/>
      <c r="AN185" s="18"/>
      <c r="AO185" s="18"/>
      <c r="AP185" s="22"/>
      <c r="AQ185" s="18"/>
    </row>
    <row r="186">
      <c r="A186" s="11" t="s">
        <v>990</v>
      </c>
      <c r="B186" s="11" t="s">
        <v>991</v>
      </c>
      <c r="C186" s="11" t="str">
        <f>VLOOKUP(A186,import!A:C,3,0)</f>
        <v>DOĞRU</v>
      </c>
      <c r="D186" s="11" t="s">
        <v>172</v>
      </c>
      <c r="E186" s="11">
        <f>VLOOKUP(A186,import!A:J,5,0)</f>
        <v>3249</v>
      </c>
      <c r="F186" s="11">
        <f>VLOOKUP(A186,import!A:J,6,0)</f>
        <v>336</v>
      </c>
      <c r="G186" s="11">
        <f>VLOOKUP(A186,import!A:J,7,0)</f>
        <v>15</v>
      </c>
      <c r="H186" s="11">
        <f>VLOOKUP(A186,import!A:J,8,0)</f>
        <v>2</v>
      </c>
      <c r="I186" s="11">
        <f>VLOOKUP(A186,import!A:J,9,0)</f>
        <v>17</v>
      </c>
      <c r="J186" s="12">
        <f>VLOOKUP(A186,import!A:J,10,0)</f>
        <v>0.88</v>
      </c>
      <c r="K186" s="11" t="s">
        <v>985</v>
      </c>
      <c r="L186" s="11">
        <v>3.523202103E9</v>
      </c>
      <c r="M186" s="11" t="s">
        <v>47</v>
      </c>
      <c r="N186" s="11" t="s">
        <v>874</v>
      </c>
      <c r="O186" s="11" t="s">
        <v>992</v>
      </c>
      <c r="P186" s="11" t="str">
        <f>VLOOKUP(A186,import!A:P,16,0)</f>
        <v>Geleneksel</v>
      </c>
      <c r="Q186" s="13"/>
      <c r="R186" s="13" t="b">
        <v>1</v>
      </c>
      <c r="S186" s="13" t="b">
        <v>0</v>
      </c>
      <c r="T186" s="14" t="s">
        <v>74</v>
      </c>
      <c r="U186" s="14" t="s">
        <v>80</v>
      </c>
      <c r="V186" s="14"/>
      <c r="W186" s="14" t="s">
        <v>993</v>
      </c>
      <c r="X186" s="24">
        <v>44628.0</v>
      </c>
      <c r="Y186" s="24">
        <v>44629.0</v>
      </c>
      <c r="Z186" s="18"/>
      <c r="AA186" s="19" t="s">
        <v>54</v>
      </c>
      <c r="AB186" s="20">
        <v>44587.0</v>
      </c>
      <c r="AC186" s="19" t="s">
        <v>54</v>
      </c>
      <c r="AD186" s="20">
        <v>44628.0</v>
      </c>
      <c r="AE186" s="21"/>
      <c r="AF186" s="18"/>
      <c r="AG186" s="21"/>
      <c r="AH186" s="18"/>
      <c r="AI186" s="18"/>
      <c r="AJ186" s="18"/>
      <c r="AK186" s="19" t="s">
        <v>86</v>
      </c>
      <c r="AL186" s="19" t="s">
        <v>80</v>
      </c>
      <c r="AM186" s="18"/>
      <c r="AN186" s="18"/>
      <c r="AO186" s="18"/>
      <c r="AP186" s="22"/>
      <c r="AQ186" s="18"/>
    </row>
    <row r="187">
      <c r="A187" s="11" t="s">
        <v>994</v>
      </c>
      <c r="B187" s="11" t="s">
        <v>995</v>
      </c>
      <c r="C187" s="11" t="str">
        <f>VLOOKUP(A187,import!A:C,3,0)</f>
        <v>DOĞRU</v>
      </c>
      <c r="D187" s="11" t="s">
        <v>172</v>
      </c>
      <c r="E187" s="11">
        <f>VLOOKUP(A187,import!A:J,5,0)</f>
        <v>312</v>
      </c>
      <c r="F187" s="11">
        <f>VLOOKUP(A187,import!A:J,6,0)</f>
        <v>150</v>
      </c>
      <c r="G187" s="11">
        <f>VLOOKUP(A187,import!A:J,7,0)</f>
        <v>0</v>
      </c>
      <c r="H187" s="11">
        <f>VLOOKUP(A187,import!A:J,8,0)</f>
        <v>24</v>
      </c>
      <c r="I187" s="11">
        <f>VLOOKUP(A187,import!A:J,9,0)</f>
        <v>24</v>
      </c>
      <c r="J187" s="12">
        <f>VLOOKUP(A187,import!A:J,10,0)</f>
        <v>0</v>
      </c>
      <c r="K187" s="11" t="s">
        <v>980</v>
      </c>
      <c r="L187" s="11">
        <v>3.522224535E9</v>
      </c>
      <c r="M187" s="11" t="s">
        <v>71</v>
      </c>
      <c r="N187" s="11" t="s">
        <v>102</v>
      </c>
      <c r="O187" s="11" t="s">
        <v>996</v>
      </c>
      <c r="P187" s="11" t="str">
        <f>VLOOKUP(A187,import!A:P,16,0)</f>
        <v>Geleneksel</v>
      </c>
      <c r="Q187" s="13"/>
      <c r="R187" s="13" t="b">
        <v>0</v>
      </c>
      <c r="S187" s="13" t="b">
        <v>0</v>
      </c>
      <c r="T187" s="14" t="s">
        <v>145</v>
      </c>
      <c r="U187" s="14"/>
      <c r="V187" s="14"/>
      <c r="W187" s="14" t="s">
        <v>997</v>
      </c>
      <c r="X187" s="24"/>
      <c r="Y187" s="24"/>
      <c r="Z187" s="18"/>
      <c r="AA187" s="19"/>
      <c r="AB187" s="20"/>
      <c r="AC187" s="19"/>
      <c r="AD187" s="20"/>
      <c r="AE187" s="19"/>
      <c r="AF187" s="20"/>
      <c r="AG187" s="21"/>
      <c r="AH187" s="18"/>
      <c r="AI187" s="18"/>
      <c r="AJ187" s="18"/>
      <c r="AK187" s="19"/>
      <c r="AL187" s="19"/>
      <c r="AM187" s="19"/>
      <c r="AN187" s="18"/>
      <c r="AO187" s="18"/>
      <c r="AP187" s="22"/>
      <c r="AQ187" s="18"/>
    </row>
    <row r="188">
      <c r="A188" s="11" t="s">
        <v>998</v>
      </c>
      <c r="B188" s="11" t="s">
        <v>999</v>
      </c>
      <c r="C188" s="11" t="str">
        <f>VLOOKUP(A188,import!A:C,3,0)</f>
        <v>DOĞRU</v>
      </c>
      <c r="D188" s="11" t="s">
        <v>172</v>
      </c>
      <c r="E188" s="11">
        <f>VLOOKUP(A188,import!A:J,5,0)</f>
        <v>4493</v>
      </c>
      <c r="F188" s="11">
        <f>VLOOKUP(A188,import!A:J,6,0)</f>
        <v>397</v>
      </c>
      <c r="G188" s="11">
        <f>VLOOKUP(A188,import!A:J,7,0)</f>
        <v>0</v>
      </c>
      <c r="H188" s="11">
        <f>VLOOKUP(A188,import!A:J,8,0)</f>
        <v>19</v>
      </c>
      <c r="I188" s="11">
        <f>VLOOKUP(A188,import!A:J,9,0)</f>
        <v>19</v>
      </c>
      <c r="J188" s="12">
        <f>VLOOKUP(A188,import!A:J,10,0)</f>
        <v>0</v>
      </c>
      <c r="K188" s="11" t="s">
        <v>985</v>
      </c>
      <c r="L188" s="11">
        <v>3.524376063E9</v>
      </c>
      <c r="M188" s="11" t="s">
        <v>61</v>
      </c>
      <c r="N188" s="11" t="s">
        <v>1000</v>
      </c>
      <c r="O188" s="11" t="s">
        <v>1001</v>
      </c>
      <c r="P188" s="11" t="str">
        <f>VLOOKUP(A188,import!A:P,16,0)</f>
        <v>Geleneksel</v>
      </c>
      <c r="Q188" s="13"/>
      <c r="R188" s="13" t="b">
        <v>0</v>
      </c>
      <c r="S188" s="13" t="b">
        <v>0</v>
      </c>
      <c r="T188" s="14" t="s">
        <v>50</v>
      </c>
      <c r="U188" s="14"/>
      <c r="V188" s="31"/>
      <c r="W188" s="14" t="s">
        <v>1002</v>
      </c>
      <c r="X188" s="24"/>
      <c r="Y188" s="24"/>
      <c r="Z188" s="18"/>
      <c r="AA188" s="19" t="s">
        <v>54</v>
      </c>
      <c r="AB188" s="20">
        <v>44594.0</v>
      </c>
      <c r="AC188" s="19"/>
      <c r="AD188" s="20"/>
      <c r="AE188" s="21"/>
      <c r="AF188" s="18"/>
      <c r="AG188" s="21"/>
      <c r="AH188" s="18"/>
      <c r="AI188" s="18"/>
      <c r="AJ188" s="18"/>
      <c r="AK188" s="19" t="s">
        <v>95</v>
      </c>
      <c r="AL188" s="19"/>
      <c r="AM188" s="18"/>
      <c r="AN188" s="18"/>
      <c r="AO188" s="18"/>
      <c r="AP188" s="22"/>
      <c r="AQ188" s="18"/>
    </row>
    <row r="189">
      <c r="A189" s="11" t="s">
        <v>1003</v>
      </c>
      <c r="B189" s="11" t="s">
        <v>1004</v>
      </c>
      <c r="C189" s="11" t="str">
        <f>VLOOKUP(A189,import!A:C,3,0)</f>
        <v>DOĞRU</v>
      </c>
      <c r="D189" s="11" t="s">
        <v>69</v>
      </c>
      <c r="E189" s="11">
        <f>VLOOKUP(A189,import!A:J,5,0)</f>
        <v>196</v>
      </c>
      <c r="F189" s="11">
        <f>VLOOKUP(A189,import!A:J,6,0)</f>
        <v>8</v>
      </c>
      <c r="G189" s="11">
        <f>VLOOKUP(A189,import!A:J,7,0)</f>
        <v>14</v>
      </c>
      <c r="H189" s="11">
        <f>VLOOKUP(A189,import!A:J,8,0)</f>
        <v>42</v>
      </c>
      <c r="I189" s="11">
        <f>VLOOKUP(A189,import!A:J,9,0)</f>
        <v>56</v>
      </c>
      <c r="J189" s="12">
        <f>VLOOKUP(A189,import!A:J,10,0)</f>
        <v>0.25</v>
      </c>
      <c r="K189" s="11" t="s">
        <v>1005</v>
      </c>
      <c r="L189" s="11">
        <v>5.453498641E9</v>
      </c>
      <c r="M189" s="11" t="s">
        <v>61</v>
      </c>
      <c r="N189" s="11" t="s">
        <v>107</v>
      </c>
      <c r="O189" s="11" t="s">
        <v>1006</v>
      </c>
      <c r="P189" s="11" t="s">
        <v>666</v>
      </c>
      <c r="Q189" s="13"/>
      <c r="R189" s="13" t="b">
        <v>1</v>
      </c>
      <c r="S189" s="13" t="b">
        <v>0</v>
      </c>
      <c r="T189" s="14" t="s">
        <v>74</v>
      </c>
      <c r="U189" s="14" t="s">
        <v>127</v>
      </c>
      <c r="V189" s="23" t="s">
        <v>76</v>
      </c>
      <c r="W189" s="14"/>
      <c r="X189" s="24">
        <v>44594.0</v>
      </c>
      <c r="Y189" s="24">
        <v>44595.0</v>
      </c>
      <c r="Z189" s="18"/>
      <c r="AA189" s="19" t="s">
        <v>54</v>
      </c>
      <c r="AB189" s="20">
        <v>44594.0</v>
      </c>
      <c r="AC189" s="19"/>
      <c r="AD189" s="20"/>
      <c r="AE189" s="21"/>
      <c r="AF189" s="18"/>
      <c r="AG189" s="21"/>
      <c r="AH189" s="18"/>
      <c r="AI189" s="18"/>
      <c r="AJ189" s="18"/>
      <c r="AK189" s="19" t="s">
        <v>127</v>
      </c>
      <c r="AL189" s="19"/>
      <c r="AM189" s="18"/>
      <c r="AN189" s="18"/>
      <c r="AO189" s="18"/>
      <c r="AP189" s="22" t="s">
        <v>56</v>
      </c>
      <c r="AQ189" s="18"/>
    </row>
    <row r="190">
      <c r="A190" s="11" t="s">
        <v>1007</v>
      </c>
      <c r="B190" s="11" t="s">
        <v>1008</v>
      </c>
      <c r="C190" s="11" t="str">
        <f>VLOOKUP(A190,import!A:C,3,0)</f>
        <v>DOĞRU</v>
      </c>
      <c r="D190" s="11" t="s">
        <v>172</v>
      </c>
      <c r="E190" s="11">
        <f>VLOOKUP(A190,import!A:J,5,0)</f>
        <v>1329</v>
      </c>
      <c r="F190" s="11">
        <f>VLOOKUP(A190,import!A:J,6,0)</f>
        <v>109</v>
      </c>
      <c r="G190" s="11">
        <f>VLOOKUP(A190,import!A:J,7,0)</f>
        <v>2</v>
      </c>
      <c r="H190" s="11">
        <f>VLOOKUP(A190,import!A:J,8,0)</f>
        <v>8</v>
      </c>
      <c r="I190" s="11">
        <f>VLOOKUP(A190,import!A:J,9,0)</f>
        <v>10</v>
      </c>
      <c r="J190" s="12">
        <f>VLOOKUP(A190,import!A:J,10,0)</f>
        <v>0.2</v>
      </c>
      <c r="K190" s="11" t="s">
        <v>1009</v>
      </c>
      <c r="L190" s="11">
        <v>3.523383831E9</v>
      </c>
      <c r="M190" s="11" t="s">
        <v>71</v>
      </c>
      <c r="N190" s="11" t="s">
        <v>209</v>
      </c>
      <c r="O190" s="11" t="s">
        <v>1010</v>
      </c>
      <c r="P190" s="11" t="str">
        <f>VLOOKUP(A190,import!A:P,16,0)</f>
        <v>Geleneksel</v>
      </c>
      <c r="Q190" s="13"/>
      <c r="R190" s="13" t="b">
        <v>1</v>
      </c>
      <c r="S190" s="13" t="b">
        <v>0</v>
      </c>
      <c r="T190" s="14" t="s">
        <v>74</v>
      </c>
      <c r="U190" s="14" t="s">
        <v>75</v>
      </c>
      <c r="V190" s="30" t="s">
        <v>76</v>
      </c>
      <c r="W190" s="14" t="s">
        <v>1011</v>
      </c>
      <c r="X190" s="24">
        <v>44642.0</v>
      </c>
      <c r="Y190" s="24">
        <v>44643.0</v>
      </c>
      <c r="Z190" s="18"/>
      <c r="AA190" s="19" t="s">
        <v>78</v>
      </c>
      <c r="AB190" s="20">
        <v>44613.0</v>
      </c>
      <c r="AC190" s="19" t="s">
        <v>54</v>
      </c>
      <c r="AD190" s="24">
        <v>44642.0</v>
      </c>
      <c r="AE190" s="21"/>
      <c r="AF190" s="18"/>
      <c r="AG190" s="21"/>
      <c r="AH190" s="18"/>
      <c r="AI190" s="18"/>
      <c r="AJ190" s="18"/>
      <c r="AK190" s="19" t="s">
        <v>66</v>
      </c>
      <c r="AL190" s="19" t="s">
        <v>75</v>
      </c>
      <c r="AM190" s="18"/>
      <c r="AN190" s="18"/>
      <c r="AO190" s="18"/>
      <c r="AP190" s="22"/>
      <c r="AQ190" s="18"/>
    </row>
    <row r="191">
      <c r="A191" s="11" t="s">
        <v>1012</v>
      </c>
      <c r="B191" s="11" t="s">
        <v>1013</v>
      </c>
      <c r="C191" s="11" t="str">
        <f>VLOOKUP(A191,import!A:C,3,0)</f>
        <v>DOĞRU</v>
      </c>
      <c r="D191" s="11" t="s">
        <v>172</v>
      </c>
      <c r="E191" s="11">
        <f>VLOOKUP(A191,import!A:J,5,0)</f>
        <v>3</v>
      </c>
      <c r="F191" s="11" t="str">
        <f>VLOOKUP(A191,import!A:J,6,0)</f>
        <v/>
      </c>
      <c r="G191" s="11">
        <f>VLOOKUP(A191,import!A:J,7,0)</f>
        <v>0</v>
      </c>
      <c r="H191" s="11">
        <f>VLOOKUP(A191,import!A:J,8,0)</f>
        <v>9</v>
      </c>
      <c r="I191" s="11">
        <f>VLOOKUP(A191,import!A:J,9,0)</f>
        <v>9</v>
      </c>
      <c r="J191" s="12">
        <f>VLOOKUP(A191,import!A:J,10,0)</f>
        <v>0</v>
      </c>
      <c r="K191" s="11" t="s">
        <v>1014</v>
      </c>
      <c r="L191" s="11">
        <v>5.527003806E9</v>
      </c>
      <c r="M191" s="11" t="s">
        <v>47</v>
      </c>
      <c r="N191" s="11" t="s">
        <v>640</v>
      </c>
      <c r="O191" s="11" t="s">
        <v>1015</v>
      </c>
      <c r="P191" s="11" t="str">
        <f>VLOOKUP(A191,import!A:P,16,0)</f>
        <v>Geleneksel</v>
      </c>
      <c r="Q191" s="13"/>
      <c r="R191" s="13" t="b">
        <v>0</v>
      </c>
      <c r="S191" s="13" t="b">
        <v>0</v>
      </c>
      <c r="T191" s="14"/>
      <c r="U191" s="14"/>
      <c r="V191" s="14"/>
      <c r="W191" s="14" t="s">
        <v>1016</v>
      </c>
      <c r="X191" s="24"/>
      <c r="Y191" s="24"/>
      <c r="Z191" s="18"/>
      <c r="AA191" s="19" t="s">
        <v>54</v>
      </c>
      <c r="AB191" s="20">
        <v>44673.0</v>
      </c>
      <c r="AC191" s="19"/>
      <c r="AD191" s="20"/>
      <c r="AE191" s="19"/>
      <c r="AF191" s="20"/>
      <c r="AG191" s="21"/>
      <c r="AH191" s="18"/>
      <c r="AI191" s="18"/>
      <c r="AJ191" s="18"/>
      <c r="AK191" s="19" t="s">
        <v>75</v>
      </c>
      <c r="AL191" s="19"/>
      <c r="AM191" s="19"/>
      <c r="AN191" s="18"/>
      <c r="AO191" s="18"/>
      <c r="AP191" s="22"/>
      <c r="AQ191" s="18"/>
    </row>
    <row r="192">
      <c r="A192" s="11" t="s">
        <v>1017</v>
      </c>
      <c r="B192" s="11" t="s">
        <v>1018</v>
      </c>
      <c r="C192" s="11" t="str">
        <f>VLOOKUP(A192,import!A:C,3,0)</f>
        <v>DOĞRU</v>
      </c>
      <c r="D192" s="11" t="s">
        <v>172</v>
      </c>
      <c r="E192" s="11">
        <f>VLOOKUP(A192,import!A:J,5,0)</f>
        <v>5030</v>
      </c>
      <c r="F192" s="11">
        <f>VLOOKUP(A192,import!A:J,6,0)</f>
        <v>63</v>
      </c>
      <c r="G192" s="11">
        <f>VLOOKUP(A192,import!A:J,7,0)</f>
        <v>0</v>
      </c>
      <c r="H192" s="11">
        <f>VLOOKUP(A192,import!A:J,8,0)</f>
        <v>35</v>
      </c>
      <c r="I192" s="11">
        <f>VLOOKUP(A192,import!A:J,9,0)</f>
        <v>35</v>
      </c>
      <c r="J192" s="12">
        <f>VLOOKUP(A192,import!A:J,10,0)</f>
        <v>0</v>
      </c>
      <c r="K192" s="11" t="s">
        <v>535</v>
      </c>
      <c r="L192" s="11">
        <v>3.5223344E9</v>
      </c>
      <c r="M192" s="11" t="s">
        <v>47</v>
      </c>
      <c r="N192" s="11" t="s">
        <v>536</v>
      </c>
      <c r="O192" s="11" t="s">
        <v>1019</v>
      </c>
      <c r="P192" s="11" t="str">
        <f>VLOOKUP(A192,import!A:P,16,0)</f>
        <v>Geleneksel</v>
      </c>
      <c r="Q192" s="13"/>
      <c r="R192" s="13" t="b">
        <v>1</v>
      </c>
      <c r="S192" s="13" t="b">
        <v>1</v>
      </c>
      <c r="T192" s="14" t="s">
        <v>168</v>
      </c>
      <c r="U192" s="14" t="s">
        <v>79</v>
      </c>
      <c r="V192" s="14" t="s">
        <v>96</v>
      </c>
      <c r="W192" s="14" t="s">
        <v>1020</v>
      </c>
      <c r="X192" s="24">
        <v>44354.0</v>
      </c>
      <c r="Y192" s="24">
        <v>44356.0</v>
      </c>
      <c r="Z192" s="18"/>
      <c r="AA192" s="19" t="s">
        <v>54</v>
      </c>
      <c r="AB192" s="20">
        <v>44354.0</v>
      </c>
      <c r="AC192" s="19" t="s">
        <v>54</v>
      </c>
      <c r="AD192" s="20">
        <v>44602.0</v>
      </c>
      <c r="AE192" s="19" t="s">
        <v>54</v>
      </c>
      <c r="AF192" s="20">
        <v>44631.0</v>
      </c>
      <c r="AG192" s="21"/>
      <c r="AH192" s="18"/>
      <c r="AI192" s="18"/>
      <c r="AJ192" s="18"/>
      <c r="AK192" s="19" t="s">
        <v>79</v>
      </c>
      <c r="AL192" s="19" t="s">
        <v>110</v>
      </c>
      <c r="AM192" s="19" t="s">
        <v>127</v>
      </c>
      <c r="AN192" s="18"/>
      <c r="AO192" s="18"/>
      <c r="AP192" s="22" t="s">
        <v>56</v>
      </c>
      <c r="AQ192" s="18"/>
    </row>
    <row r="193">
      <c r="A193" s="11" t="s">
        <v>1021</v>
      </c>
      <c r="B193" s="11" t="s">
        <v>1022</v>
      </c>
      <c r="C193" s="11" t="str">
        <f>VLOOKUP(A193,import!A:C,3,0)</f>
        <v>DOĞRU</v>
      </c>
      <c r="D193" s="11" t="s">
        <v>172</v>
      </c>
      <c r="E193" s="11">
        <f>VLOOKUP(A193,import!A:J,5,0)</f>
        <v>4</v>
      </c>
      <c r="F193" s="11">
        <f>VLOOKUP(A193,import!A:J,6,0)</f>
        <v>2</v>
      </c>
      <c r="G193" s="11">
        <f>VLOOKUP(A193,import!A:J,7,0)</f>
        <v>0</v>
      </c>
      <c r="H193" s="11">
        <f>VLOOKUP(A193,import!A:J,8,0)</f>
        <v>16</v>
      </c>
      <c r="I193" s="11">
        <f>VLOOKUP(A193,import!A:J,9,0)</f>
        <v>16</v>
      </c>
      <c r="J193" s="12">
        <f>VLOOKUP(A193,import!A:J,10,0)</f>
        <v>0</v>
      </c>
      <c r="K193" s="11" t="s">
        <v>1023</v>
      </c>
      <c r="L193" s="11">
        <v>5.541147572E9</v>
      </c>
      <c r="M193" s="11" t="s">
        <v>47</v>
      </c>
      <c r="N193" s="11" t="s">
        <v>48</v>
      </c>
      <c r="O193" s="11" t="s">
        <v>1024</v>
      </c>
      <c r="P193" s="11" t="str">
        <f>VLOOKUP(A193,import!A:P,16,0)</f>
        <v>Geleneksel</v>
      </c>
      <c r="Q193" s="13"/>
      <c r="R193" s="13" t="b">
        <v>1</v>
      </c>
      <c r="S193" s="13" t="b">
        <v>0</v>
      </c>
      <c r="T193" s="14" t="s">
        <v>168</v>
      </c>
      <c r="U193" s="14"/>
      <c r="V193" s="31"/>
      <c r="W193" s="14" t="s">
        <v>1025</v>
      </c>
      <c r="X193" s="24"/>
      <c r="Y193" s="24"/>
      <c r="Z193" s="18"/>
      <c r="AA193" s="19" t="s">
        <v>54</v>
      </c>
      <c r="AB193" s="20">
        <v>44662.0</v>
      </c>
      <c r="AC193" s="19"/>
      <c r="AD193" s="20"/>
      <c r="AE193" s="19"/>
      <c r="AF193" s="20"/>
      <c r="AG193" s="21"/>
      <c r="AH193" s="18"/>
      <c r="AI193" s="18"/>
      <c r="AJ193" s="18"/>
      <c r="AK193" s="19" t="s">
        <v>110</v>
      </c>
      <c r="AL193" s="19"/>
      <c r="AM193" s="19"/>
      <c r="AN193" s="18"/>
      <c r="AO193" s="18"/>
      <c r="AP193" s="22"/>
      <c r="AQ193" s="18"/>
    </row>
    <row r="194">
      <c r="A194" s="11" t="s">
        <v>1026</v>
      </c>
      <c r="B194" s="11" t="s">
        <v>1027</v>
      </c>
      <c r="C194" s="11" t="str">
        <f>VLOOKUP(A194,import!A:C,3,0)</f>
        <v>DOĞRU</v>
      </c>
      <c r="D194" s="11" t="s">
        <v>59</v>
      </c>
      <c r="E194" s="11">
        <f>VLOOKUP(A194,import!A:J,5,0)</f>
        <v>1304</v>
      </c>
      <c r="F194" s="11" t="str">
        <f>VLOOKUP(A194,import!A:J,6,0)</f>
        <v/>
      </c>
      <c r="G194" s="11">
        <f>VLOOKUP(A194,import!A:J,7,0)</f>
        <v>5</v>
      </c>
      <c r="H194" s="11">
        <f>VLOOKUP(A194,import!A:J,8,0)</f>
        <v>5</v>
      </c>
      <c r="I194" s="11">
        <f>VLOOKUP(A194,import!A:J,9,0)</f>
        <v>10</v>
      </c>
      <c r="J194" s="12">
        <f>VLOOKUP(A194,import!A:J,10,0)</f>
        <v>0.5</v>
      </c>
      <c r="K194" s="11" t="s">
        <v>1028</v>
      </c>
      <c r="L194" s="11">
        <v>3.522227372E9</v>
      </c>
      <c r="M194" s="11" t="s">
        <v>47</v>
      </c>
      <c r="N194" s="11" t="s">
        <v>401</v>
      </c>
      <c r="O194" s="11" t="s">
        <v>1029</v>
      </c>
      <c r="P194" s="11" t="str">
        <f>VLOOKUP(A194,import!A:P,16,0)</f>
        <v>Geleneksel</v>
      </c>
      <c r="Q194" s="13"/>
      <c r="R194" s="13" t="b">
        <v>1</v>
      </c>
      <c r="S194" s="13" t="b">
        <v>0</v>
      </c>
      <c r="T194" s="14" t="s">
        <v>74</v>
      </c>
      <c r="U194" s="14" t="s">
        <v>127</v>
      </c>
      <c r="V194" s="23" t="s">
        <v>76</v>
      </c>
      <c r="W194" s="14" t="s">
        <v>1030</v>
      </c>
      <c r="X194" s="24">
        <v>44596.0</v>
      </c>
      <c r="Y194" s="24">
        <v>44599.0</v>
      </c>
      <c r="Z194" s="18"/>
      <c r="AA194" s="19" t="s">
        <v>54</v>
      </c>
      <c r="AB194" s="20">
        <v>44596.0</v>
      </c>
      <c r="AC194" s="18"/>
      <c r="AD194" s="18"/>
      <c r="AE194" s="21"/>
      <c r="AF194" s="18"/>
      <c r="AG194" s="21"/>
      <c r="AH194" s="18"/>
      <c r="AI194" s="18"/>
      <c r="AJ194" s="18"/>
      <c r="AK194" s="19" t="s">
        <v>127</v>
      </c>
      <c r="AL194" s="18"/>
      <c r="AM194" s="18"/>
      <c r="AN194" s="18"/>
      <c r="AO194" s="18"/>
      <c r="AP194" s="22" t="s">
        <v>56</v>
      </c>
      <c r="AQ194" s="18"/>
    </row>
    <row r="195">
      <c r="A195" s="22" t="s">
        <v>1031</v>
      </c>
      <c r="B195" s="22" t="s">
        <v>1032</v>
      </c>
      <c r="C195" s="11" t="str">
        <f>VLOOKUP(A195,import!A:C,3,0)</f>
        <v>DOĞRU</v>
      </c>
      <c r="D195" s="22" t="s">
        <v>59</v>
      </c>
      <c r="E195" s="11" t="str">
        <f>VLOOKUP(A195,import!A:J,5,0)</f>
        <v/>
      </c>
      <c r="F195" s="11" t="str">
        <f>VLOOKUP(A195,import!A:J,6,0)</f>
        <v/>
      </c>
      <c r="G195" s="11">
        <f>VLOOKUP(A195,import!A:J,7,0)</f>
        <v>0</v>
      </c>
      <c r="H195" s="11">
        <f>VLOOKUP(A195,import!A:J,8,0)</f>
        <v>6</v>
      </c>
      <c r="I195" s="11">
        <f>VLOOKUP(A195,import!A:J,9,0)</f>
        <v>6</v>
      </c>
      <c r="J195" s="12">
        <f>VLOOKUP(A195,import!A:J,10,0)</f>
        <v>0</v>
      </c>
      <c r="K195" s="22" t="s">
        <v>1033</v>
      </c>
      <c r="L195" s="22">
        <v>5.39785803E9</v>
      </c>
      <c r="M195" s="22" t="s">
        <v>47</v>
      </c>
      <c r="N195" s="22" t="s">
        <v>259</v>
      </c>
      <c r="O195" s="22" t="s">
        <v>1034</v>
      </c>
      <c r="P195" s="11" t="str">
        <f>VLOOKUP(A195,import!A:P,16,0)</f>
        <v>Geleneksel</v>
      </c>
      <c r="Q195" s="13"/>
      <c r="R195" s="13" t="b">
        <v>1</v>
      </c>
      <c r="S195" s="13" t="b">
        <v>0</v>
      </c>
      <c r="T195" s="14" t="s">
        <v>133</v>
      </c>
      <c r="U195" s="14"/>
      <c r="V195" s="30"/>
      <c r="W195" s="14" t="s">
        <v>1035</v>
      </c>
      <c r="X195" s="24"/>
      <c r="Y195" s="24"/>
      <c r="Z195" s="18"/>
      <c r="AA195" s="19" t="s">
        <v>54</v>
      </c>
      <c r="AB195" s="20">
        <v>44673.0</v>
      </c>
      <c r="AC195" s="19"/>
      <c r="AD195" s="20"/>
      <c r="AE195" s="19"/>
      <c r="AF195" s="20"/>
      <c r="AG195" s="21"/>
      <c r="AH195" s="18"/>
      <c r="AI195" s="18"/>
      <c r="AJ195" s="18"/>
      <c r="AK195" s="19"/>
      <c r="AL195" s="19"/>
      <c r="AM195" s="19"/>
      <c r="AN195" s="18"/>
      <c r="AO195" s="18"/>
      <c r="AP195" s="22"/>
      <c r="AQ195" s="18"/>
    </row>
    <row r="196">
      <c r="A196" s="11" t="s">
        <v>1036</v>
      </c>
      <c r="B196" s="11" t="s">
        <v>1037</v>
      </c>
      <c r="C196" s="11" t="str">
        <f>VLOOKUP(A196,import!A:C,3,0)</f>
        <v>DOĞRU</v>
      </c>
      <c r="D196" s="11" t="s">
        <v>453</v>
      </c>
      <c r="E196" s="11">
        <f>VLOOKUP(A196,import!A:J,5,0)</f>
        <v>190</v>
      </c>
      <c r="F196" s="11" t="str">
        <f>VLOOKUP(A196,import!A:J,6,0)</f>
        <v/>
      </c>
      <c r="G196" s="11">
        <f>VLOOKUP(A196,import!A:J,7,0)</f>
        <v>0</v>
      </c>
      <c r="H196" s="11">
        <f>VLOOKUP(A196,import!A:J,8,0)</f>
        <v>38</v>
      </c>
      <c r="I196" s="11">
        <f>VLOOKUP(A196,import!A:J,9,0)</f>
        <v>38</v>
      </c>
      <c r="J196" s="12">
        <f>VLOOKUP(A196,import!A:J,10,0)</f>
        <v>0</v>
      </c>
      <c r="K196" s="11" t="s">
        <v>1038</v>
      </c>
      <c r="L196" s="11">
        <v>5.051469496E9</v>
      </c>
      <c r="M196" s="11" t="s">
        <v>61</v>
      </c>
      <c r="N196" s="11" t="s">
        <v>107</v>
      </c>
      <c r="O196" s="11" t="s">
        <v>1039</v>
      </c>
      <c r="P196" s="11" t="str">
        <f>VLOOKUP(A196,import!A:P,16,0)</f>
        <v>Geleneksel</v>
      </c>
      <c r="Q196" s="13"/>
      <c r="R196" s="13" t="b">
        <v>1</v>
      </c>
      <c r="S196" s="13" t="b">
        <v>0</v>
      </c>
      <c r="T196" s="14" t="s">
        <v>150</v>
      </c>
      <c r="U196" s="15"/>
      <c r="V196" s="15"/>
      <c r="W196" s="16" t="s">
        <v>1040</v>
      </c>
      <c r="X196" s="17"/>
      <c r="Y196" s="17"/>
      <c r="Z196" s="18"/>
      <c r="AA196" s="18"/>
      <c r="AB196" s="18"/>
      <c r="AC196" s="18"/>
      <c r="AD196" s="18"/>
      <c r="AE196" s="21"/>
      <c r="AF196" s="18"/>
      <c r="AG196" s="21"/>
      <c r="AH196" s="18"/>
      <c r="AI196" s="18"/>
      <c r="AJ196" s="18"/>
      <c r="AK196" s="18"/>
      <c r="AL196" s="18"/>
      <c r="AM196" s="18"/>
      <c r="AN196" s="18"/>
      <c r="AO196" s="18"/>
      <c r="AP196" s="22" t="s">
        <v>56</v>
      </c>
      <c r="AQ196" s="18"/>
    </row>
    <row r="197">
      <c r="A197" s="11" t="s">
        <v>1041</v>
      </c>
      <c r="B197" s="11" t="s">
        <v>1042</v>
      </c>
      <c r="C197" s="11" t="str">
        <f>VLOOKUP(A197,import!A:C,3,0)</f>
        <v>DOĞRU</v>
      </c>
      <c r="D197" s="11" t="s">
        <v>69</v>
      </c>
      <c r="E197" s="11" t="str">
        <f>VLOOKUP(A197,import!A:J,5,0)</f>
        <v/>
      </c>
      <c r="F197" s="11" t="str">
        <f>VLOOKUP(A197,import!A:J,6,0)</f>
        <v/>
      </c>
      <c r="G197" s="11">
        <f>VLOOKUP(A197,import!A:J,7,0)</f>
        <v>0</v>
      </c>
      <c r="H197" s="11">
        <f>VLOOKUP(A197,import!A:J,8,0)</f>
        <v>29</v>
      </c>
      <c r="I197" s="11">
        <f>VLOOKUP(A197,import!A:J,9,0)</f>
        <v>29</v>
      </c>
      <c r="J197" s="12">
        <f>VLOOKUP(A197,import!A:J,10,0)</f>
        <v>0</v>
      </c>
      <c r="K197" s="11" t="s">
        <v>1043</v>
      </c>
      <c r="L197" s="11">
        <v>5.38511225E9</v>
      </c>
      <c r="M197" s="11" t="s">
        <v>47</v>
      </c>
      <c r="N197" s="11" t="s">
        <v>107</v>
      </c>
      <c r="O197" s="11" t="s">
        <v>1044</v>
      </c>
      <c r="P197" s="11" t="str">
        <f>VLOOKUP(A197,import!A:P,16,0)</f>
        <v>Geleneksel</v>
      </c>
      <c r="Q197" s="13"/>
      <c r="R197" s="13" t="b">
        <v>1</v>
      </c>
      <c r="S197" s="13" t="b">
        <v>0</v>
      </c>
      <c r="T197" s="14" t="s">
        <v>74</v>
      </c>
      <c r="U197" s="14" t="s">
        <v>110</v>
      </c>
      <c r="V197" s="30" t="s">
        <v>76</v>
      </c>
      <c r="W197" s="14"/>
      <c r="X197" s="24">
        <v>44662.0</v>
      </c>
      <c r="Y197" s="24">
        <v>44663.0</v>
      </c>
      <c r="Z197" s="18"/>
      <c r="AA197" s="19" t="s">
        <v>54</v>
      </c>
      <c r="AB197" s="20">
        <v>44662.0</v>
      </c>
      <c r="AC197" s="19"/>
      <c r="AD197" s="20"/>
      <c r="AE197" s="19"/>
      <c r="AF197" s="20"/>
      <c r="AG197" s="21"/>
      <c r="AH197" s="18"/>
      <c r="AI197" s="18"/>
      <c r="AJ197" s="18"/>
      <c r="AK197" s="19" t="s">
        <v>110</v>
      </c>
      <c r="AL197" s="19"/>
      <c r="AM197" s="19"/>
      <c r="AN197" s="18"/>
      <c r="AO197" s="18"/>
      <c r="AP197" s="22"/>
      <c r="AQ197" s="18"/>
    </row>
    <row r="198">
      <c r="A198" s="11" t="s">
        <v>1045</v>
      </c>
      <c r="B198" s="11" t="s">
        <v>1046</v>
      </c>
      <c r="C198" s="11" t="str">
        <f>VLOOKUP(A198,import!A:C,3,0)</f>
        <v>DOĞRU</v>
      </c>
      <c r="D198" s="11" t="s">
        <v>69</v>
      </c>
      <c r="E198" s="11">
        <f>VLOOKUP(A198,import!A:J,5,0)</f>
        <v>54</v>
      </c>
      <c r="F198" s="11">
        <f>VLOOKUP(A198,import!A:J,6,0)</f>
        <v>10</v>
      </c>
      <c r="G198" s="11">
        <f>VLOOKUP(A198,import!A:J,7,0)</f>
        <v>8</v>
      </c>
      <c r="H198" s="11">
        <f>VLOOKUP(A198,import!A:J,8,0)</f>
        <v>0</v>
      </c>
      <c r="I198" s="11">
        <f>VLOOKUP(A198,import!A:J,9,0)</f>
        <v>8</v>
      </c>
      <c r="J198" s="12">
        <f>VLOOKUP(A198,import!A:J,10,0)</f>
        <v>1</v>
      </c>
      <c r="K198" s="11" t="s">
        <v>1047</v>
      </c>
      <c r="L198" s="11">
        <v>5.384353925E9</v>
      </c>
      <c r="M198" s="11" t="s">
        <v>47</v>
      </c>
      <c r="N198" s="11" t="s">
        <v>1048</v>
      </c>
      <c r="O198" s="11" t="s">
        <v>1049</v>
      </c>
      <c r="P198" s="11" t="str">
        <f>VLOOKUP(A198,import!A:P,16,0)</f>
        <v>Geleneksel</v>
      </c>
      <c r="Q198" s="13"/>
      <c r="R198" s="13" t="b">
        <v>1</v>
      </c>
      <c r="S198" s="13" t="b">
        <v>0</v>
      </c>
      <c r="T198" s="14" t="s">
        <v>74</v>
      </c>
      <c r="U198" s="14" t="s">
        <v>127</v>
      </c>
      <c r="V198" s="39" t="s">
        <v>76</v>
      </c>
      <c r="W198" s="14" t="s">
        <v>1050</v>
      </c>
      <c r="X198" s="24">
        <v>44596.0</v>
      </c>
      <c r="Y198" s="24">
        <v>44599.0</v>
      </c>
      <c r="Z198" s="18"/>
      <c r="AA198" s="19" t="s">
        <v>53</v>
      </c>
      <c r="AB198" s="20">
        <v>44587.0</v>
      </c>
      <c r="AC198" s="19" t="s">
        <v>53</v>
      </c>
      <c r="AD198" s="20">
        <v>44596.0</v>
      </c>
      <c r="AE198" s="19" t="s">
        <v>54</v>
      </c>
      <c r="AF198" s="20">
        <v>44596.0</v>
      </c>
      <c r="AG198" s="21"/>
      <c r="AH198" s="18"/>
      <c r="AI198" s="18"/>
      <c r="AJ198" s="18"/>
      <c r="AK198" s="19" t="s">
        <v>86</v>
      </c>
      <c r="AL198" s="19" t="s">
        <v>127</v>
      </c>
      <c r="AM198" s="19" t="s">
        <v>127</v>
      </c>
      <c r="AN198" s="18"/>
      <c r="AO198" s="18"/>
      <c r="AP198" s="22" t="s">
        <v>56</v>
      </c>
      <c r="AQ198" s="18"/>
    </row>
    <row r="199">
      <c r="A199" s="11" t="s">
        <v>1051</v>
      </c>
      <c r="B199" s="11" t="s">
        <v>1052</v>
      </c>
      <c r="C199" s="11" t="str">
        <f>VLOOKUP(A199,import!A:C,3,0)</f>
        <v>DOĞRU</v>
      </c>
      <c r="D199" s="11" t="s">
        <v>172</v>
      </c>
      <c r="E199" s="11">
        <f>VLOOKUP(A199,import!A:J,5,0)</f>
        <v>369</v>
      </c>
      <c r="F199" s="11">
        <f>VLOOKUP(A199,import!A:J,6,0)</f>
        <v>24</v>
      </c>
      <c r="G199" s="11">
        <f>VLOOKUP(A199,import!A:J,7,0)</f>
        <v>18</v>
      </c>
      <c r="H199" s="11">
        <f>VLOOKUP(A199,import!A:J,8,0)</f>
        <v>12</v>
      </c>
      <c r="I199" s="11">
        <f>VLOOKUP(A199,import!A:J,9,0)</f>
        <v>30</v>
      </c>
      <c r="J199" s="12">
        <f>VLOOKUP(A199,import!A:J,10,0)</f>
        <v>0.6</v>
      </c>
      <c r="K199" s="11" t="s">
        <v>1053</v>
      </c>
      <c r="L199" s="11">
        <v>5.538156537E9</v>
      </c>
      <c r="M199" s="11" t="s">
        <v>47</v>
      </c>
      <c r="N199" s="11" t="s">
        <v>1054</v>
      </c>
      <c r="O199" s="11" t="s">
        <v>1055</v>
      </c>
      <c r="P199" s="11" t="str">
        <f>VLOOKUP(A199,import!A:P,16,0)</f>
        <v>Geleneksel</v>
      </c>
      <c r="Q199" s="13"/>
      <c r="R199" s="13" t="b">
        <v>1</v>
      </c>
      <c r="S199" s="13" t="b">
        <v>0</v>
      </c>
      <c r="T199" s="14" t="s">
        <v>50</v>
      </c>
      <c r="U199" s="14"/>
      <c r="V199" s="14"/>
      <c r="W199" s="14"/>
      <c r="X199" s="24"/>
      <c r="Y199" s="24"/>
      <c r="Z199" s="18"/>
      <c r="AA199" s="19"/>
      <c r="AB199" s="20"/>
      <c r="AC199" s="19"/>
      <c r="AD199" s="20"/>
      <c r="AE199" s="21"/>
      <c r="AF199" s="18"/>
      <c r="AG199" s="21"/>
      <c r="AH199" s="18"/>
      <c r="AI199" s="18"/>
      <c r="AJ199" s="18"/>
      <c r="AK199" s="19"/>
      <c r="AL199" s="19"/>
      <c r="AM199" s="18"/>
      <c r="AN199" s="18"/>
      <c r="AO199" s="18"/>
      <c r="AP199" s="22" t="s">
        <v>56</v>
      </c>
      <c r="AQ199" s="18"/>
    </row>
    <row r="200">
      <c r="A200" s="11" t="s">
        <v>1056</v>
      </c>
      <c r="B200" s="11" t="s">
        <v>1057</v>
      </c>
      <c r="C200" s="11" t="str">
        <f>VLOOKUP(A200,import!A:C,3,0)</f>
        <v>DOĞRU</v>
      </c>
      <c r="D200" s="11" t="s">
        <v>172</v>
      </c>
      <c r="E200" s="11">
        <f>VLOOKUP(A200,import!A:J,5,0)</f>
        <v>1380</v>
      </c>
      <c r="F200" s="11">
        <f>VLOOKUP(A200,import!A:J,6,0)</f>
        <v>147</v>
      </c>
      <c r="G200" s="11">
        <f>VLOOKUP(A200,import!A:J,7,0)</f>
        <v>22</v>
      </c>
      <c r="H200" s="11">
        <f>VLOOKUP(A200,import!A:J,8,0)</f>
        <v>9</v>
      </c>
      <c r="I200" s="11">
        <f>VLOOKUP(A200,import!A:J,9,0)</f>
        <v>31</v>
      </c>
      <c r="J200" s="12">
        <f>VLOOKUP(A200,import!A:J,10,0)</f>
        <v>0.71</v>
      </c>
      <c r="K200" s="11" t="s">
        <v>1053</v>
      </c>
      <c r="L200" s="11">
        <v>5.538156538E9</v>
      </c>
      <c r="M200" s="11" t="s">
        <v>61</v>
      </c>
      <c r="N200" s="11" t="s">
        <v>107</v>
      </c>
      <c r="O200" s="11" t="s">
        <v>1058</v>
      </c>
      <c r="P200" s="11" t="str">
        <f>VLOOKUP(A200,import!A:P,16,0)</f>
        <v>Geleneksel</v>
      </c>
      <c r="Q200" s="13"/>
      <c r="R200" s="13" t="b">
        <v>0</v>
      </c>
      <c r="S200" s="13" t="b">
        <v>0</v>
      </c>
      <c r="T200" s="14" t="s">
        <v>50</v>
      </c>
      <c r="U200" s="14"/>
      <c r="V200" s="14"/>
      <c r="W200" s="14"/>
      <c r="X200" s="24"/>
      <c r="Y200" s="24"/>
      <c r="Z200" s="18"/>
      <c r="AA200" s="19"/>
      <c r="AB200" s="20"/>
      <c r="AC200" s="19"/>
      <c r="AD200" s="20"/>
      <c r="AE200" s="21"/>
      <c r="AF200" s="18"/>
      <c r="AG200" s="21"/>
      <c r="AH200" s="18"/>
      <c r="AI200" s="18"/>
      <c r="AJ200" s="18"/>
      <c r="AK200" s="19"/>
      <c r="AL200" s="19"/>
      <c r="AM200" s="18"/>
      <c r="AN200" s="18"/>
      <c r="AO200" s="18"/>
      <c r="AP200" s="22" t="s">
        <v>56</v>
      </c>
      <c r="AQ200" s="18"/>
    </row>
    <row r="201">
      <c r="A201" s="11" t="s">
        <v>1059</v>
      </c>
      <c r="B201" s="11" t="s">
        <v>1060</v>
      </c>
      <c r="C201" s="11" t="str">
        <f>VLOOKUP(A201,import!A:C,3,0)</f>
        <v>DOĞRU</v>
      </c>
      <c r="D201" s="11" t="s">
        <v>406</v>
      </c>
      <c r="E201" s="11">
        <f>VLOOKUP(A201,import!A:J,5,0)</f>
        <v>249</v>
      </c>
      <c r="F201" s="11">
        <f>VLOOKUP(A201,import!A:J,6,0)</f>
        <v>29</v>
      </c>
      <c r="G201" s="11">
        <f>VLOOKUP(A201,import!A:J,7,0)</f>
        <v>16</v>
      </c>
      <c r="H201" s="11">
        <f>VLOOKUP(A201,import!A:J,8,0)</f>
        <v>9</v>
      </c>
      <c r="I201" s="11">
        <f>VLOOKUP(A201,import!A:J,9,0)</f>
        <v>25</v>
      </c>
      <c r="J201" s="12">
        <f>VLOOKUP(A201,import!A:J,10,0)</f>
        <v>0.64</v>
      </c>
      <c r="K201" s="11" t="s">
        <v>1061</v>
      </c>
      <c r="L201" s="11">
        <v>3.52502726E9</v>
      </c>
      <c r="M201" s="11" t="s">
        <v>61</v>
      </c>
      <c r="N201" s="11" t="s">
        <v>250</v>
      </c>
      <c r="O201" s="11" t="s">
        <v>1062</v>
      </c>
      <c r="P201" s="11" t="str">
        <f>VLOOKUP(A201,import!A:P,16,0)</f>
        <v>Geleneksel</v>
      </c>
      <c r="Q201" s="13"/>
      <c r="R201" s="13" t="b">
        <v>1</v>
      </c>
      <c r="S201" s="13" t="b">
        <v>0</v>
      </c>
      <c r="T201" s="14" t="s">
        <v>74</v>
      </c>
      <c r="U201" s="14" t="s">
        <v>75</v>
      </c>
      <c r="V201" s="30" t="s">
        <v>76</v>
      </c>
      <c r="W201" s="14">
        <v>5.432792703E9</v>
      </c>
      <c r="X201" s="24">
        <v>44642.0</v>
      </c>
      <c r="Y201" s="24">
        <v>44615.0</v>
      </c>
      <c r="Z201" s="18"/>
      <c r="AA201" s="19" t="s">
        <v>54</v>
      </c>
      <c r="AB201" s="24">
        <v>44642.0</v>
      </c>
      <c r="AC201" s="19" t="s">
        <v>54</v>
      </c>
      <c r="AD201" s="24">
        <v>44642.0</v>
      </c>
      <c r="AE201" s="21"/>
      <c r="AF201" s="18"/>
      <c r="AG201" s="21"/>
      <c r="AH201" s="18"/>
      <c r="AI201" s="18"/>
      <c r="AJ201" s="18"/>
      <c r="AK201" s="19" t="s">
        <v>75</v>
      </c>
      <c r="AL201" s="19"/>
      <c r="AM201" s="18"/>
      <c r="AN201" s="18"/>
      <c r="AO201" s="18"/>
      <c r="AP201" s="22"/>
      <c r="AQ201" s="18"/>
    </row>
    <row r="202">
      <c r="A202" s="11" t="s">
        <v>1063</v>
      </c>
      <c r="B202" s="11" t="s">
        <v>1064</v>
      </c>
      <c r="C202" s="11" t="str">
        <f>VLOOKUP(A202,import!A:C,3,0)</f>
        <v>YANLIŞ</v>
      </c>
      <c r="D202" s="11" t="s">
        <v>165</v>
      </c>
      <c r="E202" s="11">
        <f>VLOOKUP(A202,import!A:J,5,0)</f>
        <v>2846</v>
      </c>
      <c r="F202" s="11" t="str">
        <f>VLOOKUP(A202,import!A:J,6,0)</f>
        <v/>
      </c>
      <c r="G202" s="11">
        <f>VLOOKUP(A202,import!A:J,7,0)</f>
        <v>0</v>
      </c>
      <c r="H202" s="11">
        <f>VLOOKUP(A202,import!A:J,8,0)</f>
        <v>9</v>
      </c>
      <c r="I202" s="11">
        <f>VLOOKUP(A202,import!A:J,9,0)</f>
        <v>9</v>
      </c>
      <c r="J202" s="12">
        <f>VLOOKUP(A202,import!A:J,10,0)</f>
        <v>0</v>
      </c>
      <c r="K202" s="11" t="s">
        <v>1065</v>
      </c>
      <c r="L202" s="11">
        <v>3.525046085E9</v>
      </c>
      <c r="M202" s="11" t="s">
        <v>61</v>
      </c>
      <c r="N202" s="11" t="s">
        <v>62</v>
      </c>
      <c r="O202" s="11" t="s">
        <v>1066</v>
      </c>
      <c r="P202" s="11" t="str">
        <f>VLOOKUP(A202,import!A:P,16,0)</f>
        <v>Geleneksel</v>
      </c>
      <c r="Q202" s="13"/>
      <c r="R202" s="13" t="b">
        <v>1</v>
      </c>
      <c r="S202" s="13" t="b">
        <v>0</v>
      </c>
      <c r="T202" s="14" t="s">
        <v>53</v>
      </c>
      <c r="U202" s="14" t="s">
        <v>95</v>
      </c>
      <c r="V202" s="14" t="s">
        <v>96</v>
      </c>
      <c r="W202" s="43" t="s">
        <v>1067</v>
      </c>
      <c r="X202" s="24">
        <v>44306.0</v>
      </c>
      <c r="Y202" s="24">
        <v>44307.0</v>
      </c>
      <c r="Z202" s="18"/>
      <c r="AA202" s="19" t="s">
        <v>54</v>
      </c>
      <c r="AB202" s="20">
        <v>44356.0</v>
      </c>
      <c r="AC202" s="19" t="s">
        <v>78</v>
      </c>
      <c r="AD202" s="20">
        <v>44377.0</v>
      </c>
      <c r="AE202" s="21"/>
      <c r="AF202" s="18"/>
      <c r="AG202" s="21"/>
      <c r="AH202" s="18"/>
      <c r="AI202" s="18"/>
      <c r="AJ202" s="18"/>
      <c r="AK202" s="19" t="s">
        <v>55</v>
      </c>
      <c r="AL202" s="19" t="s">
        <v>79</v>
      </c>
      <c r="AM202" s="18"/>
      <c r="AN202" s="18"/>
      <c r="AO202" s="18"/>
      <c r="AP202" s="22" t="s">
        <v>56</v>
      </c>
      <c r="AQ202" s="18"/>
    </row>
    <row r="203">
      <c r="A203" s="22" t="s">
        <v>1068</v>
      </c>
      <c r="B203" s="22" t="s">
        <v>1064</v>
      </c>
      <c r="C203" s="11" t="str">
        <f>VLOOKUP(A203,import!A:C,3,0)</f>
        <v>DOĞRU</v>
      </c>
      <c r="D203" s="22" t="s">
        <v>165</v>
      </c>
      <c r="E203" s="11">
        <f>VLOOKUP(A203,import!A:J,5,0)</f>
        <v>119</v>
      </c>
      <c r="F203" s="11">
        <f>VLOOKUP(A203,import!A:J,6,0)</f>
        <v>76</v>
      </c>
      <c r="G203" s="11">
        <f>VLOOKUP(A203,import!A:J,7,0)</f>
        <v>0</v>
      </c>
      <c r="H203" s="11">
        <f>VLOOKUP(A203,import!A:J,8,0)</f>
        <v>25</v>
      </c>
      <c r="I203" s="11">
        <f>VLOOKUP(A203,import!A:J,9,0)</f>
        <v>25</v>
      </c>
      <c r="J203" s="12">
        <f>VLOOKUP(A203,import!A:J,10,0)</f>
        <v>0</v>
      </c>
      <c r="K203" s="22" t="s">
        <v>1069</v>
      </c>
      <c r="L203" s="22">
        <v>5.309223386E9</v>
      </c>
      <c r="M203" s="22" t="s">
        <v>61</v>
      </c>
      <c r="N203" s="22" t="s">
        <v>62</v>
      </c>
      <c r="O203" s="22" t="s">
        <v>1070</v>
      </c>
      <c r="P203" s="11" t="str">
        <f>VLOOKUP(A203,import!A:P,16,0)</f>
        <v>Geleneksel</v>
      </c>
      <c r="Q203" s="13"/>
      <c r="R203" s="13" t="b">
        <v>1</v>
      </c>
      <c r="S203" s="13" t="b">
        <v>0</v>
      </c>
      <c r="T203" s="14" t="s">
        <v>133</v>
      </c>
      <c r="U203" s="14"/>
      <c r="V203" s="30"/>
      <c r="W203" s="14" t="s">
        <v>1071</v>
      </c>
      <c r="X203" s="24"/>
      <c r="Y203" s="24"/>
      <c r="Z203" s="18"/>
      <c r="AA203" s="19" t="s">
        <v>54</v>
      </c>
      <c r="AB203" s="20">
        <v>44670.0</v>
      </c>
      <c r="AC203" s="19"/>
      <c r="AD203" s="20"/>
      <c r="AE203" s="19"/>
      <c r="AF203" s="20"/>
      <c r="AG203" s="21"/>
      <c r="AH203" s="18"/>
      <c r="AI203" s="18"/>
      <c r="AJ203" s="18"/>
      <c r="AK203" s="19" t="s">
        <v>110</v>
      </c>
      <c r="AL203" s="19"/>
      <c r="AM203" s="19"/>
      <c r="AN203" s="18"/>
      <c r="AO203" s="18"/>
      <c r="AP203" s="22"/>
      <c r="AQ203" s="18"/>
    </row>
    <row r="204">
      <c r="A204" s="22" t="s">
        <v>1072</v>
      </c>
      <c r="B204" s="22" t="s">
        <v>1073</v>
      </c>
      <c r="C204" s="11" t="str">
        <f>VLOOKUP(A204,import!A:C,3,0)</f>
        <v>DOĞRU</v>
      </c>
      <c r="D204" s="22" t="s">
        <v>45</v>
      </c>
      <c r="E204" s="11" t="str">
        <f>VLOOKUP(A204,import!A:J,5,0)</f>
        <v/>
      </c>
      <c r="F204" s="11" t="str">
        <f>VLOOKUP(A204,import!A:J,6,0)</f>
        <v/>
      </c>
      <c r="G204" s="11">
        <f>VLOOKUP(A204,import!A:J,7,0)</f>
        <v>0</v>
      </c>
      <c r="H204" s="11">
        <f>VLOOKUP(A204,import!A:J,8,0)</f>
        <v>5</v>
      </c>
      <c r="I204" s="11">
        <f>VLOOKUP(A204,import!A:J,9,0)</f>
        <v>5</v>
      </c>
      <c r="J204" s="12">
        <f>VLOOKUP(A204,import!A:J,10,0)</f>
        <v>0</v>
      </c>
      <c r="K204" s="22" t="s">
        <v>1074</v>
      </c>
      <c r="L204" s="22">
        <v>5.055315111E9</v>
      </c>
      <c r="M204" s="22" t="s">
        <v>71</v>
      </c>
      <c r="N204" s="22" t="s">
        <v>307</v>
      </c>
      <c r="O204" s="22" t="s">
        <v>1075</v>
      </c>
      <c r="P204" s="11" t="str">
        <f>VLOOKUP(A204,import!A:P,16,0)</f>
        <v>Geleneksel</v>
      </c>
      <c r="Q204" s="13"/>
      <c r="R204" s="13" t="b">
        <v>1</v>
      </c>
      <c r="S204" s="13" t="b">
        <v>0</v>
      </c>
      <c r="T204" s="14" t="s">
        <v>133</v>
      </c>
      <c r="U204" s="14"/>
      <c r="V204" s="14"/>
      <c r="W204" s="14" t="s">
        <v>1076</v>
      </c>
      <c r="X204" s="24"/>
      <c r="Y204" s="24"/>
      <c r="Z204" s="18"/>
      <c r="AA204" s="19" t="s">
        <v>54</v>
      </c>
      <c r="AB204" s="20">
        <v>44676.0</v>
      </c>
      <c r="AC204" s="19"/>
      <c r="AD204" s="20"/>
      <c r="AE204" s="19"/>
      <c r="AF204" s="20"/>
      <c r="AG204" s="21"/>
      <c r="AH204" s="18"/>
      <c r="AI204" s="18"/>
      <c r="AJ204" s="18"/>
      <c r="AK204" s="19" t="s">
        <v>110</v>
      </c>
      <c r="AL204" s="19"/>
      <c r="AM204" s="19"/>
      <c r="AN204" s="18"/>
      <c r="AO204" s="18"/>
      <c r="AP204" s="22"/>
      <c r="AQ204" s="18"/>
    </row>
    <row r="205">
      <c r="A205" s="11" t="s">
        <v>1077</v>
      </c>
      <c r="B205" s="11" t="s">
        <v>1078</v>
      </c>
      <c r="C205" s="11" t="str">
        <f>VLOOKUP(A205,import!A:C,3,0)</f>
        <v>DOĞRU</v>
      </c>
      <c r="D205" s="11" t="s">
        <v>453</v>
      </c>
      <c r="E205" s="11">
        <f>VLOOKUP(A205,import!A:J,5,0)</f>
        <v>47</v>
      </c>
      <c r="F205" s="11">
        <f>VLOOKUP(A205,import!A:J,6,0)</f>
        <v>4</v>
      </c>
      <c r="G205" s="11">
        <f>VLOOKUP(A205,import!A:J,7,0)</f>
        <v>4</v>
      </c>
      <c r="H205" s="11">
        <f>VLOOKUP(A205,import!A:J,8,0)</f>
        <v>5</v>
      </c>
      <c r="I205" s="11">
        <f>VLOOKUP(A205,import!A:J,9,0)</f>
        <v>9</v>
      </c>
      <c r="J205" s="12">
        <f>VLOOKUP(A205,import!A:J,10,0)</f>
        <v>0.44</v>
      </c>
      <c r="K205" s="11" t="s">
        <v>1079</v>
      </c>
      <c r="L205" s="11">
        <v>3.523384906E9</v>
      </c>
      <c r="M205" s="11" t="s">
        <v>71</v>
      </c>
      <c r="N205" s="11" t="s">
        <v>179</v>
      </c>
      <c r="O205" s="11" t="s">
        <v>1080</v>
      </c>
      <c r="P205" s="11" t="str">
        <f>VLOOKUP(A205,import!A:P,16,0)</f>
        <v>Geleneksel</v>
      </c>
      <c r="Q205" s="13"/>
      <c r="R205" s="13" t="b">
        <v>1</v>
      </c>
      <c r="S205" s="13" t="b">
        <v>0</v>
      </c>
      <c r="T205" s="14" t="s">
        <v>74</v>
      </c>
      <c r="U205" s="14" t="s">
        <v>75</v>
      </c>
      <c r="V205" s="35" t="s">
        <v>76</v>
      </c>
      <c r="W205" s="44" t="s">
        <v>1081</v>
      </c>
      <c r="X205" s="24">
        <v>44614.0</v>
      </c>
      <c r="Y205" s="24">
        <v>44614.0</v>
      </c>
      <c r="Z205" s="18"/>
      <c r="AA205" s="19" t="s">
        <v>78</v>
      </c>
      <c r="AB205" s="20">
        <v>44613.0</v>
      </c>
      <c r="AC205" s="19" t="s">
        <v>54</v>
      </c>
      <c r="AD205" s="20">
        <v>44614.0</v>
      </c>
      <c r="AE205" s="19"/>
      <c r="AF205" s="20"/>
      <c r="AG205" s="21"/>
      <c r="AH205" s="18"/>
      <c r="AI205" s="18"/>
      <c r="AJ205" s="18"/>
      <c r="AK205" s="19" t="s">
        <v>66</v>
      </c>
      <c r="AL205" s="19" t="s">
        <v>75</v>
      </c>
      <c r="AM205" s="19"/>
      <c r="AN205" s="18"/>
      <c r="AO205" s="18"/>
      <c r="AP205" s="22"/>
      <c r="AQ205" s="18"/>
    </row>
    <row r="206">
      <c r="A206" s="22" t="s">
        <v>1082</v>
      </c>
      <c r="B206" s="22" t="s">
        <v>1083</v>
      </c>
      <c r="C206" s="11" t="str">
        <f>VLOOKUP(A206,import!A:C,3,0)</f>
        <v>DOĞRU</v>
      </c>
      <c r="D206" s="22" t="s">
        <v>172</v>
      </c>
      <c r="E206" s="11" t="str">
        <f>VLOOKUP(A206,import!A:J,5,0)</f>
        <v/>
      </c>
      <c r="F206" s="11" t="str">
        <f>VLOOKUP(A206,import!A:J,6,0)</f>
        <v/>
      </c>
      <c r="G206" s="11">
        <f>VLOOKUP(A206,import!A:J,7,0)</f>
        <v>0</v>
      </c>
      <c r="H206" s="11">
        <f>VLOOKUP(A206,import!A:J,8,0)</f>
        <v>13</v>
      </c>
      <c r="I206" s="11">
        <f>VLOOKUP(A206,import!A:J,9,0)</f>
        <v>13</v>
      </c>
      <c r="J206" s="12">
        <f>VLOOKUP(A206,import!A:J,10,0)</f>
        <v>0</v>
      </c>
      <c r="K206" s="22" t="s">
        <v>1084</v>
      </c>
      <c r="L206" s="22">
        <v>5.5220685E9</v>
      </c>
      <c r="M206" s="22" t="s">
        <v>47</v>
      </c>
      <c r="N206" s="22" t="s">
        <v>1085</v>
      </c>
      <c r="O206" s="22" t="s">
        <v>1086</v>
      </c>
      <c r="P206" s="11" t="str">
        <f>VLOOKUP(A206,import!A:P,16,0)</f>
        <v>Geleneksel</v>
      </c>
      <c r="Q206" s="13"/>
      <c r="R206" s="13" t="b">
        <v>1</v>
      </c>
      <c r="S206" s="13" t="b">
        <v>0</v>
      </c>
      <c r="T206" s="14"/>
      <c r="U206" s="14"/>
      <c r="V206" s="30"/>
      <c r="W206" s="14" t="s">
        <v>1087</v>
      </c>
      <c r="X206" s="24"/>
      <c r="Y206" s="24"/>
      <c r="Z206" s="18"/>
      <c r="AA206" s="19" t="s">
        <v>54</v>
      </c>
      <c r="AB206" s="20">
        <v>44662.0</v>
      </c>
      <c r="AC206" s="19"/>
      <c r="AD206" s="20"/>
      <c r="AE206" s="19"/>
      <c r="AF206" s="20"/>
      <c r="AG206" s="21"/>
      <c r="AH206" s="18"/>
      <c r="AI206" s="18"/>
      <c r="AJ206" s="18"/>
      <c r="AK206" s="19" t="s">
        <v>110</v>
      </c>
      <c r="AL206" s="19"/>
      <c r="AM206" s="19"/>
      <c r="AN206" s="18"/>
      <c r="AO206" s="18"/>
      <c r="AP206" s="22"/>
      <c r="AQ206" s="18"/>
    </row>
    <row r="207">
      <c r="A207" s="11" t="s">
        <v>1088</v>
      </c>
      <c r="B207" s="11" t="s">
        <v>1089</v>
      </c>
      <c r="C207" s="11" t="str">
        <f>VLOOKUP(A207,import!A:C,3,0)</f>
        <v>DOĞRU</v>
      </c>
      <c r="D207" s="11" t="s">
        <v>165</v>
      </c>
      <c r="E207" s="11">
        <f>VLOOKUP(A207,import!A:J,5,0)</f>
        <v>762</v>
      </c>
      <c r="F207" s="11">
        <f>VLOOKUP(A207,import!A:J,6,0)</f>
        <v>106</v>
      </c>
      <c r="G207" s="11">
        <f>VLOOKUP(A207,import!A:J,7,0)</f>
        <v>0</v>
      </c>
      <c r="H207" s="11">
        <f>VLOOKUP(A207,import!A:J,8,0)</f>
        <v>31</v>
      </c>
      <c r="I207" s="11">
        <f>VLOOKUP(A207,import!A:J,9,0)</f>
        <v>31</v>
      </c>
      <c r="J207" s="12">
        <f>VLOOKUP(A207,import!A:J,10,0)</f>
        <v>0</v>
      </c>
      <c r="K207" s="11" t="s">
        <v>1090</v>
      </c>
      <c r="L207" s="11">
        <v>3.523270505E9</v>
      </c>
      <c r="M207" s="11" t="s">
        <v>47</v>
      </c>
      <c r="N207" s="11" t="s">
        <v>1091</v>
      </c>
      <c r="O207" s="11" t="s">
        <v>1092</v>
      </c>
      <c r="P207" s="11" t="str">
        <f>VLOOKUP(A207,import!A:P,16,0)</f>
        <v>Geleneksel</v>
      </c>
      <c r="Q207" s="13"/>
      <c r="R207" s="13" t="b">
        <v>1</v>
      </c>
      <c r="S207" s="13" t="b">
        <v>0</v>
      </c>
      <c r="T207" s="14" t="s">
        <v>168</v>
      </c>
      <c r="U207" s="14"/>
      <c r="V207" s="14"/>
      <c r="W207" s="14" t="s">
        <v>1093</v>
      </c>
      <c r="X207" s="24"/>
      <c r="Y207" s="24"/>
      <c r="Z207" s="18"/>
      <c r="AA207" s="19" t="s">
        <v>54</v>
      </c>
      <c r="AB207" s="20">
        <v>44586.0</v>
      </c>
      <c r="AC207" s="19"/>
      <c r="AD207" s="20"/>
      <c r="AE207" s="21"/>
      <c r="AF207" s="18"/>
      <c r="AG207" s="21"/>
      <c r="AH207" s="18"/>
      <c r="AI207" s="18"/>
      <c r="AJ207" s="18"/>
      <c r="AK207" s="19" t="s">
        <v>140</v>
      </c>
      <c r="AL207" s="19"/>
      <c r="AM207" s="18"/>
      <c r="AN207" s="18"/>
      <c r="AO207" s="18"/>
      <c r="AP207" s="22"/>
      <c r="AQ207" s="18"/>
    </row>
    <row r="208">
      <c r="A208" s="11" t="s">
        <v>1094</v>
      </c>
      <c r="B208" s="11" t="s">
        <v>1095</v>
      </c>
      <c r="C208" s="11" t="str">
        <f>VLOOKUP(A208,import!A:C,3,0)</f>
        <v>DOĞRU</v>
      </c>
      <c r="D208" s="11" t="s">
        <v>406</v>
      </c>
      <c r="E208" s="11">
        <f>VLOOKUP(A208,import!A:J,5,0)</f>
        <v>788</v>
      </c>
      <c r="F208" s="11">
        <f>VLOOKUP(A208,import!A:J,6,0)</f>
        <v>48</v>
      </c>
      <c r="G208" s="11">
        <f>VLOOKUP(A208,import!A:J,7,0)</f>
        <v>9</v>
      </c>
      <c r="H208" s="11">
        <f>VLOOKUP(A208,import!A:J,8,0)</f>
        <v>17</v>
      </c>
      <c r="I208" s="11">
        <f>VLOOKUP(A208,import!A:J,9,0)</f>
        <v>26</v>
      </c>
      <c r="J208" s="12">
        <f>VLOOKUP(A208,import!A:J,10,0)</f>
        <v>0.35</v>
      </c>
      <c r="K208" s="11" t="s">
        <v>1096</v>
      </c>
      <c r="L208" s="11">
        <v>3.524380818E9</v>
      </c>
      <c r="M208" s="11" t="s">
        <v>61</v>
      </c>
      <c r="N208" s="11" t="s">
        <v>811</v>
      </c>
      <c r="O208" s="11" t="s">
        <v>1097</v>
      </c>
      <c r="P208" s="11" t="str">
        <f>VLOOKUP(A208,import!A:P,16,0)</f>
        <v>Geleneksel</v>
      </c>
      <c r="Q208" s="13"/>
      <c r="R208" s="13" t="b">
        <v>1</v>
      </c>
      <c r="S208" s="13" t="b">
        <v>0</v>
      </c>
      <c r="T208" s="14" t="s">
        <v>74</v>
      </c>
      <c r="U208" s="14" t="s">
        <v>127</v>
      </c>
      <c r="V208" s="30" t="s">
        <v>76</v>
      </c>
      <c r="W208" s="14">
        <v>5.078193939E9</v>
      </c>
      <c r="X208" s="24">
        <v>44595.0</v>
      </c>
      <c r="Y208" s="24">
        <v>44601.0</v>
      </c>
      <c r="Z208" s="18"/>
      <c r="AA208" s="19" t="s">
        <v>54</v>
      </c>
      <c r="AB208" s="20">
        <v>44595.0</v>
      </c>
      <c r="AC208" s="19"/>
      <c r="AD208" s="20"/>
      <c r="AE208" s="21"/>
      <c r="AF208" s="18"/>
      <c r="AG208" s="21"/>
      <c r="AH208" s="18"/>
      <c r="AI208" s="18"/>
      <c r="AJ208" s="18"/>
      <c r="AK208" s="19" t="s">
        <v>127</v>
      </c>
      <c r="AL208" s="19"/>
      <c r="AM208" s="18"/>
      <c r="AN208" s="18"/>
      <c r="AO208" s="18"/>
      <c r="AP208" s="22"/>
      <c r="AQ208" s="18"/>
    </row>
    <row r="209">
      <c r="A209" s="11" t="s">
        <v>1098</v>
      </c>
      <c r="B209" s="11" t="s">
        <v>1099</v>
      </c>
      <c r="C209" s="11" t="str">
        <f>VLOOKUP(A209,import!A:C,3,0)</f>
        <v>DOĞRU</v>
      </c>
      <c r="D209" s="11" t="s">
        <v>165</v>
      </c>
      <c r="E209" s="11">
        <f>VLOOKUP(A209,import!A:J,5,0)</f>
        <v>2655</v>
      </c>
      <c r="F209" s="11">
        <f>VLOOKUP(A209,import!A:J,6,0)</f>
        <v>4</v>
      </c>
      <c r="G209" s="11">
        <f>VLOOKUP(A209,import!A:J,7,0)</f>
        <v>22</v>
      </c>
      <c r="H209" s="11">
        <f>VLOOKUP(A209,import!A:J,8,0)</f>
        <v>7</v>
      </c>
      <c r="I209" s="11">
        <f>VLOOKUP(A209,import!A:J,9,0)</f>
        <v>29</v>
      </c>
      <c r="J209" s="12">
        <f>VLOOKUP(A209,import!A:J,10,0)</f>
        <v>0.76</v>
      </c>
      <c r="K209" s="11" t="s">
        <v>1100</v>
      </c>
      <c r="L209" s="11">
        <v>3.525048E9</v>
      </c>
      <c r="M209" s="11" t="s">
        <v>61</v>
      </c>
      <c r="N209" s="11" t="s">
        <v>62</v>
      </c>
      <c r="O209" s="11" t="s">
        <v>1101</v>
      </c>
      <c r="P209" s="11" t="str">
        <f>VLOOKUP(A209,import!A:P,16,0)</f>
        <v>Geleneksel</v>
      </c>
      <c r="Q209" s="13"/>
      <c r="R209" s="13" t="b">
        <v>1</v>
      </c>
      <c r="S209" s="13" t="b">
        <v>0</v>
      </c>
      <c r="T209" s="25" t="s">
        <v>74</v>
      </c>
      <c r="U209" s="25" t="s">
        <v>95</v>
      </c>
      <c r="V209" s="25" t="s">
        <v>96</v>
      </c>
      <c r="W209" s="14" t="s">
        <v>422</v>
      </c>
      <c r="X209" s="34">
        <v>44306.0</v>
      </c>
      <c r="Y209" s="34">
        <v>44308.0</v>
      </c>
      <c r="Z209" s="18"/>
      <c r="AA209" s="18"/>
      <c r="AB209" s="18"/>
      <c r="AC209" s="18"/>
      <c r="AD209" s="18"/>
      <c r="AE209" s="21"/>
      <c r="AF209" s="18"/>
      <c r="AG209" s="21"/>
      <c r="AH209" s="18"/>
      <c r="AI209" s="18"/>
      <c r="AJ209" s="18"/>
      <c r="AK209" s="18"/>
      <c r="AL209" s="18"/>
      <c r="AM209" s="18"/>
      <c r="AN209" s="18"/>
      <c r="AO209" s="18"/>
      <c r="AP209" s="22" t="s">
        <v>56</v>
      </c>
      <c r="AQ209" s="18"/>
    </row>
    <row r="210">
      <c r="A210" s="11" t="s">
        <v>1102</v>
      </c>
      <c r="B210" s="11" t="s">
        <v>1103</v>
      </c>
      <c r="C210" s="11" t="str">
        <f>VLOOKUP(A210,import!A:C,3,0)</f>
        <v>DOĞRU</v>
      </c>
      <c r="D210" s="11" t="s">
        <v>165</v>
      </c>
      <c r="E210" s="11">
        <f>VLOOKUP(A210,import!A:J,5,0)</f>
        <v>5661</v>
      </c>
      <c r="F210" s="11">
        <f>VLOOKUP(A210,import!A:J,6,0)</f>
        <v>138</v>
      </c>
      <c r="G210" s="11">
        <f>VLOOKUP(A210,import!A:J,7,0)</f>
        <v>0</v>
      </c>
      <c r="H210" s="11">
        <f>VLOOKUP(A210,import!A:J,8,0)</f>
        <v>18</v>
      </c>
      <c r="I210" s="11">
        <f>VLOOKUP(A210,import!A:J,9,0)</f>
        <v>18</v>
      </c>
      <c r="J210" s="12">
        <f>VLOOKUP(A210,import!A:J,10,0)</f>
        <v>0</v>
      </c>
      <c r="K210" s="11" t="s">
        <v>1104</v>
      </c>
      <c r="L210" s="11">
        <v>3.522224726E9</v>
      </c>
      <c r="M210" s="11" t="s">
        <v>71</v>
      </c>
      <c r="N210" s="11" t="s">
        <v>684</v>
      </c>
      <c r="O210" s="11" t="s">
        <v>1105</v>
      </c>
      <c r="P210" s="11" t="str">
        <f>VLOOKUP(A210,import!A:P,16,0)</f>
        <v>Geleneksel</v>
      </c>
      <c r="Q210" s="13"/>
      <c r="R210" s="13" t="b">
        <v>1</v>
      </c>
      <c r="S210" s="13" t="b">
        <v>1</v>
      </c>
      <c r="T210" s="14"/>
      <c r="U210" s="14"/>
      <c r="V210" s="14"/>
      <c r="W210" s="14" t="s">
        <v>969</v>
      </c>
      <c r="X210" s="24"/>
      <c r="Y210" s="24"/>
      <c r="Z210" s="18"/>
      <c r="AA210" s="18"/>
      <c r="AB210" s="18"/>
      <c r="AC210" s="18"/>
      <c r="AD210" s="18"/>
      <c r="AE210" s="21"/>
      <c r="AF210" s="18"/>
      <c r="AG210" s="21"/>
      <c r="AH210" s="18"/>
      <c r="AI210" s="18"/>
      <c r="AJ210" s="18"/>
      <c r="AK210" s="18"/>
      <c r="AL210" s="18"/>
      <c r="AM210" s="18"/>
      <c r="AN210" s="18"/>
      <c r="AO210" s="18"/>
      <c r="AP210" s="22" t="s">
        <v>56</v>
      </c>
      <c r="AQ210" s="18"/>
    </row>
    <row r="211">
      <c r="A211" s="11" t="s">
        <v>1106</v>
      </c>
      <c r="B211" s="11" t="s">
        <v>1107</v>
      </c>
      <c r="C211" s="11" t="str">
        <f>VLOOKUP(A211,import!A:C,3,0)</f>
        <v>DOĞRU</v>
      </c>
      <c r="D211" s="11" t="s">
        <v>855</v>
      </c>
      <c r="E211" s="11">
        <f>VLOOKUP(A211,import!A:J,5,0)</f>
        <v>206</v>
      </c>
      <c r="F211" s="11">
        <f>VLOOKUP(A211,import!A:J,6,0)</f>
        <v>1</v>
      </c>
      <c r="G211" s="11">
        <f>VLOOKUP(A211,import!A:J,7,0)</f>
        <v>0</v>
      </c>
      <c r="H211" s="11">
        <f>VLOOKUP(A211,import!A:J,8,0)</f>
        <v>43</v>
      </c>
      <c r="I211" s="11">
        <f>VLOOKUP(A211,import!A:J,9,0)</f>
        <v>43</v>
      </c>
      <c r="J211" s="12">
        <f>VLOOKUP(A211,import!A:J,10,0)</f>
        <v>0</v>
      </c>
      <c r="K211" s="11" t="s">
        <v>1108</v>
      </c>
      <c r="L211" s="11">
        <v>5.324153716E9</v>
      </c>
      <c r="M211" s="11" t="s">
        <v>47</v>
      </c>
      <c r="N211" s="11" t="s">
        <v>125</v>
      </c>
      <c r="O211" s="11" t="s">
        <v>1109</v>
      </c>
      <c r="P211" s="11" t="str">
        <f>VLOOKUP(A211,import!A:P,16,0)</f>
        <v>Geleneksel</v>
      </c>
      <c r="Q211" s="13"/>
      <c r="R211" s="13" t="b">
        <v>1</v>
      </c>
      <c r="S211" s="13" t="b">
        <v>0</v>
      </c>
      <c r="T211" s="14" t="s">
        <v>133</v>
      </c>
      <c r="U211" s="15"/>
      <c r="V211" s="15"/>
      <c r="W211" s="14" t="s">
        <v>1110</v>
      </c>
      <c r="X211" s="17"/>
      <c r="Y211" s="17"/>
      <c r="Z211" s="18"/>
      <c r="AA211" s="19" t="s">
        <v>54</v>
      </c>
      <c r="AB211" s="20">
        <v>44354.0</v>
      </c>
      <c r="AC211" s="19" t="s">
        <v>53</v>
      </c>
      <c r="AD211" s="20">
        <v>44631.0</v>
      </c>
      <c r="AE211" s="21"/>
      <c r="AF211" s="18"/>
      <c r="AG211" s="21"/>
      <c r="AH211" s="18"/>
      <c r="AI211" s="18"/>
      <c r="AJ211" s="18"/>
      <c r="AK211" s="19" t="s">
        <v>79</v>
      </c>
      <c r="AL211" s="19" t="s">
        <v>86</v>
      </c>
      <c r="AM211" s="18"/>
      <c r="AN211" s="18"/>
      <c r="AO211" s="18"/>
      <c r="AP211" s="22" t="s">
        <v>56</v>
      </c>
      <c r="AQ211" s="18"/>
    </row>
    <row r="212">
      <c r="A212" s="11" t="s">
        <v>1111</v>
      </c>
      <c r="B212" s="11" t="s">
        <v>1112</v>
      </c>
      <c r="C212" s="11" t="str">
        <f>VLOOKUP(A212,import!A:C,3,0)</f>
        <v>DOĞRU</v>
      </c>
      <c r="D212" s="11" t="s">
        <v>406</v>
      </c>
      <c r="E212" s="11">
        <f>VLOOKUP(A212,import!A:J,5,0)</f>
        <v>45</v>
      </c>
      <c r="F212" s="11">
        <f>VLOOKUP(A212,import!A:J,6,0)</f>
        <v>11</v>
      </c>
      <c r="G212" s="11">
        <f>VLOOKUP(A212,import!A:J,7,0)</f>
        <v>7</v>
      </c>
      <c r="H212" s="11">
        <f>VLOOKUP(A212,import!A:J,8,0)</f>
        <v>22</v>
      </c>
      <c r="I212" s="11">
        <f>VLOOKUP(A212,import!A:J,9,0)</f>
        <v>29</v>
      </c>
      <c r="J212" s="12">
        <f>VLOOKUP(A212,import!A:J,10,0)</f>
        <v>0.24</v>
      </c>
      <c r="K212" s="11" t="s">
        <v>295</v>
      </c>
      <c r="L212" s="11">
        <v>5.392215824E9</v>
      </c>
      <c r="M212" s="11" t="s">
        <v>71</v>
      </c>
      <c r="N212" s="11" t="s">
        <v>296</v>
      </c>
      <c r="O212" s="11" t="s">
        <v>297</v>
      </c>
      <c r="P212" s="11" t="str">
        <f>VLOOKUP(A212,import!A:P,16,0)</f>
        <v>Geleneksel</v>
      </c>
      <c r="Q212" s="13"/>
      <c r="R212" s="13" t="b">
        <v>1</v>
      </c>
      <c r="S212" s="13" t="b">
        <v>0</v>
      </c>
      <c r="T212" s="14" t="s">
        <v>74</v>
      </c>
      <c r="U212" s="14" t="s">
        <v>75</v>
      </c>
      <c r="V212" s="30" t="s">
        <v>76</v>
      </c>
      <c r="W212" s="14" t="s">
        <v>298</v>
      </c>
      <c r="X212" s="24">
        <v>44645.0</v>
      </c>
      <c r="Y212" s="24">
        <v>44648.0</v>
      </c>
      <c r="Z212" s="18"/>
      <c r="AA212" s="19" t="s">
        <v>54</v>
      </c>
      <c r="AB212" s="24">
        <v>44645.0</v>
      </c>
      <c r="AC212" s="19"/>
      <c r="AD212" s="20"/>
      <c r="AE212" s="19"/>
      <c r="AF212" s="20"/>
      <c r="AG212" s="21"/>
      <c r="AH212" s="18"/>
      <c r="AI212" s="18"/>
      <c r="AJ212" s="18"/>
      <c r="AK212" s="19" t="s">
        <v>75</v>
      </c>
      <c r="AL212" s="19"/>
      <c r="AM212" s="19"/>
      <c r="AN212" s="18"/>
      <c r="AO212" s="18"/>
      <c r="AP212" s="22"/>
      <c r="AQ212" s="18"/>
    </row>
    <row r="213">
      <c r="A213" s="22" t="s">
        <v>1113</v>
      </c>
      <c r="B213" s="22" t="s">
        <v>1114</v>
      </c>
      <c r="C213" s="11" t="str">
        <f>VLOOKUP(A213,import!A:C,3,0)</f>
        <v>DOĞRU</v>
      </c>
      <c r="D213" s="22" t="s">
        <v>91</v>
      </c>
      <c r="E213" s="11">
        <f>VLOOKUP(A213,import!A:J,5,0)</f>
        <v>2</v>
      </c>
      <c r="F213" s="11">
        <f>VLOOKUP(A213,import!A:J,6,0)</f>
        <v>2</v>
      </c>
      <c r="G213" s="11">
        <f>VLOOKUP(A213,import!A:J,7,0)</f>
        <v>0</v>
      </c>
      <c r="H213" s="11">
        <f>VLOOKUP(A213,import!A:J,8,0)</f>
        <v>25</v>
      </c>
      <c r="I213" s="11">
        <f>VLOOKUP(A213,import!A:J,9,0)</f>
        <v>25</v>
      </c>
      <c r="J213" s="12">
        <f>VLOOKUP(A213,import!A:J,10,0)</f>
        <v>0</v>
      </c>
      <c r="K213" s="22" t="s">
        <v>1115</v>
      </c>
      <c r="L213" s="22">
        <v>3.52338383E9</v>
      </c>
      <c r="M213" s="22" t="s">
        <v>71</v>
      </c>
      <c r="N213" s="22" t="s">
        <v>1116</v>
      </c>
      <c r="O213" s="22" t="s">
        <v>1117</v>
      </c>
      <c r="P213" s="11" t="str">
        <f>VLOOKUP(A213,import!A:P,16,0)</f>
        <v>Geleneksel</v>
      </c>
      <c r="Q213" s="13"/>
      <c r="R213" s="13" t="b">
        <v>1</v>
      </c>
      <c r="S213" s="13" t="b">
        <v>1</v>
      </c>
      <c r="T213" s="14"/>
      <c r="U213" s="14"/>
      <c r="V213" s="14"/>
      <c r="W213" s="14" t="s">
        <v>1118</v>
      </c>
      <c r="X213" s="24"/>
      <c r="Y213" s="24"/>
      <c r="Z213" s="18"/>
      <c r="AA213" s="19" t="s">
        <v>54</v>
      </c>
      <c r="AB213" s="20">
        <v>44676.0</v>
      </c>
      <c r="AC213" s="19"/>
      <c r="AD213" s="20"/>
      <c r="AE213" s="19"/>
      <c r="AF213" s="20"/>
      <c r="AG213" s="21"/>
      <c r="AH213" s="18"/>
      <c r="AI213" s="18"/>
      <c r="AJ213" s="18"/>
      <c r="AK213" s="19" t="s">
        <v>110</v>
      </c>
      <c r="AL213" s="19"/>
      <c r="AM213" s="19"/>
      <c r="AN213" s="18"/>
      <c r="AO213" s="18"/>
      <c r="AP213" s="22"/>
      <c r="AQ213" s="18"/>
    </row>
    <row r="214">
      <c r="A214" s="11" t="s">
        <v>1119</v>
      </c>
      <c r="B214" s="11" t="s">
        <v>1120</v>
      </c>
      <c r="C214" s="11" t="str">
        <f>VLOOKUP(A214,import!A:C,3,0)</f>
        <v>DOĞRU</v>
      </c>
      <c r="D214" s="11" t="s">
        <v>45</v>
      </c>
      <c r="E214" s="11">
        <f>VLOOKUP(A214,import!A:J,5,0)</f>
        <v>15</v>
      </c>
      <c r="F214" s="11">
        <f>VLOOKUP(A214,import!A:J,6,0)</f>
        <v>9</v>
      </c>
      <c r="G214" s="11">
        <f>VLOOKUP(A214,import!A:J,7,0)</f>
        <v>0</v>
      </c>
      <c r="H214" s="11">
        <f>VLOOKUP(A214,import!A:J,8,0)</f>
        <v>28</v>
      </c>
      <c r="I214" s="11">
        <f>VLOOKUP(A214,import!A:J,9,0)</f>
        <v>28</v>
      </c>
      <c r="J214" s="12">
        <f>VLOOKUP(A214,import!A:J,10,0)</f>
        <v>0</v>
      </c>
      <c r="K214" s="11" t="s">
        <v>1121</v>
      </c>
      <c r="L214" s="11">
        <v>5.323970961E9</v>
      </c>
      <c r="M214" s="11" t="s">
        <v>61</v>
      </c>
      <c r="N214" s="11" t="s">
        <v>250</v>
      </c>
      <c r="O214" s="11" t="s">
        <v>1122</v>
      </c>
      <c r="P214" s="11" t="str">
        <f>VLOOKUP(A214,import!A:P,16,0)</f>
        <v>Geleneksel</v>
      </c>
      <c r="Q214" s="13"/>
      <c r="R214" s="13" t="b">
        <v>1</v>
      </c>
      <c r="S214" s="13" t="b">
        <v>0</v>
      </c>
      <c r="T214" s="14" t="s">
        <v>133</v>
      </c>
      <c r="U214" s="14"/>
      <c r="V214" s="14"/>
      <c r="W214" s="14" t="s">
        <v>1123</v>
      </c>
      <c r="X214" s="24"/>
      <c r="Y214" s="24"/>
      <c r="Z214" s="18"/>
      <c r="AA214" s="19" t="s">
        <v>54</v>
      </c>
      <c r="AB214" s="20">
        <v>44638.0</v>
      </c>
      <c r="AC214" s="19"/>
      <c r="AD214" s="20"/>
      <c r="AE214" s="19"/>
      <c r="AF214" s="20"/>
      <c r="AG214" s="21"/>
      <c r="AH214" s="18"/>
      <c r="AI214" s="18"/>
      <c r="AJ214" s="18"/>
      <c r="AK214" s="19" t="s">
        <v>140</v>
      </c>
      <c r="AL214" s="19"/>
      <c r="AM214" s="19"/>
      <c r="AN214" s="18"/>
      <c r="AO214" s="18"/>
      <c r="AP214" s="22"/>
      <c r="AQ214" s="18"/>
    </row>
    <row r="215">
      <c r="A215" s="11" t="s">
        <v>1124</v>
      </c>
      <c r="B215" s="11" t="s">
        <v>1125</v>
      </c>
      <c r="C215" s="11" t="str">
        <f>VLOOKUP(A215,import!A:C,3,0)</f>
        <v>DOĞRU</v>
      </c>
      <c r="D215" s="11" t="s">
        <v>83</v>
      </c>
      <c r="E215" s="11">
        <f>VLOOKUP(A215,import!A:J,5,0)</f>
        <v>4440</v>
      </c>
      <c r="F215" s="11">
        <f>VLOOKUP(A215,import!A:J,6,0)</f>
        <v>88</v>
      </c>
      <c r="G215" s="11">
        <f>VLOOKUP(A215,import!A:J,7,0)</f>
        <v>8</v>
      </c>
      <c r="H215" s="11">
        <f>VLOOKUP(A215,import!A:J,8,0)</f>
        <v>16</v>
      </c>
      <c r="I215" s="11">
        <f>VLOOKUP(A215,import!A:J,9,0)</f>
        <v>24</v>
      </c>
      <c r="J215" s="12">
        <f>VLOOKUP(A215,import!A:J,10,0)</f>
        <v>0.33</v>
      </c>
      <c r="K215" s="11" t="s">
        <v>286</v>
      </c>
      <c r="L215" s="11">
        <v>5.417138734E9</v>
      </c>
      <c r="M215" s="11" t="s">
        <v>61</v>
      </c>
      <c r="N215" s="11" t="s">
        <v>62</v>
      </c>
      <c r="O215" s="11" t="s">
        <v>287</v>
      </c>
      <c r="P215" s="11" t="str">
        <f>VLOOKUP(A215,import!A:P,16,0)</f>
        <v>Geleneksel</v>
      </c>
      <c r="Q215" s="13"/>
      <c r="R215" s="13" t="b">
        <v>1</v>
      </c>
      <c r="S215" s="13" t="b">
        <v>0</v>
      </c>
      <c r="T215" s="14" t="s">
        <v>74</v>
      </c>
      <c r="U215" s="14" t="s">
        <v>66</v>
      </c>
      <c r="V215" s="33" t="s">
        <v>76</v>
      </c>
      <c r="W215" s="14"/>
      <c r="X215" s="24">
        <v>44608.0</v>
      </c>
      <c r="Y215" s="24">
        <v>44609.0</v>
      </c>
      <c r="Z215" s="18"/>
      <c r="AA215" s="19" t="s">
        <v>54</v>
      </c>
      <c r="AB215" s="20">
        <v>44361.0</v>
      </c>
      <c r="AC215" s="19" t="s">
        <v>54</v>
      </c>
      <c r="AD215" s="20">
        <v>44608.0</v>
      </c>
      <c r="AE215" s="21"/>
      <c r="AF215" s="18"/>
      <c r="AG215" s="21"/>
      <c r="AH215" s="18"/>
      <c r="AI215" s="18"/>
      <c r="AJ215" s="18"/>
      <c r="AK215" s="19" t="s">
        <v>88</v>
      </c>
      <c r="AL215" s="19" t="s">
        <v>66</v>
      </c>
      <c r="AM215" s="18"/>
      <c r="AN215" s="18"/>
      <c r="AO215" s="18"/>
      <c r="AP215" s="22" t="s">
        <v>56</v>
      </c>
      <c r="AQ215" s="18"/>
    </row>
    <row r="216">
      <c r="A216" s="11" t="s">
        <v>1126</v>
      </c>
      <c r="B216" s="11" t="s">
        <v>1127</v>
      </c>
      <c r="C216" s="11" t="str">
        <f>VLOOKUP(A216,import!A:C,3,0)</f>
        <v>DOĞRU</v>
      </c>
      <c r="D216" s="11" t="s">
        <v>172</v>
      </c>
      <c r="E216" s="11">
        <f>VLOOKUP(A216,import!A:J,5,0)</f>
        <v>176</v>
      </c>
      <c r="F216" s="11" t="str">
        <f>VLOOKUP(A216,import!A:J,6,0)</f>
        <v/>
      </c>
      <c r="G216" s="11">
        <f>VLOOKUP(A216,import!A:J,7,0)</f>
        <v>9</v>
      </c>
      <c r="H216" s="11">
        <f>VLOOKUP(A216,import!A:J,8,0)</f>
        <v>1</v>
      </c>
      <c r="I216" s="11">
        <f>VLOOKUP(A216,import!A:J,9,0)</f>
        <v>10</v>
      </c>
      <c r="J216" s="12">
        <f>VLOOKUP(A216,import!A:J,10,0)</f>
        <v>0.9</v>
      </c>
      <c r="K216" s="11" t="s">
        <v>1128</v>
      </c>
      <c r="L216" s="11">
        <v>3.522239041E9</v>
      </c>
      <c r="M216" s="11" t="s">
        <v>71</v>
      </c>
      <c r="N216" s="11" t="s">
        <v>265</v>
      </c>
      <c r="O216" s="11" t="s">
        <v>1129</v>
      </c>
      <c r="P216" s="11" t="str">
        <f>VLOOKUP(A216,import!A:P,16,0)</f>
        <v>Geleneksel</v>
      </c>
      <c r="Q216" s="13"/>
      <c r="R216" s="13" t="b">
        <v>1</v>
      </c>
      <c r="S216" s="13" t="b">
        <v>0</v>
      </c>
      <c r="T216" s="14" t="s">
        <v>199</v>
      </c>
      <c r="U216" s="14" t="s">
        <v>75</v>
      </c>
      <c r="V216" s="30" t="s">
        <v>76</v>
      </c>
      <c r="W216" s="14" t="s">
        <v>1130</v>
      </c>
      <c r="X216" s="24">
        <v>44627.0</v>
      </c>
      <c r="Y216" s="24">
        <v>44628.0</v>
      </c>
      <c r="Z216" s="18"/>
      <c r="AA216" s="19" t="s">
        <v>54</v>
      </c>
      <c r="AB216" s="20">
        <v>44349.0</v>
      </c>
      <c r="AC216" s="19" t="s">
        <v>54</v>
      </c>
      <c r="AD216" s="24">
        <v>44627.0</v>
      </c>
      <c r="AE216" s="21"/>
      <c r="AF216" s="18"/>
      <c r="AG216" s="21"/>
      <c r="AH216" s="18"/>
      <c r="AI216" s="18"/>
      <c r="AJ216" s="18"/>
      <c r="AK216" s="19" t="s">
        <v>79</v>
      </c>
      <c r="AL216" s="19" t="s">
        <v>75</v>
      </c>
      <c r="AM216" s="18"/>
      <c r="AN216" s="18"/>
      <c r="AO216" s="18"/>
      <c r="AP216" s="22" t="s">
        <v>56</v>
      </c>
      <c r="AQ216" s="18"/>
    </row>
    <row r="217">
      <c r="A217" s="11" t="s">
        <v>1131</v>
      </c>
      <c r="B217" s="11" t="s">
        <v>1132</v>
      </c>
      <c r="C217" s="11" t="str">
        <f>VLOOKUP(A217,import!A:C,3,0)</f>
        <v>DOĞRU</v>
      </c>
      <c r="D217" s="11" t="s">
        <v>172</v>
      </c>
      <c r="E217" s="11">
        <f>VLOOKUP(A217,import!A:J,5,0)</f>
        <v>1391</v>
      </c>
      <c r="F217" s="11">
        <f>VLOOKUP(A217,import!A:J,6,0)</f>
        <v>11</v>
      </c>
      <c r="G217" s="11">
        <f>VLOOKUP(A217,import!A:J,7,0)</f>
        <v>16</v>
      </c>
      <c r="H217" s="11">
        <f>VLOOKUP(A217,import!A:J,8,0)</f>
        <v>1</v>
      </c>
      <c r="I217" s="11">
        <f>VLOOKUP(A217,import!A:J,9,0)</f>
        <v>17</v>
      </c>
      <c r="J217" s="12">
        <f>VLOOKUP(A217,import!A:J,10,0)</f>
        <v>0.94</v>
      </c>
      <c r="K217" s="11" t="s">
        <v>1133</v>
      </c>
      <c r="L217" s="11">
        <v>3.523441915E9</v>
      </c>
      <c r="M217" s="11" t="s">
        <v>71</v>
      </c>
      <c r="N217" s="11" t="s">
        <v>209</v>
      </c>
      <c r="O217" s="11" t="s">
        <v>1134</v>
      </c>
      <c r="P217" s="11" t="str">
        <f>VLOOKUP(A217,import!A:P,16,0)</f>
        <v>Geleneksel</v>
      </c>
      <c r="Q217" s="13"/>
      <c r="R217" s="13" t="b">
        <v>1</v>
      </c>
      <c r="S217" s="13" t="b">
        <v>0</v>
      </c>
      <c r="T217" s="14" t="s">
        <v>74</v>
      </c>
      <c r="U217" s="14" t="s">
        <v>75</v>
      </c>
      <c r="V217" s="30" t="s">
        <v>76</v>
      </c>
      <c r="W217" s="14">
        <v>5.426981842E9</v>
      </c>
      <c r="X217" s="24">
        <v>44627.0</v>
      </c>
      <c r="Y217" s="24">
        <v>44628.0</v>
      </c>
      <c r="Z217" s="18"/>
      <c r="AA217" s="19" t="s">
        <v>54</v>
      </c>
      <c r="AB217" s="24">
        <v>44627.0</v>
      </c>
      <c r="AC217" s="18"/>
      <c r="AD217" s="18"/>
      <c r="AE217" s="21"/>
      <c r="AF217" s="18"/>
      <c r="AG217" s="21"/>
      <c r="AH217" s="18"/>
      <c r="AI217" s="18"/>
      <c r="AJ217" s="18"/>
      <c r="AK217" s="19" t="s">
        <v>75</v>
      </c>
      <c r="AL217" s="18"/>
      <c r="AM217" s="18"/>
      <c r="AN217" s="18"/>
      <c r="AO217" s="18"/>
      <c r="AP217" s="22" t="s">
        <v>56</v>
      </c>
      <c r="AQ217" s="18"/>
    </row>
    <row r="218">
      <c r="A218" s="22" t="s">
        <v>1135</v>
      </c>
      <c r="B218" s="22" t="s">
        <v>1136</v>
      </c>
      <c r="C218" s="11" t="str">
        <f>VLOOKUP(A218,import!A:C,3,0)</f>
        <v>DOĞRU</v>
      </c>
      <c r="D218" s="22" t="s">
        <v>69</v>
      </c>
      <c r="E218" s="11" t="str">
        <f>VLOOKUP(A218,import!A:J,5,0)</f>
        <v/>
      </c>
      <c r="F218" s="11" t="str">
        <f>VLOOKUP(A218,import!A:J,6,0)</f>
        <v/>
      </c>
      <c r="G218" s="11">
        <f>VLOOKUP(A218,import!A:J,7,0)</f>
        <v>0</v>
      </c>
      <c r="H218" s="11">
        <f>VLOOKUP(A218,import!A:J,8,0)</f>
        <v>33</v>
      </c>
      <c r="I218" s="11">
        <f>VLOOKUP(A218,import!A:J,9,0)</f>
        <v>33</v>
      </c>
      <c r="J218" s="12">
        <f>VLOOKUP(A218,import!A:J,10,0)</f>
        <v>0</v>
      </c>
      <c r="K218" s="22" t="s">
        <v>1137</v>
      </c>
      <c r="L218" s="22">
        <v>3.522254246E9</v>
      </c>
      <c r="M218" s="22" t="s">
        <v>47</v>
      </c>
      <c r="N218" s="22" t="s">
        <v>1138</v>
      </c>
      <c r="O218" s="22" t="s">
        <v>1139</v>
      </c>
      <c r="P218" s="11" t="str">
        <f>VLOOKUP(A218,import!A:P,16,0)</f>
        <v>Geleneksel</v>
      </c>
      <c r="Q218" s="13"/>
      <c r="R218" s="13" t="b">
        <v>1</v>
      </c>
      <c r="S218" s="13" t="b">
        <v>0</v>
      </c>
      <c r="T218" s="14"/>
      <c r="U218" s="14"/>
      <c r="V218" s="31"/>
      <c r="W218" s="14" t="s">
        <v>1140</v>
      </c>
      <c r="X218" s="24"/>
      <c r="Y218" s="24"/>
      <c r="Z218" s="18"/>
      <c r="AA218" s="19" t="s">
        <v>347</v>
      </c>
      <c r="AB218" s="20">
        <v>44673.0</v>
      </c>
      <c r="AC218" s="19"/>
      <c r="AD218" s="20"/>
      <c r="AE218" s="19"/>
      <c r="AF218" s="20"/>
      <c r="AG218" s="21"/>
      <c r="AH218" s="18"/>
      <c r="AI218" s="18"/>
      <c r="AJ218" s="18"/>
      <c r="AK218" s="19" t="s">
        <v>110</v>
      </c>
      <c r="AL218" s="19"/>
      <c r="AM218" s="19"/>
      <c r="AN218" s="18"/>
      <c r="AO218" s="18"/>
      <c r="AP218" s="22"/>
      <c r="AQ218" s="18"/>
    </row>
    <row r="219">
      <c r="A219" s="11" t="s">
        <v>1141</v>
      </c>
      <c r="B219" s="11" t="s">
        <v>1142</v>
      </c>
      <c r="C219" s="11" t="str">
        <f>VLOOKUP(A219,import!A:C,3,0)</f>
        <v>DOĞRU</v>
      </c>
      <c r="D219" s="11" t="s">
        <v>69</v>
      </c>
      <c r="E219" s="11">
        <f>VLOOKUP(A219,import!A:J,5,0)</f>
        <v>24</v>
      </c>
      <c r="F219" s="11">
        <f>VLOOKUP(A219,import!A:J,6,0)</f>
        <v>12</v>
      </c>
      <c r="G219" s="11">
        <f>VLOOKUP(A219,import!A:J,7,0)</f>
        <v>37</v>
      </c>
      <c r="H219" s="11">
        <f>VLOOKUP(A219,import!A:J,8,0)</f>
        <v>14</v>
      </c>
      <c r="I219" s="11">
        <f>VLOOKUP(A219,import!A:J,9,0)</f>
        <v>51</v>
      </c>
      <c r="J219" s="12">
        <f>VLOOKUP(A219,import!A:J,10,0)</f>
        <v>0.73</v>
      </c>
      <c r="K219" s="11" t="s">
        <v>1143</v>
      </c>
      <c r="L219" s="11">
        <v>5.51007477E9</v>
      </c>
      <c r="M219" s="11" t="s">
        <v>61</v>
      </c>
      <c r="N219" s="11" t="s">
        <v>62</v>
      </c>
      <c r="O219" s="11" t="s">
        <v>1144</v>
      </c>
      <c r="P219" s="11" t="str">
        <f>VLOOKUP(A219,import!A:P,16,0)</f>
        <v>Geleneksel</v>
      </c>
      <c r="Q219" s="13"/>
      <c r="R219" s="13" t="b">
        <v>1</v>
      </c>
      <c r="S219" s="13" t="b">
        <v>0</v>
      </c>
      <c r="T219" s="14" t="s">
        <v>74</v>
      </c>
      <c r="U219" s="14"/>
      <c r="V219" s="14"/>
      <c r="W219" s="14"/>
      <c r="X219" s="24"/>
      <c r="Y219" s="24">
        <v>44616.0</v>
      </c>
      <c r="Z219" s="18"/>
      <c r="AA219" s="19"/>
      <c r="AB219" s="20"/>
      <c r="AC219" s="19"/>
      <c r="AD219" s="20"/>
      <c r="AE219" s="19"/>
      <c r="AF219" s="20"/>
      <c r="AG219" s="21"/>
      <c r="AH219" s="18"/>
      <c r="AI219" s="18"/>
      <c r="AJ219" s="18"/>
      <c r="AK219" s="19"/>
      <c r="AL219" s="19"/>
      <c r="AM219" s="19"/>
      <c r="AN219" s="18"/>
      <c r="AO219" s="18"/>
      <c r="AP219" s="22"/>
      <c r="AQ219" s="18"/>
    </row>
    <row r="220">
      <c r="A220" s="22" t="s">
        <v>1145</v>
      </c>
      <c r="B220" s="22" t="s">
        <v>1146</v>
      </c>
      <c r="C220" s="11" t="str">
        <f>VLOOKUP(A220,import!A:C,3,0)</f>
        <v>DOĞRU</v>
      </c>
      <c r="D220" s="22" t="s">
        <v>172</v>
      </c>
      <c r="E220" s="11" t="str">
        <f>VLOOKUP(A220,import!A:J,5,0)</f>
        <v/>
      </c>
      <c r="F220" s="11" t="str">
        <f>VLOOKUP(A220,import!A:J,6,0)</f>
        <v/>
      </c>
      <c r="G220" s="11">
        <f>VLOOKUP(A220,import!A:J,7,0)</f>
        <v>0</v>
      </c>
      <c r="H220" s="11">
        <f>VLOOKUP(A220,import!A:J,8,0)</f>
        <v>10</v>
      </c>
      <c r="I220" s="11">
        <f>VLOOKUP(A220,import!A:J,9,0)</f>
        <v>10</v>
      </c>
      <c r="J220" s="12">
        <f>VLOOKUP(A220,import!A:J,10,0)</f>
        <v>0</v>
      </c>
      <c r="K220" s="22" t="s">
        <v>1147</v>
      </c>
      <c r="L220" s="22">
        <v>3.525036722E9</v>
      </c>
      <c r="M220" s="22" t="s">
        <v>71</v>
      </c>
      <c r="N220" s="22" t="s">
        <v>1148</v>
      </c>
      <c r="O220" s="22" t="s">
        <v>1149</v>
      </c>
      <c r="P220" s="11" t="str">
        <f>VLOOKUP(A220,import!A:P,16,0)</f>
        <v>Geleneksel</v>
      </c>
      <c r="Q220" s="13"/>
      <c r="R220" s="13" t="b">
        <v>1</v>
      </c>
      <c r="S220" s="13" t="b">
        <v>0</v>
      </c>
      <c r="T220" s="14" t="s">
        <v>133</v>
      </c>
      <c r="U220" s="14"/>
      <c r="V220" s="31"/>
      <c r="W220" s="14" t="s">
        <v>1150</v>
      </c>
      <c r="X220" s="24"/>
      <c r="Y220" s="24"/>
      <c r="Z220" s="18"/>
      <c r="AA220" s="19" t="s">
        <v>78</v>
      </c>
      <c r="AB220" s="20">
        <v>44676.0</v>
      </c>
      <c r="AC220" s="19"/>
      <c r="AD220" s="20"/>
      <c r="AE220" s="19"/>
      <c r="AF220" s="20"/>
      <c r="AG220" s="21"/>
      <c r="AH220" s="18"/>
      <c r="AI220" s="18"/>
      <c r="AJ220" s="18"/>
      <c r="AK220" s="19" t="s">
        <v>110</v>
      </c>
      <c r="AL220" s="19"/>
      <c r="AM220" s="19"/>
      <c r="AN220" s="18"/>
      <c r="AO220" s="18"/>
      <c r="AP220" s="22"/>
      <c r="AQ220" s="18"/>
    </row>
    <row r="221">
      <c r="A221" s="11" t="s">
        <v>1151</v>
      </c>
      <c r="B221" s="11" t="s">
        <v>1152</v>
      </c>
      <c r="C221" s="11" t="str">
        <f>VLOOKUP(A221,import!A:C,3,0)</f>
        <v>DOĞRU</v>
      </c>
      <c r="D221" s="11" t="s">
        <v>406</v>
      </c>
      <c r="E221" s="11">
        <f>VLOOKUP(A221,import!A:J,5,0)</f>
        <v>708</v>
      </c>
      <c r="F221" s="11">
        <f>VLOOKUP(A221,import!A:J,6,0)</f>
        <v>19</v>
      </c>
      <c r="G221" s="11">
        <f>VLOOKUP(A221,import!A:J,7,0)</f>
        <v>0</v>
      </c>
      <c r="H221" s="11">
        <f>VLOOKUP(A221,import!A:J,8,0)</f>
        <v>13</v>
      </c>
      <c r="I221" s="11">
        <f>VLOOKUP(A221,import!A:J,9,0)</f>
        <v>13</v>
      </c>
      <c r="J221" s="12">
        <f>VLOOKUP(A221,import!A:J,10,0)</f>
        <v>0</v>
      </c>
      <c r="K221" s="11" t="s">
        <v>1153</v>
      </c>
      <c r="L221" s="11">
        <v>5.528850938E9</v>
      </c>
      <c r="M221" s="11" t="s">
        <v>47</v>
      </c>
      <c r="N221" s="11" t="s">
        <v>525</v>
      </c>
      <c r="O221" s="11" t="s">
        <v>1154</v>
      </c>
      <c r="P221" s="11" t="str">
        <f>VLOOKUP(A221,import!A:P,16,0)</f>
        <v>Geleneksel</v>
      </c>
      <c r="Q221" s="13"/>
      <c r="R221" s="13" t="b">
        <v>1</v>
      </c>
      <c r="S221" s="13" t="b">
        <v>1</v>
      </c>
      <c r="T221" s="15"/>
      <c r="U221" s="15"/>
      <c r="V221" s="37"/>
      <c r="W221" s="14" t="s">
        <v>818</v>
      </c>
      <c r="X221" s="17"/>
      <c r="Y221" s="17"/>
      <c r="Z221" s="18"/>
      <c r="AA221" s="18"/>
      <c r="AB221" s="18"/>
      <c r="AC221" s="18"/>
      <c r="AD221" s="18"/>
      <c r="AE221" s="21"/>
      <c r="AF221" s="18"/>
      <c r="AG221" s="21"/>
      <c r="AH221" s="18"/>
      <c r="AI221" s="18"/>
      <c r="AJ221" s="18"/>
      <c r="AK221" s="18"/>
      <c r="AL221" s="18"/>
      <c r="AM221" s="18"/>
      <c r="AN221" s="18"/>
      <c r="AO221" s="18"/>
      <c r="AP221" s="22" t="s">
        <v>56</v>
      </c>
      <c r="AQ221" s="18"/>
    </row>
    <row r="222">
      <c r="A222" s="11" t="s">
        <v>1155</v>
      </c>
      <c r="B222" s="11" t="s">
        <v>1156</v>
      </c>
      <c r="C222" s="11" t="str">
        <f>VLOOKUP(A222,import!A:C,3,0)</f>
        <v>DOĞRU</v>
      </c>
      <c r="D222" s="11" t="s">
        <v>406</v>
      </c>
      <c r="E222" s="11">
        <f>VLOOKUP(A222,import!A:J,5,0)</f>
        <v>1484</v>
      </c>
      <c r="F222" s="11" t="str">
        <f>VLOOKUP(A222,import!A:J,6,0)</f>
        <v/>
      </c>
      <c r="G222" s="11">
        <f>VLOOKUP(A222,import!A:J,7,0)</f>
        <v>0</v>
      </c>
      <c r="H222" s="11">
        <f>VLOOKUP(A222,import!A:J,8,0)</f>
        <v>15</v>
      </c>
      <c r="I222" s="11">
        <f>VLOOKUP(A222,import!A:J,9,0)</f>
        <v>15</v>
      </c>
      <c r="J222" s="12">
        <f>VLOOKUP(A222,import!A:J,10,0)</f>
        <v>0</v>
      </c>
      <c r="K222" s="11" t="s">
        <v>1157</v>
      </c>
      <c r="L222" s="11">
        <v>3.5224813E9</v>
      </c>
      <c r="M222" s="11" t="s">
        <v>47</v>
      </c>
      <c r="N222" s="11" t="s">
        <v>1158</v>
      </c>
      <c r="O222" s="11" t="s">
        <v>1159</v>
      </c>
      <c r="P222" s="11" t="str">
        <f>VLOOKUP(A222,import!A:P,16,0)</f>
        <v>Geleneksel</v>
      </c>
      <c r="Q222" s="13"/>
      <c r="R222" s="13" t="b">
        <v>1</v>
      </c>
      <c r="S222" s="13" t="b">
        <v>0</v>
      </c>
      <c r="T222" s="14"/>
      <c r="U222" s="14"/>
      <c r="V222" s="31"/>
      <c r="W222" s="14" t="s">
        <v>1160</v>
      </c>
      <c r="X222" s="24"/>
      <c r="Y222" s="24"/>
      <c r="Z222" s="18"/>
      <c r="AA222" s="19" t="s">
        <v>54</v>
      </c>
      <c r="AB222" s="20">
        <v>44365.0</v>
      </c>
      <c r="AC222" s="19" t="s">
        <v>54</v>
      </c>
      <c r="AD222" s="20">
        <v>44586.0</v>
      </c>
      <c r="AE222" s="19" t="s">
        <v>53</v>
      </c>
      <c r="AF222" s="20">
        <v>44631.0</v>
      </c>
      <c r="AG222" s="21"/>
      <c r="AH222" s="18"/>
      <c r="AI222" s="18"/>
      <c r="AJ222" s="18"/>
      <c r="AK222" s="19" t="s">
        <v>55</v>
      </c>
      <c r="AL222" s="19" t="s">
        <v>110</v>
      </c>
      <c r="AM222" s="19" t="s">
        <v>127</v>
      </c>
      <c r="AN222" s="18"/>
      <c r="AO222" s="18"/>
      <c r="AP222" s="22" t="s">
        <v>56</v>
      </c>
      <c r="AQ222" s="18"/>
    </row>
    <row r="223">
      <c r="A223" s="11" t="s">
        <v>1161</v>
      </c>
      <c r="B223" s="11" t="s">
        <v>1162</v>
      </c>
      <c r="C223" s="11" t="str">
        <f>VLOOKUP(A223,import!A:C,3,0)</f>
        <v>DOĞRU</v>
      </c>
      <c r="D223" s="11" t="s">
        <v>368</v>
      </c>
      <c r="E223" s="11">
        <f>VLOOKUP(A223,import!A:J,5,0)</f>
        <v>190</v>
      </c>
      <c r="F223" s="11" t="str">
        <f>VLOOKUP(A223,import!A:J,6,0)</f>
        <v/>
      </c>
      <c r="G223" s="11">
        <f>VLOOKUP(A223,import!A:J,7,0)</f>
        <v>0</v>
      </c>
      <c r="H223" s="11">
        <f>VLOOKUP(A223,import!A:J,8,0)</f>
        <v>37</v>
      </c>
      <c r="I223" s="11">
        <f>VLOOKUP(A223,import!A:J,9,0)</f>
        <v>37</v>
      </c>
      <c r="J223" s="12">
        <f>VLOOKUP(A223,import!A:J,10,0)</f>
        <v>0</v>
      </c>
      <c r="K223" s="11" t="s">
        <v>1163</v>
      </c>
      <c r="L223" s="11">
        <v>5.525001308E9</v>
      </c>
      <c r="M223" s="11" t="s">
        <v>71</v>
      </c>
      <c r="N223" s="11" t="s">
        <v>291</v>
      </c>
      <c r="O223" s="11" t="s">
        <v>1164</v>
      </c>
      <c r="P223" s="11" t="str">
        <f>VLOOKUP(A223,import!A:P,16,0)</f>
        <v>Geleneksel</v>
      </c>
      <c r="Q223" s="13"/>
      <c r="R223" s="13" t="b">
        <v>1</v>
      </c>
      <c r="S223" s="13" t="b">
        <v>0</v>
      </c>
      <c r="T223" s="14" t="s">
        <v>53</v>
      </c>
      <c r="U223" s="14"/>
      <c r="V223" s="31"/>
      <c r="W223" s="16" t="s">
        <v>461</v>
      </c>
      <c r="X223" s="24"/>
      <c r="Y223" s="24"/>
      <c r="Z223" s="18"/>
      <c r="AA223" s="19"/>
      <c r="AB223" s="20"/>
      <c r="AC223" s="19"/>
      <c r="AD223" s="20"/>
      <c r="AE223" s="21"/>
      <c r="AF223" s="18"/>
      <c r="AG223" s="21"/>
      <c r="AH223" s="18"/>
      <c r="AI223" s="18"/>
      <c r="AJ223" s="18"/>
      <c r="AK223" s="19"/>
      <c r="AL223" s="19"/>
      <c r="AM223" s="18"/>
      <c r="AN223" s="18"/>
      <c r="AO223" s="18"/>
      <c r="AP223" s="22" t="s">
        <v>56</v>
      </c>
      <c r="AQ223" s="18"/>
    </row>
    <row r="224">
      <c r="A224" s="11" t="s">
        <v>1165</v>
      </c>
      <c r="B224" s="11" t="s">
        <v>1166</v>
      </c>
      <c r="C224" s="11" t="str">
        <f>VLOOKUP(A224,import!A:C,3,0)</f>
        <v>YANLIŞ</v>
      </c>
      <c r="D224" s="11" t="s">
        <v>100</v>
      </c>
      <c r="E224" s="11">
        <f>VLOOKUP(A224,import!A:J,5,0)</f>
        <v>48</v>
      </c>
      <c r="F224" s="11" t="str">
        <f>VLOOKUP(A224,import!A:J,6,0)</f>
        <v/>
      </c>
      <c r="G224" s="11">
        <f>VLOOKUP(A224,import!A:J,7,0)</f>
        <v>0</v>
      </c>
      <c r="H224" s="11">
        <f>VLOOKUP(A224,import!A:J,8,0)</f>
        <v>31</v>
      </c>
      <c r="I224" s="11">
        <f>VLOOKUP(A224,import!A:J,9,0)</f>
        <v>31</v>
      </c>
      <c r="J224" s="12">
        <f>VLOOKUP(A224,import!A:J,10,0)</f>
        <v>0</v>
      </c>
      <c r="K224" s="11" t="s">
        <v>856</v>
      </c>
      <c r="L224" s="11">
        <v>3.522345668E9</v>
      </c>
      <c r="M224" s="11" t="s">
        <v>47</v>
      </c>
      <c r="N224" s="11" t="s">
        <v>271</v>
      </c>
      <c r="O224" s="11" t="s">
        <v>857</v>
      </c>
      <c r="P224" s="11" t="str">
        <f>VLOOKUP(A224,import!A:P,16,0)</f>
        <v>Geleneksel</v>
      </c>
      <c r="Q224" s="13"/>
      <c r="R224" s="13" t="b">
        <v>1</v>
      </c>
      <c r="S224" s="13" t="b">
        <v>0</v>
      </c>
      <c r="T224" s="25"/>
      <c r="U224" s="25"/>
      <c r="V224" s="25"/>
      <c r="W224" s="25" t="s">
        <v>1167</v>
      </c>
      <c r="X224" s="34"/>
      <c r="Y224" s="34"/>
      <c r="Z224" s="18"/>
      <c r="AA224" s="18"/>
      <c r="AB224" s="18"/>
      <c r="AC224" s="18"/>
      <c r="AD224" s="18"/>
      <c r="AE224" s="21"/>
      <c r="AF224" s="18"/>
      <c r="AG224" s="21"/>
      <c r="AH224" s="18"/>
      <c r="AI224" s="18"/>
      <c r="AJ224" s="18"/>
      <c r="AK224" s="18"/>
      <c r="AL224" s="18"/>
      <c r="AM224" s="18"/>
      <c r="AN224" s="18"/>
      <c r="AO224" s="18"/>
      <c r="AP224" s="22" t="s">
        <v>56</v>
      </c>
      <c r="AQ224" s="18"/>
    </row>
    <row r="225">
      <c r="A225" s="11" t="s">
        <v>1168</v>
      </c>
      <c r="B225" s="11" t="s">
        <v>1169</v>
      </c>
      <c r="C225" s="11" t="str">
        <f>VLOOKUP(A225,import!A:C,3,0)</f>
        <v>DOĞRU</v>
      </c>
      <c r="D225" s="11" t="s">
        <v>100</v>
      </c>
      <c r="E225" s="11">
        <f>VLOOKUP(A225,import!A:J,5,0)</f>
        <v>146</v>
      </c>
      <c r="F225" s="11">
        <f>VLOOKUP(A225,import!A:J,6,0)</f>
        <v>9</v>
      </c>
      <c r="G225" s="11">
        <f>VLOOKUP(A225,import!A:J,7,0)</f>
        <v>0</v>
      </c>
      <c r="H225" s="11">
        <f>VLOOKUP(A225,import!A:J,8,0)</f>
        <v>32</v>
      </c>
      <c r="I225" s="11">
        <f>VLOOKUP(A225,import!A:J,9,0)</f>
        <v>32</v>
      </c>
      <c r="J225" s="12">
        <f>VLOOKUP(A225,import!A:J,10,0)</f>
        <v>0</v>
      </c>
      <c r="K225" s="11" t="s">
        <v>856</v>
      </c>
      <c r="L225" s="11">
        <v>3.52237001E9</v>
      </c>
      <c r="M225" s="11" t="s">
        <v>47</v>
      </c>
      <c r="N225" s="11" t="s">
        <v>131</v>
      </c>
      <c r="O225" s="11" t="s">
        <v>1170</v>
      </c>
      <c r="P225" s="11" t="str">
        <f>VLOOKUP(A225,import!A:P,16,0)</f>
        <v>Geleneksel</v>
      </c>
      <c r="Q225" s="13"/>
      <c r="R225" s="13" t="b">
        <v>1</v>
      </c>
      <c r="S225" s="13" t="b">
        <v>0</v>
      </c>
      <c r="T225" s="14" t="s">
        <v>74</v>
      </c>
      <c r="U225" s="14" t="s">
        <v>352</v>
      </c>
      <c r="V225" s="14" t="s">
        <v>96</v>
      </c>
      <c r="W225" s="14" t="s">
        <v>1171</v>
      </c>
      <c r="X225" s="24">
        <v>44300.0</v>
      </c>
      <c r="Y225" s="24">
        <v>44302.0</v>
      </c>
      <c r="Z225" s="18"/>
      <c r="AA225" s="18"/>
      <c r="AB225" s="18"/>
      <c r="AC225" s="18"/>
      <c r="AD225" s="18"/>
      <c r="AE225" s="21"/>
      <c r="AF225" s="18"/>
      <c r="AG225" s="21"/>
      <c r="AH225" s="18"/>
      <c r="AI225" s="18"/>
      <c r="AJ225" s="18"/>
      <c r="AK225" s="18"/>
      <c r="AL225" s="18"/>
      <c r="AM225" s="18"/>
      <c r="AN225" s="18"/>
      <c r="AO225" s="18"/>
      <c r="AP225" s="22" t="s">
        <v>56</v>
      </c>
      <c r="AQ225" s="18"/>
    </row>
    <row r="226">
      <c r="A226" s="11" t="s">
        <v>1172</v>
      </c>
      <c r="B226" s="11" t="s">
        <v>1173</v>
      </c>
      <c r="C226" s="11" t="str">
        <f>VLOOKUP(A226,import!A:C,3,0)</f>
        <v>YANLIŞ</v>
      </c>
      <c r="D226" s="11" t="s">
        <v>100</v>
      </c>
      <c r="E226" s="11">
        <f>VLOOKUP(A226,import!A:J,5,0)</f>
        <v>61</v>
      </c>
      <c r="F226" s="11" t="str">
        <f>VLOOKUP(A226,import!A:J,6,0)</f>
        <v/>
      </c>
      <c r="G226" s="11">
        <f>VLOOKUP(A226,import!A:J,7,0)</f>
        <v>0</v>
      </c>
      <c r="H226" s="11">
        <f>VLOOKUP(A226,import!A:J,8,0)</f>
        <v>34</v>
      </c>
      <c r="I226" s="11">
        <f>VLOOKUP(A226,import!A:J,9,0)</f>
        <v>34</v>
      </c>
      <c r="J226" s="12">
        <f>VLOOKUP(A226,import!A:J,10,0)</f>
        <v>0</v>
      </c>
      <c r="K226" s="11" t="s">
        <v>856</v>
      </c>
      <c r="L226" s="11">
        <v>3.524374047E9</v>
      </c>
      <c r="M226" s="11" t="s">
        <v>61</v>
      </c>
      <c r="N226" s="11" t="s">
        <v>107</v>
      </c>
      <c r="O226" s="11" t="s">
        <v>864</v>
      </c>
      <c r="P226" s="11" t="str">
        <f>VLOOKUP(A226,import!A:P,16,0)</f>
        <v>Geleneksel</v>
      </c>
      <c r="Q226" s="13"/>
      <c r="R226" s="13" t="b">
        <v>1</v>
      </c>
      <c r="S226" s="13" t="b">
        <v>0</v>
      </c>
      <c r="T226" s="14" t="s">
        <v>50</v>
      </c>
      <c r="U226" s="14"/>
      <c r="V226" s="14"/>
      <c r="W226" s="14" t="s">
        <v>1174</v>
      </c>
      <c r="X226" s="24"/>
      <c r="Y226" s="24"/>
      <c r="Z226" s="18"/>
      <c r="AA226" s="19" t="s">
        <v>347</v>
      </c>
      <c r="AB226" s="20">
        <v>44356.0</v>
      </c>
      <c r="AC226" s="18"/>
      <c r="AD226" s="18"/>
      <c r="AE226" s="21"/>
      <c r="AF226" s="18"/>
      <c r="AG226" s="21"/>
      <c r="AH226" s="18"/>
      <c r="AI226" s="18"/>
      <c r="AJ226" s="18"/>
      <c r="AK226" s="19" t="s">
        <v>55</v>
      </c>
      <c r="AL226" s="18"/>
      <c r="AM226" s="18"/>
      <c r="AN226" s="18"/>
      <c r="AO226" s="18"/>
      <c r="AP226" s="22" t="s">
        <v>56</v>
      </c>
      <c r="AQ226" s="18"/>
    </row>
    <row r="227">
      <c r="A227" s="11" t="s">
        <v>1175</v>
      </c>
      <c r="B227" s="11" t="s">
        <v>1176</v>
      </c>
      <c r="C227" s="11" t="str">
        <f>VLOOKUP(A227,import!A:C,3,0)</f>
        <v>DOĞRU</v>
      </c>
      <c r="D227" s="11" t="s">
        <v>69</v>
      </c>
      <c r="E227" s="11">
        <f>VLOOKUP(A227,import!A:J,5,0)</f>
        <v>481</v>
      </c>
      <c r="F227" s="11">
        <f>VLOOKUP(A227,import!A:J,6,0)</f>
        <v>3</v>
      </c>
      <c r="G227" s="11">
        <f>VLOOKUP(A227,import!A:J,7,0)</f>
        <v>7</v>
      </c>
      <c r="H227" s="11">
        <f>VLOOKUP(A227,import!A:J,8,0)</f>
        <v>7</v>
      </c>
      <c r="I227" s="11">
        <f>VLOOKUP(A227,import!A:J,9,0)</f>
        <v>14</v>
      </c>
      <c r="J227" s="12">
        <f>VLOOKUP(A227,import!A:J,10,0)</f>
        <v>0.5</v>
      </c>
      <c r="K227" s="11" t="s">
        <v>106</v>
      </c>
      <c r="L227" s="11">
        <v>5.431064121E9</v>
      </c>
      <c r="M227" s="11" t="s">
        <v>47</v>
      </c>
      <c r="N227" s="11" t="s">
        <v>107</v>
      </c>
      <c r="O227" s="11" t="s">
        <v>108</v>
      </c>
      <c r="P227" s="11" t="str">
        <f>VLOOKUP(A227,import!A:P,16,0)</f>
        <v>Geleneksel</v>
      </c>
      <c r="Q227" s="13"/>
      <c r="R227" s="13" t="b">
        <v>1</v>
      </c>
      <c r="S227" s="13" t="b">
        <v>0</v>
      </c>
      <c r="T227" s="14" t="s">
        <v>74</v>
      </c>
      <c r="U227" s="14" t="s">
        <v>75</v>
      </c>
      <c r="V227" s="23" t="s">
        <v>76</v>
      </c>
      <c r="W227" s="14" t="s">
        <v>109</v>
      </c>
      <c r="X227" s="24">
        <v>44603.0</v>
      </c>
      <c r="Y227" s="24">
        <v>44606.0</v>
      </c>
      <c r="Z227" s="18"/>
      <c r="AA227" s="19" t="s">
        <v>54</v>
      </c>
      <c r="AB227" s="20">
        <v>44480.0</v>
      </c>
      <c r="AC227" s="19" t="s">
        <v>54</v>
      </c>
      <c r="AD227" s="20">
        <v>44522.0</v>
      </c>
      <c r="AE227" s="19" t="s">
        <v>54</v>
      </c>
      <c r="AF227" s="20">
        <v>44588.0</v>
      </c>
      <c r="AG227" s="19" t="s">
        <v>54</v>
      </c>
      <c r="AH227" s="20">
        <v>44603.0</v>
      </c>
      <c r="AI227" s="18"/>
      <c r="AJ227" s="18"/>
      <c r="AK227" s="19" t="s">
        <v>80</v>
      </c>
      <c r="AL227" s="19" t="s">
        <v>95</v>
      </c>
      <c r="AM227" s="19" t="s">
        <v>110</v>
      </c>
      <c r="AN227" s="19" t="s">
        <v>75</v>
      </c>
      <c r="AO227" s="18"/>
      <c r="AP227" s="22" t="s">
        <v>56</v>
      </c>
      <c r="AQ227" s="18"/>
    </row>
    <row r="228">
      <c r="A228" s="11" t="s">
        <v>1177</v>
      </c>
      <c r="B228" s="11" t="s">
        <v>1178</v>
      </c>
      <c r="C228" s="11" t="str">
        <f>VLOOKUP(A228,import!A:C,3,0)</f>
        <v>DOĞRU</v>
      </c>
      <c r="D228" s="11" t="s">
        <v>69</v>
      </c>
      <c r="E228" s="11">
        <f>VLOOKUP(A228,import!A:J,5,0)</f>
        <v>315</v>
      </c>
      <c r="F228" s="11">
        <f>VLOOKUP(A228,import!A:J,6,0)</f>
        <v>12</v>
      </c>
      <c r="G228" s="11">
        <f>VLOOKUP(A228,import!A:J,7,0)</f>
        <v>12</v>
      </c>
      <c r="H228" s="11">
        <f>VLOOKUP(A228,import!A:J,8,0)</f>
        <v>5</v>
      </c>
      <c r="I228" s="11">
        <f>VLOOKUP(A228,import!A:J,9,0)</f>
        <v>17</v>
      </c>
      <c r="J228" s="12">
        <f>VLOOKUP(A228,import!A:J,10,0)</f>
        <v>0.71</v>
      </c>
      <c r="K228" s="11" t="s">
        <v>1179</v>
      </c>
      <c r="L228" s="11">
        <v>5.365630093E9</v>
      </c>
      <c r="M228" s="11" t="s">
        <v>71</v>
      </c>
      <c r="N228" s="11" t="s">
        <v>797</v>
      </c>
      <c r="O228" s="11" t="s">
        <v>1180</v>
      </c>
      <c r="P228" s="11" t="str">
        <f>VLOOKUP(A228,import!A:P,16,0)</f>
        <v>Geleneksel</v>
      </c>
      <c r="Q228" s="13"/>
      <c r="R228" s="13" t="b">
        <v>1</v>
      </c>
      <c r="S228" s="13" t="b">
        <v>0</v>
      </c>
      <c r="T228" s="14" t="s">
        <v>74</v>
      </c>
      <c r="U228" s="14" t="s">
        <v>75</v>
      </c>
      <c r="V228" s="23" t="s">
        <v>76</v>
      </c>
      <c r="W228" s="14"/>
      <c r="X228" s="24">
        <v>44614.0</v>
      </c>
      <c r="Y228" s="24">
        <v>44614.0</v>
      </c>
      <c r="Z228" s="19" t="s">
        <v>711</v>
      </c>
      <c r="AA228" s="19" t="s">
        <v>54</v>
      </c>
      <c r="AB228" s="20">
        <v>44614.0</v>
      </c>
      <c r="AC228" s="18"/>
      <c r="AD228" s="18"/>
      <c r="AE228" s="21"/>
      <c r="AF228" s="18"/>
      <c r="AG228" s="21"/>
      <c r="AH228" s="18"/>
      <c r="AI228" s="18"/>
      <c r="AJ228" s="18"/>
      <c r="AK228" s="19" t="s">
        <v>75</v>
      </c>
      <c r="AL228" s="18"/>
      <c r="AM228" s="18"/>
      <c r="AN228" s="18"/>
      <c r="AO228" s="18"/>
      <c r="AP228" s="22" t="s">
        <v>56</v>
      </c>
      <c r="AQ228" s="18"/>
    </row>
    <row r="229">
      <c r="A229" s="11" t="s">
        <v>1181</v>
      </c>
      <c r="B229" s="11" t="s">
        <v>1182</v>
      </c>
      <c r="C229" s="11" t="str">
        <f>VLOOKUP(A229,import!A:C,3,0)</f>
        <v>DOĞRU</v>
      </c>
      <c r="D229" s="11" t="s">
        <v>69</v>
      </c>
      <c r="E229" s="11">
        <f>VLOOKUP(A229,import!A:J,5,0)</f>
        <v>183</v>
      </c>
      <c r="F229" s="11">
        <f>VLOOKUP(A229,import!A:J,6,0)</f>
        <v>29</v>
      </c>
      <c r="G229" s="11">
        <f>VLOOKUP(A229,import!A:J,7,0)</f>
        <v>22</v>
      </c>
      <c r="H229" s="11">
        <f>VLOOKUP(A229,import!A:J,8,0)</f>
        <v>15</v>
      </c>
      <c r="I229" s="11">
        <f>VLOOKUP(A229,import!A:J,9,0)</f>
        <v>37</v>
      </c>
      <c r="J229" s="12">
        <f>VLOOKUP(A229,import!A:J,10,0)</f>
        <v>0.59</v>
      </c>
      <c r="K229" s="11" t="s">
        <v>1183</v>
      </c>
      <c r="L229" s="11">
        <v>3.522400374E9</v>
      </c>
      <c r="M229" s="11" t="s">
        <v>47</v>
      </c>
      <c r="N229" s="11" t="s">
        <v>138</v>
      </c>
      <c r="O229" s="11" t="s">
        <v>1184</v>
      </c>
      <c r="P229" s="11" t="str">
        <f>VLOOKUP(A229,import!A:P,16,0)</f>
        <v>Geleneksel</v>
      </c>
      <c r="Q229" s="13"/>
      <c r="R229" s="13" t="b">
        <v>1</v>
      </c>
      <c r="S229" s="13" t="b">
        <v>0</v>
      </c>
      <c r="T229" s="14" t="s">
        <v>74</v>
      </c>
      <c r="U229" s="14" t="s">
        <v>80</v>
      </c>
      <c r="V229" s="23"/>
      <c r="W229" s="14" t="s">
        <v>1185</v>
      </c>
      <c r="X229" s="24">
        <v>44623.0</v>
      </c>
      <c r="Y229" s="24">
        <v>44596.0</v>
      </c>
      <c r="Z229" s="18"/>
      <c r="AA229" s="19" t="s">
        <v>54</v>
      </c>
      <c r="AB229" s="20">
        <v>44571.0</v>
      </c>
      <c r="AC229" s="19" t="s">
        <v>54</v>
      </c>
      <c r="AD229" s="20">
        <v>44623.0</v>
      </c>
      <c r="AE229" s="21"/>
      <c r="AF229" s="18"/>
      <c r="AG229" s="21"/>
      <c r="AH229" s="18"/>
      <c r="AI229" s="18"/>
      <c r="AJ229" s="18"/>
      <c r="AK229" s="19" t="s">
        <v>110</v>
      </c>
      <c r="AL229" s="19" t="s">
        <v>80</v>
      </c>
      <c r="AM229" s="18"/>
      <c r="AN229" s="18"/>
      <c r="AO229" s="18"/>
      <c r="AP229" s="22" t="s">
        <v>56</v>
      </c>
      <c r="AQ229" s="18"/>
    </row>
    <row r="230">
      <c r="A230" s="22" t="s">
        <v>1186</v>
      </c>
      <c r="B230" s="22" t="s">
        <v>1187</v>
      </c>
      <c r="C230" s="11" t="str">
        <f>VLOOKUP(A230,import!A:C,3,0)</f>
        <v>DOĞRU</v>
      </c>
      <c r="D230" s="22" t="s">
        <v>855</v>
      </c>
      <c r="E230" s="11">
        <f>VLOOKUP(A230,import!A:J,5,0)</f>
        <v>1</v>
      </c>
      <c r="F230" s="11">
        <f>VLOOKUP(A230,import!A:J,6,0)</f>
        <v>1</v>
      </c>
      <c r="G230" s="11">
        <f>VLOOKUP(A230,import!A:J,7,0)</f>
        <v>0</v>
      </c>
      <c r="H230" s="11">
        <f>VLOOKUP(A230,import!A:J,8,0)</f>
        <v>31</v>
      </c>
      <c r="I230" s="11">
        <f>VLOOKUP(A230,import!A:J,9,0)</f>
        <v>31</v>
      </c>
      <c r="J230" s="12">
        <f>VLOOKUP(A230,import!A:J,10,0)</f>
        <v>0</v>
      </c>
      <c r="K230" s="22" t="s">
        <v>1188</v>
      </c>
      <c r="L230" s="22">
        <v>5.32711598E9</v>
      </c>
      <c r="M230" s="22" t="s">
        <v>47</v>
      </c>
      <c r="N230" s="22" t="s">
        <v>131</v>
      </c>
      <c r="O230" s="22" t="s">
        <v>1189</v>
      </c>
      <c r="P230" s="11" t="str">
        <f>VLOOKUP(A230,import!A:P,16,0)</f>
        <v>Geleneksel</v>
      </c>
      <c r="Q230" s="13"/>
      <c r="R230" s="13" t="b">
        <v>1</v>
      </c>
      <c r="S230" s="13" t="b">
        <v>0</v>
      </c>
      <c r="T230" s="14" t="s">
        <v>74</v>
      </c>
      <c r="U230" s="14" t="s">
        <v>110</v>
      </c>
      <c r="V230" s="30" t="s">
        <v>76</v>
      </c>
      <c r="W230" s="14"/>
      <c r="X230" s="24">
        <v>44673.0</v>
      </c>
      <c r="Y230" s="24">
        <v>44676.0</v>
      </c>
      <c r="Z230" s="18"/>
      <c r="AA230" s="19" t="s">
        <v>54</v>
      </c>
      <c r="AB230" s="20">
        <v>44673.0</v>
      </c>
      <c r="AC230" s="19"/>
      <c r="AD230" s="20"/>
      <c r="AE230" s="19"/>
      <c r="AF230" s="20"/>
      <c r="AG230" s="21"/>
      <c r="AH230" s="18"/>
      <c r="AI230" s="18"/>
      <c r="AJ230" s="18"/>
      <c r="AK230" s="19" t="s">
        <v>110</v>
      </c>
      <c r="AL230" s="19"/>
      <c r="AM230" s="19"/>
      <c r="AN230" s="18"/>
      <c r="AO230" s="18"/>
      <c r="AP230" s="22"/>
      <c r="AQ230" s="18"/>
    </row>
    <row r="231">
      <c r="A231" s="11" t="s">
        <v>1190</v>
      </c>
      <c r="B231" s="11" t="s">
        <v>1191</v>
      </c>
      <c r="C231" s="11" t="str">
        <f>VLOOKUP(A231,import!A:C,3,0)</f>
        <v>YANLIŞ</v>
      </c>
      <c r="D231" s="11" t="s">
        <v>165</v>
      </c>
      <c r="E231" s="11" t="str">
        <f>VLOOKUP(A231,import!A:J,5,0)</f>
        <v/>
      </c>
      <c r="F231" s="11" t="str">
        <f>VLOOKUP(A231,import!A:J,6,0)</f>
        <v/>
      </c>
      <c r="G231" s="11">
        <f>VLOOKUP(A231,import!A:J,7,0)</f>
        <v>8</v>
      </c>
      <c r="H231" s="11">
        <f>VLOOKUP(A231,import!A:J,8,0)</f>
        <v>0</v>
      </c>
      <c r="I231" s="11">
        <f>VLOOKUP(A231,import!A:J,9,0)</f>
        <v>8</v>
      </c>
      <c r="J231" s="12">
        <f>VLOOKUP(A231,import!A:J,10,0)</f>
        <v>1</v>
      </c>
      <c r="K231" s="11" t="s">
        <v>1192</v>
      </c>
      <c r="L231" s="11">
        <v>5.302077898E9</v>
      </c>
      <c r="M231" s="11" t="s">
        <v>61</v>
      </c>
      <c r="N231" s="11" t="s">
        <v>250</v>
      </c>
      <c r="O231" s="11" t="s">
        <v>1193</v>
      </c>
      <c r="P231" s="11" t="str">
        <f>VLOOKUP(A231,import!A:P,16,0)</f>
        <v>Geleneksel</v>
      </c>
      <c r="Q231" s="13"/>
      <c r="R231" s="13" t="b">
        <v>1</v>
      </c>
      <c r="S231" s="13" t="b">
        <v>0</v>
      </c>
      <c r="T231" s="14" t="s">
        <v>74</v>
      </c>
      <c r="U231" s="14" t="s">
        <v>86</v>
      </c>
      <c r="V231" s="14"/>
      <c r="W231" s="14"/>
      <c r="X231" s="24">
        <v>44593.0</v>
      </c>
      <c r="Y231" s="24">
        <v>44594.0</v>
      </c>
      <c r="Z231" s="18"/>
      <c r="AA231" s="19" t="s">
        <v>54</v>
      </c>
      <c r="AB231" s="20">
        <v>44593.0</v>
      </c>
      <c r="AC231" s="19"/>
      <c r="AD231" s="20"/>
      <c r="AE231" s="21"/>
      <c r="AF231" s="18"/>
      <c r="AG231" s="21"/>
      <c r="AH231" s="18"/>
      <c r="AI231" s="18"/>
      <c r="AJ231" s="18"/>
      <c r="AK231" s="19" t="s">
        <v>86</v>
      </c>
      <c r="AL231" s="19"/>
      <c r="AM231" s="18"/>
      <c r="AN231" s="18"/>
      <c r="AO231" s="18"/>
      <c r="AP231" s="22"/>
      <c r="AQ231" s="18"/>
    </row>
    <row r="232">
      <c r="A232" s="22" t="s">
        <v>1194</v>
      </c>
      <c r="B232" s="22" t="s">
        <v>1195</v>
      </c>
      <c r="C232" s="11" t="str">
        <f>VLOOKUP(A232,import!A:C,3,0)</f>
        <v>DOĞRU</v>
      </c>
      <c r="D232" s="22" t="s">
        <v>368</v>
      </c>
      <c r="E232" s="11">
        <f>VLOOKUP(A232,import!A:J,5,0)</f>
        <v>1</v>
      </c>
      <c r="F232" s="11">
        <f>VLOOKUP(A232,import!A:J,6,0)</f>
        <v>1</v>
      </c>
      <c r="G232" s="11">
        <f>VLOOKUP(A232,import!A:J,7,0)</f>
        <v>0</v>
      </c>
      <c r="H232" s="11">
        <f>VLOOKUP(A232,import!A:J,8,0)</f>
        <v>29</v>
      </c>
      <c r="I232" s="11">
        <f>VLOOKUP(A232,import!A:J,9,0)</f>
        <v>29</v>
      </c>
      <c r="J232" s="12">
        <f>VLOOKUP(A232,import!A:J,10,0)</f>
        <v>0</v>
      </c>
      <c r="K232" s="22" t="s">
        <v>1196</v>
      </c>
      <c r="L232" s="22">
        <v>3.522228848E9</v>
      </c>
      <c r="M232" s="22" t="s">
        <v>47</v>
      </c>
      <c r="N232" s="22" t="s">
        <v>155</v>
      </c>
      <c r="O232" s="22" t="s">
        <v>1197</v>
      </c>
      <c r="P232" s="11" t="str">
        <f>VLOOKUP(A232,import!A:P,16,0)</f>
        <v>Geleneksel</v>
      </c>
      <c r="Q232" s="13"/>
      <c r="R232" s="13" t="b">
        <v>1</v>
      </c>
      <c r="S232" s="13" t="b">
        <v>0</v>
      </c>
      <c r="T232" s="14" t="s">
        <v>133</v>
      </c>
      <c r="U232" s="14" t="s">
        <v>110</v>
      </c>
      <c r="V232" s="30" t="s">
        <v>76</v>
      </c>
      <c r="W232" s="14" t="s">
        <v>1198</v>
      </c>
      <c r="X232" s="24">
        <v>44673.0</v>
      </c>
      <c r="Y232" s="24">
        <v>44676.0</v>
      </c>
      <c r="Z232" s="18"/>
      <c r="AA232" s="19" t="s">
        <v>54</v>
      </c>
      <c r="AB232" s="20">
        <v>44673.0</v>
      </c>
      <c r="AC232" s="19"/>
      <c r="AD232" s="20"/>
      <c r="AE232" s="19"/>
      <c r="AF232" s="20"/>
      <c r="AG232" s="21"/>
      <c r="AH232" s="18"/>
      <c r="AI232" s="18"/>
      <c r="AJ232" s="18"/>
      <c r="AK232" s="19" t="s">
        <v>110</v>
      </c>
      <c r="AL232" s="19"/>
      <c r="AM232" s="19"/>
      <c r="AN232" s="18"/>
      <c r="AO232" s="18"/>
      <c r="AP232" s="22"/>
      <c r="AQ232" s="18"/>
    </row>
    <row r="233">
      <c r="A233" s="11" t="s">
        <v>1199</v>
      </c>
      <c r="B233" s="11" t="s">
        <v>1200</v>
      </c>
      <c r="C233" s="11" t="str">
        <f>VLOOKUP(A233,import!A:C,3,0)</f>
        <v>DOĞRU</v>
      </c>
      <c r="D233" s="11" t="s">
        <v>406</v>
      </c>
      <c r="E233" s="11">
        <f>VLOOKUP(A233,import!A:J,5,0)</f>
        <v>365</v>
      </c>
      <c r="F233" s="11">
        <f>VLOOKUP(A233,import!A:J,6,0)</f>
        <v>52</v>
      </c>
      <c r="G233" s="11">
        <f>VLOOKUP(A233,import!A:J,7,0)</f>
        <v>0</v>
      </c>
      <c r="H233" s="11">
        <f>VLOOKUP(A233,import!A:J,8,0)</f>
        <v>35</v>
      </c>
      <c r="I233" s="11">
        <f>VLOOKUP(A233,import!A:J,9,0)</f>
        <v>35</v>
      </c>
      <c r="J233" s="12">
        <f>VLOOKUP(A233,import!A:J,10,0)</f>
        <v>0</v>
      </c>
      <c r="K233" s="11" t="s">
        <v>1201</v>
      </c>
      <c r="L233" s="11">
        <v>3.525038081E9</v>
      </c>
      <c r="M233" s="11" t="s">
        <v>61</v>
      </c>
      <c r="N233" s="11" t="s">
        <v>62</v>
      </c>
      <c r="O233" s="11" t="s">
        <v>1202</v>
      </c>
      <c r="P233" s="11" t="s">
        <v>666</v>
      </c>
      <c r="Q233" s="13"/>
      <c r="R233" s="13" t="b">
        <v>1</v>
      </c>
      <c r="S233" s="13" t="b">
        <v>0</v>
      </c>
      <c r="T233" s="14" t="s">
        <v>53</v>
      </c>
      <c r="U233" s="14"/>
      <c r="V233" s="14"/>
      <c r="W233" s="14" t="s">
        <v>1203</v>
      </c>
      <c r="X233" s="24"/>
      <c r="Y233" s="24"/>
      <c r="Z233" s="18"/>
      <c r="AA233" s="19" t="s">
        <v>53</v>
      </c>
      <c r="AB233" s="20">
        <v>44579.0</v>
      </c>
      <c r="AC233" s="19"/>
      <c r="AD233" s="20"/>
      <c r="AE233" s="21"/>
      <c r="AF233" s="18"/>
      <c r="AG233" s="21"/>
      <c r="AH233" s="18"/>
      <c r="AI233" s="18"/>
      <c r="AJ233" s="18"/>
      <c r="AK233" s="19" t="s">
        <v>95</v>
      </c>
      <c r="AL233" s="19"/>
      <c r="AM233" s="18"/>
      <c r="AN233" s="18"/>
      <c r="AO233" s="18"/>
      <c r="AP233" s="22" t="s">
        <v>56</v>
      </c>
      <c r="AQ233" s="18"/>
    </row>
    <row r="234">
      <c r="A234" s="11" t="s">
        <v>1204</v>
      </c>
      <c r="B234" s="11" t="s">
        <v>1205</v>
      </c>
      <c r="C234" s="11" t="str">
        <f>VLOOKUP(A234,import!A:C,3,0)</f>
        <v>DOĞRU</v>
      </c>
      <c r="D234" s="11" t="s">
        <v>45</v>
      </c>
      <c r="E234" s="11">
        <f>VLOOKUP(A234,import!A:J,5,0)</f>
        <v>1494</v>
      </c>
      <c r="F234" s="11" t="str">
        <f>VLOOKUP(A234,import!A:J,6,0)</f>
        <v/>
      </c>
      <c r="G234" s="11">
        <f>VLOOKUP(A234,import!A:J,7,0)</f>
        <v>0</v>
      </c>
      <c r="H234" s="11">
        <f>VLOOKUP(A234,import!A:J,8,0)</f>
        <v>12</v>
      </c>
      <c r="I234" s="11">
        <f>VLOOKUP(A234,import!A:J,9,0)</f>
        <v>12</v>
      </c>
      <c r="J234" s="12">
        <f>VLOOKUP(A234,import!A:J,10,0)</f>
        <v>0</v>
      </c>
      <c r="K234" s="11" t="s">
        <v>1206</v>
      </c>
      <c r="L234" s="11">
        <v>5.535957876E9</v>
      </c>
      <c r="M234" s="11" t="s">
        <v>61</v>
      </c>
      <c r="N234" s="11" t="s">
        <v>62</v>
      </c>
      <c r="O234" s="11" t="s">
        <v>1207</v>
      </c>
      <c r="P234" s="11" t="str">
        <f>VLOOKUP(A234,import!A:P,16,0)</f>
        <v>Geleneksel</v>
      </c>
      <c r="Q234" s="13"/>
      <c r="R234" s="13" t="b">
        <v>1</v>
      </c>
      <c r="S234" s="13" t="b">
        <v>0</v>
      </c>
      <c r="T234" s="14" t="s">
        <v>470</v>
      </c>
      <c r="U234" s="14"/>
      <c r="V234" s="14"/>
      <c r="W234" s="14" t="s">
        <v>1208</v>
      </c>
      <c r="X234" s="24"/>
      <c r="Y234" s="24"/>
      <c r="Z234" s="18"/>
      <c r="AA234" s="18"/>
      <c r="AB234" s="18"/>
      <c r="AC234" s="18"/>
      <c r="AD234" s="18"/>
      <c r="AE234" s="21"/>
      <c r="AF234" s="18"/>
      <c r="AG234" s="21"/>
      <c r="AH234" s="18"/>
      <c r="AI234" s="18"/>
      <c r="AJ234" s="18"/>
      <c r="AK234" s="18"/>
      <c r="AL234" s="18"/>
      <c r="AM234" s="18"/>
      <c r="AN234" s="18"/>
      <c r="AO234" s="18"/>
      <c r="AP234" s="22" t="s">
        <v>56</v>
      </c>
      <c r="AQ234" s="18"/>
    </row>
    <row r="235">
      <c r="A235" s="22" t="s">
        <v>1209</v>
      </c>
      <c r="B235" s="22" t="s">
        <v>1210</v>
      </c>
      <c r="C235" s="11" t="str">
        <f>VLOOKUP(A235,import!A:C,3,0)</f>
        <v>DOĞRU</v>
      </c>
      <c r="D235" s="22" t="s">
        <v>653</v>
      </c>
      <c r="E235" s="11">
        <f>VLOOKUP(A235,import!A:J,5,0)</f>
        <v>8</v>
      </c>
      <c r="F235" s="11">
        <f>VLOOKUP(A235,import!A:J,6,0)</f>
        <v>8</v>
      </c>
      <c r="G235" s="11">
        <f>VLOOKUP(A235,import!A:J,7,0)</f>
        <v>0</v>
      </c>
      <c r="H235" s="11">
        <f>VLOOKUP(A235,import!A:J,8,0)</f>
        <v>19</v>
      </c>
      <c r="I235" s="11">
        <f>VLOOKUP(A235,import!A:J,9,0)</f>
        <v>19</v>
      </c>
      <c r="J235" s="12">
        <f>VLOOKUP(A235,import!A:J,10,0)</f>
        <v>0</v>
      </c>
      <c r="K235" s="22" t="s">
        <v>1211</v>
      </c>
      <c r="L235" s="22">
        <v>3.522333338E9</v>
      </c>
      <c r="M235" s="22" t="s">
        <v>47</v>
      </c>
      <c r="N235" s="22" t="s">
        <v>271</v>
      </c>
      <c r="O235" s="22" t="s">
        <v>1212</v>
      </c>
      <c r="P235" s="11" t="str">
        <f>VLOOKUP(A235,import!A:P,16,0)</f>
        <v>Geleneksel</v>
      </c>
      <c r="Q235" s="13"/>
      <c r="R235" s="13" t="b">
        <v>1</v>
      </c>
      <c r="S235" s="13" t="b">
        <v>0</v>
      </c>
      <c r="T235" s="14" t="s">
        <v>133</v>
      </c>
      <c r="U235" s="14"/>
      <c r="V235" s="14"/>
      <c r="W235" s="14" t="s">
        <v>1213</v>
      </c>
      <c r="X235" s="24"/>
      <c r="Y235" s="24"/>
      <c r="Z235" s="18"/>
      <c r="AA235" s="19" t="s">
        <v>54</v>
      </c>
      <c r="AB235" s="20">
        <v>44673.0</v>
      </c>
      <c r="AC235" s="19"/>
      <c r="AD235" s="20"/>
      <c r="AE235" s="19"/>
      <c r="AF235" s="20"/>
      <c r="AG235" s="21"/>
      <c r="AH235" s="18"/>
      <c r="AI235" s="18"/>
      <c r="AJ235" s="18"/>
      <c r="AK235" s="19" t="s">
        <v>110</v>
      </c>
      <c r="AL235" s="19"/>
      <c r="AM235" s="19"/>
      <c r="AN235" s="18"/>
      <c r="AO235" s="18"/>
      <c r="AP235" s="22"/>
      <c r="AQ235" s="18"/>
    </row>
    <row r="236">
      <c r="A236" s="22" t="s">
        <v>1214</v>
      </c>
      <c r="B236" s="22" t="s">
        <v>1215</v>
      </c>
      <c r="C236" s="11" t="str">
        <f>VLOOKUP(A236,import!A:C,3,0)</f>
        <v>DOĞRU</v>
      </c>
      <c r="D236" s="22" t="s">
        <v>59</v>
      </c>
      <c r="E236" s="11">
        <f>VLOOKUP(A236,import!A:J,5,0)</f>
        <v>97</v>
      </c>
      <c r="F236" s="11">
        <f>VLOOKUP(A236,import!A:J,6,0)</f>
        <v>97</v>
      </c>
      <c r="G236" s="11">
        <f>VLOOKUP(A236,import!A:J,7,0)</f>
        <v>0</v>
      </c>
      <c r="H236" s="11">
        <f>VLOOKUP(A236,import!A:J,8,0)</f>
        <v>24</v>
      </c>
      <c r="I236" s="11">
        <f>VLOOKUP(A236,import!A:J,9,0)</f>
        <v>24</v>
      </c>
      <c r="J236" s="12">
        <f>VLOOKUP(A236,import!A:J,10,0)</f>
        <v>0</v>
      </c>
      <c r="K236" s="22" t="s">
        <v>1216</v>
      </c>
      <c r="L236" s="22">
        <v>3.525131333E9</v>
      </c>
      <c r="M236" s="22" t="s">
        <v>61</v>
      </c>
      <c r="N236" s="22" t="s">
        <v>107</v>
      </c>
      <c r="O236" s="22" t="s">
        <v>1217</v>
      </c>
      <c r="P236" s="11" t="str">
        <f>VLOOKUP(A236,import!A:P,16,0)</f>
        <v>Geleneksel</v>
      </c>
      <c r="Q236" s="13"/>
      <c r="R236" s="13" t="b">
        <v>1</v>
      </c>
      <c r="S236" s="13" t="b">
        <v>0</v>
      </c>
      <c r="T236" s="14" t="s">
        <v>74</v>
      </c>
      <c r="U236" s="14" t="s">
        <v>75</v>
      </c>
      <c r="V236" s="30" t="s">
        <v>76</v>
      </c>
      <c r="W236" s="14" t="s">
        <v>1218</v>
      </c>
      <c r="X236" s="24">
        <v>44679.0</v>
      </c>
      <c r="Y236" s="24">
        <v>44680.0</v>
      </c>
      <c r="Z236" s="18"/>
      <c r="AA236" s="19" t="s">
        <v>347</v>
      </c>
      <c r="AB236" s="20">
        <v>44679.0</v>
      </c>
      <c r="AC236" s="19" t="s">
        <v>54</v>
      </c>
      <c r="AD236" s="24">
        <v>44679.0</v>
      </c>
      <c r="AE236" s="19"/>
      <c r="AF236" s="20"/>
      <c r="AG236" s="21"/>
      <c r="AH236" s="18"/>
      <c r="AI236" s="18"/>
      <c r="AJ236" s="18"/>
      <c r="AK236" s="19" t="s">
        <v>75</v>
      </c>
      <c r="AL236" s="19" t="s">
        <v>75</v>
      </c>
      <c r="AM236" s="19"/>
      <c r="AN236" s="18"/>
      <c r="AO236" s="18"/>
      <c r="AP236" s="22"/>
      <c r="AQ236" s="18"/>
    </row>
    <row r="237">
      <c r="A237" s="11" t="s">
        <v>1219</v>
      </c>
      <c r="B237" s="11" t="s">
        <v>1220</v>
      </c>
      <c r="C237" s="11" t="str">
        <f>VLOOKUP(A237,import!A:C,3,0)</f>
        <v>DOĞRU</v>
      </c>
      <c r="D237" s="11" t="s">
        <v>165</v>
      </c>
      <c r="E237" s="11" t="str">
        <f>VLOOKUP(A237,import!A:J,5,0)</f>
        <v/>
      </c>
      <c r="F237" s="11" t="str">
        <f>VLOOKUP(A237,import!A:J,6,0)</f>
        <v/>
      </c>
      <c r="G237" s="11">
        <f>VLOOKUP(A237,import!A:J,7,0)</f>
        <v>0</v>
      </c>
      <c r="H237" s="11">
        <f>VLOOKUP(A237,import!A:J,8,0)</f>
        <v>20</v>
      </c>
      <c r="I237" s="11">
        <f>VLOOKUP(A237,import!A:J,9,0)</f>
        <v>20</v>
      </c>
      <c r="J237" s="12">
        <f>VLOOKUP(A237,import!A:J,10,0)</f>
        <v>0</v>
      </c>
      <c r="K237" s="11" t="s">
        <v>1221</v>
      </c>
      <c r="L237" s="11">
        <v>5.541356933E9</v>
      </c>
      <c r="M237" s="11" t="s">
        <v>61</v>
      </c>
      <c r="N237" s="11" t="s">
        <v>62</v>
      </c>
      <c r="O237" s="11" t="s">
        <v>1222</v>
      </c>
      <c r="P237" s="11" t="str">
        <f>VLOOKUP(A237,import!A:P,16,0)</f>
        <v>Geleneksel</v>
      </c>
      <c r="Q237" s="13"/>
      <c r="R237" s="13" t="b">
        <v>1</v>
      </c>
      <c r="S237" s="13" t="b">
        <v>0</v>
      </c>
      <c r="T237" s="14" t="s">
        <v>168</v>
      </c>
      <c r="U237" s="14"/>
      <c r="V237" s="14"/>
      <c r="W237" s="14" t="s">
        <v>1223</v>
      </c>
      <c r="X237" s="24"/>
      <c r="Y237" s="24"/>
      <c r="Z237" s="18"/>
      <c r="AA237" s="19" t="s">
        <v>54</v>
      </c>
      <c r="AB237" s="20">
        <v>44642.0</v>
      </c>
      <c r="AC237" s="19" t="s">
        <v>54</v>
      </c>
      <c r="AD237" s="20">
        <v>44670.0</v>
      </c>
      <c r="AE237" s="19"/>
      <c r="AF237" s="20"/>
      <c r="AG237" s="21"/>
      <c r="AH237" s="18"/>
      <c r="AI237" s="18"/>
      <c r="AJ237" s="18"/>
      <c r="AK237" s="19" t="s">
        <v>75</v>
      </c>
      <c r="AL237" s="19" t="s">
        <v>110</v>
      </c>
      <c r="AM237" s="19"/>
      <c r="AN237" s="18"/>
      <c r="AO237" s="18"/>
      <c r="AP237" s="22"/>
      <c r="AQ237" s="18"/>
    </row>
    <row r="238">
      <c r="A238" s="22" t="s">
        <v>1224</v>
      </c>
      <c r="B238" s="22" t="s">
        <v>1225</v>
      </c>
      <c r="C238" s="11" t="str">
        <f>VLOOKUP(A238,import!A:C,3,0)</f>
        <v>DOĞRU</v>
      </c>
      <c r="D238" s="22" t="s">
        <v>83</v>
      </c>
      <c r="E238" s="11">
        <f>VLOOKUP(A238,import!A:J,5,0)</f>
        <v>2</v>
      </c>
      <c r="F238" s="11">
        <f>VLOOKUP(A238,import!A:J,6,0)</f>
        <v>2</v>
      </c>
      <c r="G238" s="11">
        <f>VLOOKUP(A238,import!A:J,7,0)</f>
        <v>0</v>
      </c>
      <c r="H238" s="11">
        <f>VLOOKUP(A238,import!A:J,8,0)</f>
        <v>36</v>
      </c>
      <c r="I238" s="11">
        <f>VLOOKUP(A238,import!A:J,9,0)</f>
        <v>36</v>
      </c>
      <c r="J238" s="12">
        <f>VLOOKUP(A238,import!A:J,10,0)</f>
        <v>0</v>
      </c>
      <c r="K238" s="22" t="s">
        <v>1226</v>
      </c>
      <c r="L238" s="22">
        <v>5.312260995E9</v>
      </c>
      <c r="M238" s="22" t="s">
        <v>71</v>
      </c>
      <c r="N238" s="22" t="s">
        <v>684</v>
      </c>
      <c r="O238" s="22" t="s">
        <v>1227</v>
      </c>
      <c r="P238" s="11" t="str">
        <f>VLOOKUP(A238,import!A:P,16,0)</f>
        <v>Geleneksel</v>
      </c>
      <c r="Q238" s="13"/>
      <c r="R238" s="13" t="b">
        <v>1</v>
      </c>
      <c r="S238" s="13" t="b">
        <v>0</v>
      </c>
      <c r="T238" s="14" t="s">
        <v>133</v>
      </c>
      <c r="U238" s="14" t="s">
        <v>110</v>
      </c>
      <c r="V238" s="30" t="s">
        <v>76</v>
      </c>
      <c r="W238" s="14"/>
      <c r="X238" s="24">
        <v>44676.0</v>
      </c>
      <c r="Y238" s="24">
        <v>44677.0</v>
      </c>
      <c r="Z238" s="18"/>
      <c r="AA238" s="19" t="s">
        <v>54</v>
      </c>
      <c r="AB238" s="20">
        <v>44676.0</v>
      </c>
      <c r="AC238" s="19"/>
      <c r="AD238" s="20"/>
      <c r="AE238" s="19"/>
      <c r="AF238" s="20"/>
      <c r="AG238" s="21"/>
      <c r="AH238" s="18"/>
      <c r="AI238" s="18"/>
      <c r="AJ238" s="18"/>
      <c r="AK238" s="19" t="s">
        <v>110</v>
      </c>
      <c r="AL238" s="19"/>
      <c r="AM238" s="19"/>
      <c r="AN238" s="18"/>
      <c r="AO238" s="18"/>
      <c r="AP238" s="22"/>
      <c r="AQ238" s="18"/>
    </row>
    <row r="239">
      <c r="A239" s="11" t="s">
        <v>1228</v>
      </c>
      <c r="B239" s="11" t="s">
        <v>1229</v>
      </c>
      <c r="C239" s="11" t="str">
        <f>VLOOKUP(A239,import!A:C,3,0)</f>
        <v>DOĞRU</v>
      </c>
      <c r="D239" s="11" t="s">
        <v>1230</v>
      </c>
      <c r="E239" s="11">
        <f>VLOOKUP(A239,import!A:J,5,0)</f>
        <v>939</v>
      </c>
      <c r="F239" s="11">
        <f>VLOOKUP(A239,import!A:J,6,0)</f>
        <v>17</v>
      </c>
      <c r="G239" s="11">
        <f>VLOOKUP(A239,import!A:J,7,0)</f>
        <v>0</v>
      </c>
      <c r="H239" s="11">
        <f>VLOOKUP(A239,import!A:J,8,0)</f>
        <v>37</v>
      </c>
      <c r="I239" s="11">
        <f>VLOOKUP(A239,import!A:J,9,0)</f>
        <v>37</v>
      </c>
      <c r="J239" s="12">
        <f>VLOOKUP(A239,import!A:J,10,0)</f>
        <v>0</v>
      </c>
      <c r="K239" s="11" t="s">
        <v>1231</v>
      </c>
      <c r="L239" s="11">
        <v>5.52662101E9</v>
      </c>
      <c r="M239" s="11" t="s">
        <v>61</v>
      </c>
      <c r="N239" s="11" t="s">
        <v>62</v>
      </c>
      <c r="O239" s="11" t="s">
        <v>1232</v>
      </c>
      <c r="P239" s="11" t="str">
        <f>VLOOKUP(A239,import!A:P,16,0)</f>
        <v>Geleneksel</v>
      </c>
      <c r="Q239" s="13"/>
      <c r="R239" s="13" t="b">
        <v>1</v>
      </c>
      <c r="S239" s="13" t="b">
        <v>0</v>
      </c>
      <c r="T239" s="14" t="s">
        <v>133</v>
      </c>
      <c r="U239" s="14" t="s">
        <v>88</v>
      </c>
      <c r="V239" s="14" t="s">
        <v>96</v>
      </c>
      <c r="W239" s="14" t="s">
        <v>1233</v>
      </c>
      <c r="X239" s="24">
        <v>44361.0</v>
      </c>
      <c r="Y239" s="24">
        <v>44363.0</v>
      </c>
      <c r="Z239" s="19" t="s">
        <v>711</v>
      </c>
      <c r="AA239" s="19" t="s">
        <v>53</v>
      </c>
      <c r="AB239" s="20">
        <v>44638.0</v>
      </c>
      <c r="AC239" s="18"/>
      <c r="AD239" s="18"/>
      <c r="AE239" s="21"/>
      <c r="AF239" s="18"/>
      <c r="AG239" s="21"/>
      <c r="AH239" s="18"/>
      <c r="AI239" s="18"/>
      <c r="AJ239" s="18"/>
      <c r="AK239" s="19" t="s">
        <v>140</v>
      </c>
      <c r="AL239" s="18"/>
      <c r="AM239" s="18"/>
      <c r="AN239" s="18"/>
      <c r="AO239" s="18"/>
      <c r="AP239" s="22" t="s">
        <v>56</v>
      </c>
      <c r="AQ239" s="18"/>
    </row>
    <row r="240">
      <c r="A240" s="11" t="s">
        <v>1234</v>
      </c>
      <c r="B240" s="11" t="s">
        <v>1235</v>
      </c>
      <c r="C240" s="11" t="str">
        <f>VLOOKUP(A240,import!A:C,3,0)</f>
        <v>YANLIŞ</v>
      </c>
      <c r="D240" s="11" t="s">
        <v>453</v>
      </c>
      <c r="E240" s="11">
        <f>VLOOKUP(A240,import!A:J,5,0)</f>
        <v>65</v>
      </c>
      <c r="F240" s="11" t="str">
        <f>VLOOKUP(A240,import!A:J,6,0)</f>
        <v/>
      </c>
      <c r="G240" s="11">
        <f>VLOOKUP(A240,import!A:J,7,0)</f>
        <v>0</v>
      </c>
      <c r="H240" s="11">
        <f>VLOOKUP(A240,import!A:J,8,0)</f>
        <v>16</v>
      </c>
      <c r="I240" s="11">
        <f>VLOOKUP(A240,import!A:J,9,0)</f>
        <v>16</v>
      </c>
      <c r="J240" s="12">
        <f>VLOOKUP(A240,import!A:J,10,0)</f>
        <v>0</v>
      </c>
      <c r="K240" s="11" t="s">
        <v>1236</v>
      </c>
      <c r="L240" s="11">
        <v>5.462249443E9</v>
      </c>
      <c r="M240" s="11" t="s">
        <v>61</v>
      </c>
      <c r="N240" s="11" t="s">
        <v>107</v>
      </c>
      <c r="O240" s="11" t="s">
        <v>1237</v>
      </c>
      <c r="P240" s="11" t="str">
        <f>VLOOKUP(A240,import!A:P,16,0)</f>
        <v>Geleneksel</v>
      </c>
      <c r="Q240" s="13"/>
      <c r="R240" s="13" t="b">
        <v>1</v>
      </c>
      <c r="S240" s="13" t="b">
        <v>0</v>
      </c>
      <c r="T240" s="14" t="s">
        <v>133</v>
      </c>
      <c r="U240" s="14" t="s">
        <v>110</v>
      </c>
      <c r="V240" s="23" t="s">
        <v>76</v>
      </c>
      <c r="W240" s="14" t="s">
        <v>1238</v>
      </c>
      <c r="X240" s="24">
        <v>44620.0</v>
      </c>
      <c r="Y240" s="24">
        <v>44622.0</v>
      </c>
      <c r="Z240" s="18"/>
      <c r="AA240" s="19" t="s">
        <v>54</v>
      </c>
      <c r="AB240" s="20">
        <v>44356.0</v>
      </c>
      <c r="AC240" s="19" t="s">
        <v>54</v>
      </c>
      <c r="AD240" s="20">
        <v>44595.0</v>
      </c>
      <c r="AE240" s="19" t="s">
        <v>54</v>
      </c>
      <c r="AF240" s="20">
        <v>44601.0</v>
      </c>
      <c r="AG240" s="19" t="s">
        <v>54</v>
      </c>
      <c r="AH240" s="20">
        <v>44620.0</v>
      </c>
      <c r="AI240" s="19" t="s">
        <v>54</v>
      </c>
      <c r="AJ240" s="20">
        <v>44666.0</v>
      </c>
      <c r="AK240" s="19" t="s">
        <v>55</v>
      </c>
      <c r="AL240" s="19" t="s">
        <v>75</v>
      </c>
      <c r="AM240" s="19" t="s">
        <v>75</v>
      </c>
      <c r="AN240" s="19" t="s">
        <v>110</v>
      </c>
      <c r="AO240" s="19" t="s">
        <v>110</v>
      </c>
      <c r="AP240" s="22" t="s">
        <v>56</v>
      </c>
      <c r="AQ240" s="18"/>
    </row>
    <row r="241">
      <c r="A241" s="22" t="s">
        <v>1239</v>
      </c>
      <c r="B241" s="22" t="s">
        <v>1240</v>
      </c>
      <c r="C241" s="11" t="str">
        <f>VLOOKUP(A241,import!A:C,3,0)</f>
        <v>DOĞRU</v>
      </c>
      <c r="D241" s="22" t="s">
        <v>69</v>
      </c>
      <c r="E241" s="11" t="str">
        <f>VLOOKUP(A241,import!A:J,5,0)</f>
        <v/>
      </c>
      <c r="F241" s="11" t="str">
        <f>VLOOKUP(A241,import!A:J,6,0)</f>
        <v/>
      </c>
      <c r="G241" s="11">
        <f>VLOOKUP(A241,import!A:J,7,0)</f>
        <v>0</v>
      </c>
      <c r="H241" s="11">
        <f>VLOOKUP(A241,import!A:J,8,0)</f>
        <v>24</v>
      </c>
      <c r="I241" s="11">
        <f>VLOOKUP(A241,import!A:J,9,0)</f>
        <v>24</v>
      </c>
      <c r="J241" s="12">
        <f>VLOOKUP(A241,import!A:J,10,0)</f>
        <v>0</v>
      </c>
      <c r="K241" s="22" t="s">
        <v>1241</v>
      </c>
      <c r="L241" s="22">
        <v>5.426244399E9</v>
      </c>
      <c r="M241" s="22" t="s">
        <v>61</v>
      </c>
      <c r="N241" s="22" t="s">
        <v>320</v>
      </c>
      <c r="O241" s="22" t="s">
        <v>1242</v>
      </c>
      <c r="P241" s="11" t="str">
        <f>VLOOKUP(A241,import!A:P,16,0)</f>
        <v>Geleneksel</v>
      </c>
      <c r="Q241" s="13"/>
      <c r="R241" s="13" t="b">
        <v>1</v>
      </c>
      <c r="S241" s="13" t="b">
        <v>0</v>
      </c>
      <c r="T241" s="14" t="s">
        <v>74</v>
      </c>
      <c r="U241" s="14" t="s">
        <v>75</v>
      </c>
      <c r="V241" s="30" t="s">
        <v>76</v>
      </c>
      <c r="W241" s="14" t="s">
        <v>1243</v>
      </c>
      <c r="X241" s="24">
        <v>44679.0</v>
      </c>
      <c r="Y241" s="24">
        <v>44680.0</v>
      </c>
      <c r="Z241" s="18"/>
      <c r="AA241" s="19" t="s">
        <v>54</v>
      </c>
      <c r="AB241" s="24">
        <v>44679.0</v>
      </c>
      <c r="AC241" s="19"/>
      <c r="AD241" s="20"/>
      <c r="AE241" s="19"/>
      <c r="AF241" s="20"/>
      <c r="AG241" s="21"/>
      <c r="AH241" s="18"/>
      <c r="AI241" s="18"/>
      <c r="AJ241" s="18"/>
      <c r="AK241" s="19" t="s">
        <v>75</v>
      </c>
      <c r="AL241" s="19"/>
      <c r="AM241" s="19"/>
      <c r="AN241" s="18"/>
      <c r="AO241" s="18"/>
      <c r="AP241" s="22"/>
      <c r="AQ241" s="18"/>
    </row>
    <row r="242">
      <c r="A242" s="11" t="s">
        <v>1244</v>
      </c>
      <c r="B242" s="11" t="s">
        <v>1245</v>
      </c>
      <c r="C242" s="11" t="str">
        <f>VLOOKUP(A242,import!A:C,3,0)</f>
        <v>DOĞRU</v>
      </c>
      <c r="D242" s="11" t="s">
        <v>165</v>
      </c>
      <c r="E242" s="11">
        <f>VLOOKUP(A242,import!A:J,5,0)</f>
        <v>55</v>
      </c>
      <c r="F242" s="11" t="str">
        <f>VLOOKUP(A242,import!A:J,6,0)</f>
        <v/>
      </c>
      <c r="G242" s="11">
        <f>VLOOKUP(A242,import!A:J,7,0)</f>
        <v>0</v>
      </c>
      <c r="H242" s="11">
        <f>VLOOKUP(A242,import!A:J,8,0)</f>
        <v>5</v>
      </c>
      <c r="I242" s="11">
        <f>VLOOKUP(A242,import!A:J,9,0)</f>
        <v>5</v>
      </c>
      <c r="J242" s="12">
        <f>VLOOKUP(A242,import!A:J,10,0)</f>
        <v>0</v>
      </c>
      <c r="K242" s="11" t="s">
        <v>1246</v>
      </c>
      <c r="L242" s="11">
        <v>5.522185725E9</v>
      </c>
      <c r="M242" s="11" t="s">
        <v>47</v>
      </c>
      <c r="N242" s="11" t="s">
        <v>482</v>
      </c>
      <c r="O242" s="11" t="s">
        <v>1247</v>
      </c>
      <c r="P242" s="11" t="str">
        <f>VLOOKUP(A242,import!A:P,16,0)</f>
        <v>Geleneksel</v>
      </c>
      <c r="Q242" s="13"/>
      <c r="R242" s="13" t="b">
        <v>1</v>
      </c>
      <c r="S242" s="13" t="b">
        <v>1</v>
      </c>
      <c r="T242" s="14"/>
      <c r="U242" s="14"/>
      <c r="V242" s="14"/>
      <c r="W242" s="14" t="s">
        <v>1248</v>
      </c>
      <c r="X242" s="24"/>
      <c r="Y242" s="24"/>
      <c r="Z242" s="18"/>
      <c r="AA242" s="19" t="s">
        <v>54</v>
      </c>
      <c r="AB242" s="20">
        <v>44587.0</v>
      </c>
      <c r="AC242" s="19"/>
      <c r="AD242" s="20"/>
      <c r="AE242" s="21"/>
      <c r="AF242" s="18"/>
      <c r="AG242" s="21"/>
      <c r="AH242" s="18"/>
      <c r="AI242" s="18"/>
      <c r="AJ242" s="18"/>
      <c r="AK242" s="19" t="s">
        <v>110</v>
      </c>
      <c r="AL242" s="19"/>
      <c r="AM242" s="18"/>
      <c r="AN242" s="18"/>
      <c r="AO242" s="18"/>
      <c r="AP242" s="22"/>
      <c r="AQ242" s="18"/>
    </row>
    <row r="243">
      <c r="A243" s="11" t="s">
        <v>1249</v>
      </c>
      <c r="B243" s="11" t="s">
        <v>1250</v>
      </c>
      <c r="C243" s="11" t="str">
        <f>VLOOKUP(A243,import!A:C,3,0)</f>
        <v>DOĞRU</v>
      </c>
      <c r="D243" s="11" t="s">
        <v>100</v>
      </c>
      <c r="E243" s="11">
        <f>VLOOKUP(A243,import!A:J,5,0)</f>
        <v>423</v>
      </c>
      <c r="F243" s="11">
        <f>VLOOKUP(A243,import!A:J,6,0)</f>
        <v>7</v>
      </c>
      <c r="G243" s="11">
        <f>VLOOKUP(A243,import!A:J,7,0)</f>
        <v>8</v>
      </c>
      <c r="H243" s="11">
        <f>VLOOKUP(A243,import!A:J,8,0)</f>
        <v>3</v>
      </c>
      <c r="I243" s="11">
        <f>VLOOKUP(A243,import!A:J,9,0)</f>
        <v>11</v>
      </c>
      <c r="J243" s="12">
        <f>VLOOKUP(A243,import!A:J,10,0)</f>
        <v>0.73</v>
      </c>
      <c r="K243" s="11" t="s">
        <v>1251</v>
      </c>
      <c r="L243" s="11">
        <v>5.528793898E9</v>
      </c>
      <c r="M243" s="11" t="s">
        <v>71</v>
      </c>
      <c r="N243" s="11" t="s">
        <v>1252</v>
      </c>
      <c r="O243" s="11" t="s">
        <v>1253</v>
      </c>
      <c r="P243" s="11" t="str">
        <f>VLOOKUP(A243,import!A:P,16,0)</f>
        <v>Geleneksel</v>
      </c>
      <c r="Q243" s="13"/>
      <c r="R243" s="13" t="b">
        <v>0</v>
      </c>
      <c r="S243" s="13" t="b">
        <v>0</v>
      </c>
      <c r="T243" s="14"/>
      <c r="U243" s="14"/>
      <c r="V243" s="14"/>
      <c r="W243" s="14"/>
      <c r="X243" s="24"/>
      <c r="Y243" s="24"/>
      <c r="Z243" s="18"/>
      <c r="AA243" s="18"/>
      <c r="AB243" s="18"/>
      <c r="AC243" s="18"/>
      <c r="AD243" s="18"/>
      <c r="AE243" s="21"/>
      <c r="AF243" s="18"/>
      <c r="AG243" s="21"/>
      <c r="AH243" s="18"/>
      <c r="AI243" s="18"/>
      <c r="AJ243" s="18"/>
      <c r="AK243" s="18"/>
      <c r="AL243" s="18"/>
      <c r="AM243" s="18"/>
      <c r="AN243" s="18"/>
      <c r="AO243" s="18"/>
      <c r="AP243" s="22" t="s">
        <v>56</v>
      </c>
      <c r="AQ243" s="18"/>
    </row>
    <row r="244">
      <c r="A244" s="11" t="s">
        <v>1254</v>
      </c>
      <c r="B244" s="11" t="s">
        <v>1255</v>
      </c>
      <c r="C244" s="11" t="str">
        <f>VLOOKUP(A244,import!A:C,3,0)</f>
        <v>DOĞRU</v>
      </c>
      <c r="D244" s="11" t="s">
        <v>100</v>
      </c>
      <c r="E244" s="11">
        <f>VLOOKUP(A244,import!A:J,5,0)</f>
        <v>130</v>
      </c>
      <c r="F244" s="11">
        <f>VLOOKUP(A244,import!A:J,6,0)</f>
        <v>11</v>
      </c>
      <c r="G244" s="11">
        <f>VLOOKUP(A244,import!A:J,7,0)</f>
        <v>0</v>
      </c>
      <c r="H244" s="11">
        <f>VLOOKUP(A244,import!A:J,8,0)</f>
        <v>11</v>
      </c>
      <c r="I244" s="11">
        <f>VLOOKUP(A244,import!A:J,9,0)</f>
        <v>11</v>
      </c>
      <c r="J244" s="12">
        <f>VLOOKUP(A244,import!A:J,10,0)</f>
        <v>0</v>
      </c>
      <c r="K244" s="11" t="s">
        <v>1256</v>
      </c>
      <c r="L244" s="11">
        <v>5.528672438E9</v>
      </c>
      <c r="M244" s="11" t="s">
        <v>71</v>
      </c>
      <c r="N244" s="11" t="s">
        <v>250</v>
      </c>
      <c r="O244" s="11" t="s">
        <v>1257</v>
      </c>
      <c r="P244" s="11" t="s">
        <v>666</v>
      </c>
      <c r="Q244" s="13"/>
      <c r="R244" s="13" t="b">
        <v>1</v>
      </c>
      <c r="S244" s="13" t="b">
        <v>0</v>
      </c>
      <c r="T244" s="14" t="s">
        <v>145</v>
      </c>
      <c r="U244" s="14" t="s">
        <v>75</v>
      </c>
      <c r="V244" s="30" t="s">
        <v>76</v>
      </c>
      <c r="W244" s="14" t="s">
        <v>1258</v>
      </c>
      <c r="X244" s="24">
        <v>44624.0</v>
      </c>
      <c r="Y244" s="24">
        <v>44627.0</v>
      </c>
      <c r="Z244" s="18"/>
      <c r="AA244" s="19" t="s">
        <v>54</v>
      </c>
      <c r="AB244" s="24">
        <v>44624.0</v>
      </c>
      <c r="AC244" s="19"/>
      <c r="AD244" s="20"/>
      <c r="AE244" s="21"/>
      <c r="AF244" s="18"/>
      <c r="AG244" s="21"/>
      <c r="AH244" s="18"/>
      <c r="AI244" s="18"/>
      <c r="AJ244" s="18"/>
      <c r="AK244" s="19" t="s">
        <v>75</v>
      </c>
      <c r="AL244" s="19"/>
      <c r="AM244" s="18"/>
      <c r="AN244" s="18"/>
      <c r="AO244" s="18"/>
      <c r="AP244" s="22" t="s">
        <v>56</v>
      </c>
      <c r="AQ244" s="18"/>
    </row>
    <row r="245">
      <c r="A245" s="22" t="s">
        <v>1259</v>
      </c>
      <c r="B245" s="22" t="s">
        <v>1260</v>
      </c>
      <c r="C245" s="11" t="str">
        <f>VLOOKUP(A245,import!A:C,3,0)</f>
        <v>DOĞRU</v>
      </c>
      <c r="D245" s="22" t="s">
        <v>100</v>
      </c>
      <c r="E245" s="11">
        <f>VLOOKUP(A245,import!A:J,5,0)</f>
        <v>12</v>
      </c>
      <c r="F245" s="11">
        <f>VLOOKUP(A245,import!A:J,6,0)</f>
        <v>12</v>
      </c>
      <c r="G245" s="11">
        <f>VLOOKUP(A245,import!A:J,7,0)</f>
        <v>0</v>
      </c>
      <c r="H245" s="11">
        <f>VLOOKUP(A245,import!A:J,8,0)</f>
        <v>11</v>
      </c>
      <c r="I245" s="11">
        <f>VLOOKUP(A245,import!A:J,9,0)</f>
        <v>11</v>
      </c>
      <c r="J245" s="12">
        <f>VLOOKUP(A245,import!A:J,10,0)</f>
        <v>0</v>
      </c>
      <c r="K245" s="22" t="s">
        <v>1261</v>
      </c>
      <c r="L245" s="22">
        <v>5.394363923E9</v>
      </c>
      <c r="M245" s="22" t="s">
        <v>61</v>
      </c>
      <c r="N245" s="22" t="s">
        <v>62</v>
      </c>
      <c r="O245" s="22" t="s">
        <v>1262</v>
      </c>
      <c r="P245" s="11" t="str">
        <f>VLOOKUP(A245,import!A:P,16,0)</f>
        <v>Geleneksel</v>
      </c>
      <c r="Q245" s="13"/>
      <c r="R245" s="13" t="b">
        <v>0</v>
      </c>
      <c r="S245" s="13" t="b">
        <v>0</v>
      </c>
      <c r="T245" s="14"/>
      <c r="U245" s="14"/>
      <c r="V245" s="14"/>
      <c r="W245" s="14"/>
      <c r="X245" s="24"/>
      <c r="Y245" s="24"/>
      <c r="Z245" s="18"/>
      <c r="AA245" s="19"/>
      <c r="AB245" s="20"/>
      <c r="AC245" s="19"/>
      <c r="AD245" s="20"/>
      <c r="AE245" s="19"/>
      <c r="AF245" s="20"/>
      <c r="AG245" s="21"/>
      <c r="AH245" s="18"/>
      <c r="AI245" s="18"/>
      <c r="AJ245" s="18"/>
      <c r="AK245" s="19"/>
      <c r="AL245" s="19"/>
      <c r="AM245" s="19"/>
      <c r="AN245" s="18"/>
      <c r="AO245" s="18"/>
      <c r="AP245" s="22"/>
      <c r="AQ245" s="18"/>
    </row>
    <row r="246">
      <c r="A246" s="11" t="s">
        <v>1263</v>
      </c>
      <c r="B246" s="11" t="s">
        <v>1264</v>
      </c>
      <c r="C246" s="11" t="str">
        <f>VLOOKUP(A246,import!A:C,3,0)</f>
        <v>DOĞRU</v>
      </c>
      <c r="D246" s="11" t="s">
        <v>100</v>
      </c>
      <c r="E246" s="11">
        <f>VLOOKUP(A246,import!A:J,5,0)</f>
        <v>17</v>
      </c>
      <c r="F246" s="11">
        <f>VLOOKUP(A246,import!A:J,6,0)</f>
        <v>10</v>
      </c>
      <c r="G246" s="11">
        <f>VLOOKUP(A246,import!A:J,7,0)</f>
        <v>0</v>
      </c>
      <c r="H246" s="11">
        <f>VLOOKUP(A246,import!A:J,8,0)</f>
        <v>17</v>
      </c>
      <c r="I246" s="11">
        <f>VLOOKUP(A246,import!A:J,9,0)</f>
        <v>17</v>
      </c>
      <c r="J246" s="12">
        <f>VLOOKUP(A246,import!A:J,10,0)</f>
        <v>0</v>
      </c>
      <c r="K246" s="11" t="s">
        <v>1265</v>
      </c>
      <c r="L246" s="11">
        <v>8.503463846E9</v>
      </c>
      <c r="M246" s="11" t="s">
        <v>71</v>
      </c>
      <c r="N246" s="11" t="s">
        <v>543</v>
      </c>
      <c r="O246" s="11" t="s">
        <v>1266</v>
      </c>
      <c r="P246" s="11" t="str">
        <f>VLOOKUP(A246,import!A:P,16,0)</f>
        <v>Geleneksel</v>
      </c>
      <c r="Q246" s="13"/>
      <c r="R246" s="13" t="b">
        <v>0</v>
      </c>
      <c r="S246" s="13" t="b">
        <v>0</v>
      </c>
      <c r="T246" s="14" t="s">
        <v>145</v>
      </c>
      <c r="U246" s="14"/>
      <c r="V246" s="14"/>
      <c r="W246" s="14"/>
      <c r="X246" s="24"/>
      <c r="Y246" s="24"/>
      <c r="Z246" s="18"/>
      <c r="AA246" s="19"/>
      <c r="AB246" s="20"/>
      <c r="AC246" s="19"/>
      <c r="AD246" s="20"/>
      <c r="AE246" s="19"/>
      <c r="AF246" s="20"/>
      <c r="AG246" s="21"/>
      <c r="AH246" s="18"/>
      <c r="AI246" s="18"/>
      <c r="AJ246" s="18"/>
      <c r="AK246" s="19"/>
      <c r="AL246" s="19"/>
      <c r="AM246" s="19"/>
      <c r="AN246" s="18"/>
      <c r="AO246" s="18"/>
      <c r="AP246" s="22"/>
      <c r="AQ246" s="18"/>
    </row>
    <row r="247">
      <c r="A247" s="11" t="s">
        <v>1267</v>
      </c>
      <c r="B247" s="11" t="s">
        <v>1268</v>
      </c>
      <c r="C247" s="11" t="str">
        <f>VLOOKUP(A247,import!A:C,3,0)</f>
        <v>DOĞRU</v>
      </c>
      <c r="D247" s="11" t="s">
        <v>453</v>
      </c>
      <c r="E247" s="11">
        <f>VLOOKUP(A247,import!A:J,5,0)</f>
        <v>176</v>
      </c>
      <c r="F247" s="11" t="str">
        <f>VLOOKUP(A247,import!A:J,6,0)</f>
        <v/>
      </c>
      <c r="G247" s="11">
        <f>VLOOKUP(A247,import!A:J,7,0)</f>
        <v>0</v>
      </c>
      <c r="H247" s="11">
        <f>VLOOKUP(A247,import!A:J,8,0)</f>
        <v>21</v>
      </c>
      <c r="I247" s="11">
        <f>VLOOKUP(A247,import!A:J,9,0)</f>
        <v>21</v>
      </c>
      <c r="J247" s="12">
        <f>VLOOKUP(A247,import!A:J,10,0)</f>
        <v>0</v>
      </c>
      <c r="K247" s="11" t="s">
        <v>1269</v>
      </c>
      <c r="L247" s="11">
        <v>3.522201507E9</v>
      </c>
      <c r="M247" s="11" t="s">
        <v>47</v>
      </c>
      <c r="N247" s="11" t="s">
        <v>125</v>
      </c>
      <c r="O247" s="11" t="s">
        <v>1270</v>
      </c>
      <c r="P247" s="11" t="str">
        <f>VLOOKUP(A247,import!A:P,16,0)</f>
        <v>Geleneksel</v>
      </c>
      <c r="Q247" s="13"/>
      <c r="R247" s="13" t="b">
        <v>1</v>
      </c>
      <c r="S247" s="13" t="b">
        <v>0</v>
      </c>
      <c r="T247" s="14" t="s">
        <v>133</v>
      </c>
      <c r="U247" s="14"/>
      <c r="V247" s="14"/>
      <c r="W247" s="14" t="s">
        <v>1271</v>
      </c>
      <c r="X247" s="24"/>
      <c r="Y247" s="24"/>
      <c r="Z247" s="18"/>
      <c r="AA247" s="19" t="s">
        <v>54</v>
      </c>
      <c r="AB247" s="20">
        <v>44587.0</v>
      </c>
      <c r="AC247" s="19" t="s">
        <v>347</v>
      </c>
      <c r="AD247" s="20">
        <v>44601.0</v>
      </c>
      <c r="AE247" s="19" t="s">
        <v>347</v>
      </c>
      <c r="AF247" s="20">
        <v>44602.0</v>
      </c>
      <c r="AG247" s="19" t="s">
        <v>78</v>
      </c>
      <c r="AH247" s="20">
        <v>44631.0</v>
      </c>
      <c r="AI247" s="19" t="s">
        <v>53</v>
      </c>
      <c r="AJ247" s="20">
        <v>44643.0</v>
      </c>
      <c r="AK247" s="19" t="s">
        <v>86</v>
      </c>
      <c r="AL247" s="19" t="s">
        <v>110</v>
      </c>
      <c r="AM247" s="19" t="s">
        <v>110</v>
      </c>
      <c r="AN247" s="19" t="s">
        <v>127</v>
      </c>
      <c r="AO247" s="41" t="s">
        <v>75</v>
      </c>
      <c r="AP247" s="22" t="s">
        <v>56</v>
      </c>
      <c r="AQ247" s="18"/>
    </row>
    <row r="248">
      <c r="A248" s="11" t="s">
        <v>1272</v>
      </c>
      <c r="B248" s="11" t="s">
        <v>1273</v>
      </c>
      <c r="C248" s="11" t="str">
        <f>VLOOKUP(A248,import!A:C,3,0)</f>
        <v>DOĞRU</v>
      </c>
      <c r="D248" s="11" t="s">
        <v>45</v>
      </c>
      <c r="E248" s="11">
        <f>VLOOKUP(A248,import!A:J,5,0)</f>
        <v>2760</v>
      </c>
      <c r="F248" s="11">
        <f>VLOOKUP(A248,import!A:J,6,0)</f>
        <v>38</v>
      </c>
      <c r="G248" s="11">
        <f>VLOOKUP(A248,import!A:J,7,0)</f>
        <v>16</v>
      </c>
      <c r="H248" s="11">
        <f>VLOOKUP(A248,import!A:J,8,0)</f>
        <v>9</v>
      </c>
      <c r="I248" s="11">
        <f>VLOOKUP(A248,import!A:J,9,0)</f>
        <v>25</v>
      </c>
      <c r="J248" s="12">
        <f>VLOOKUP(A248,import!A:J,10,0)</f>
        <v>0.64</v>
      </c>
      <c r="K248" s="11" t="s">
        <v>1274</v>
      </c>
      <c r="L248" s="11">
        <v>5.495485111E9</v>
      </c>
      <c r="M248" s="11" t="s">
        <v>61</v>
      </c>
      <c r="N248" s="11" t="s">
        <v>250</v>
      </c>
      <c r="O248" s="11" t="s">
        <v>1275</v>
      </c>
      <c r="P248" s="11" t="str">
        <f>VLOOKUP(A248,import!A:P,16,0)</f>
        <v>Geleneksel</v>
      </c>
      <c r="Q248" s="13"/>
      <c r="R248" s="13" t="b">
        <v>1</v>
      </c>
      <c r="S248" s="13" t="b">
        <v>0</v>
      </c>
      <c r="T248" s="14" t="s">
        <v>74</v>
      </c>
      <c r="U248" s="14" t="s">
        <v>75</v>
      </c>
      <c r="V248" s="39" t="s">
        <v>76</v>
      </c>
      <c r="W248" s="14" t="s">
        <v>1276</v>
      </c>
      <c r="X248" s="24">
        <v>44642.0</v>
      </c>
      <c r="Y248" s="24">
        <v>44643.0</v>
      </c>
      <c r="Z248" s="19" t="s">
        <v>711</v>
      </c>
      <c r="AA248" s="19" t="s">
        <v>54</v>
      </c>
      <c r="AB248" s="20">
        <v>44361.0</v>
      </c>
      <c r="AC248" s="19" t="s">
        <v>78</v>
      </c>
      <c r="AD248" s="20">
        <v>44377.0</v>
      </c>
      <c r="AE248" s="19" t="s">
        <v>54</v>
      </c>
      <c r="AF248" s="24">
        <v>44642.0</v>
      </c>
      <c r="AG248" s="21"/>
      <c r="AH248" s="18"/>
      <c r="AI248" s="18"/>
      <c r="AJ248" s="18"/>
      <c r="AK248" s="19" t="s">
        <v>55</v>
      </c>
      <c r="AL248" s="19" t="s">
        <v>79</v>
      </c>
      <c r="AM248" s="19" t="s">
        <v>75</v>
      </c>
      <c r="AN248" s="18"/>
      <c r="AO248" s="18"/>
      <c r="AP248" s="22" t="s">
        <v>56</v>
      </c>
      <c r="AQ248" s="18"/>
    </row>
    <row r="249">
      <c r="A249" s="11" t="s">
        <v>1277</v>
      </c>
      <c r="B249" s="11" t="s">
        <v>1278</v>
      </c>
      <c r="C249" s="11" t="str">
        <f>VLOOKUP(A249,import!A:C,3,0)</f>
        <v>DOĞRU</v>
      </c>
      <c r="D249" s="11" t="s">
        <v>406</v>
      </c>
      <c r="E249" s="11">
        <f>VLOOKUP(A249,import!A:J,5,0)</f>
        <v>2053</v>
      </c>
      <c r="F249" s="11">
        <f>VLOOKUP(A249,import!A:J,6,0)</f>
        <v>48</v>
      </c>
      <c r="G249" s="11">
        <f>VLOOKUP(A249,import!A:J,7,0)</f>
        <v>0</v>
      </c>
      <c r="H249" s="11">
        <f>VLOOKUP(A249,import!A:J,8,0)</f>
        <v>27</v>
      </c>
      <c r="I249" s="11">
        <f>VLOOKUP(A249,import!A:J,9,0)</f>
        <v>27</v>
      </c>
      <c r="J249" s="12">
        <f>VLOOKUP(A249,import!A:J,10,0)</f>
        <v>0</v>
      </c>
      <c r="K249" s="11" t="s">
        <v>1279</v>
      </c>
      <c r="L249" s="11">
        <v>3.525031737E9</v>
      </c>
      <c r="M249" s="11" t="s">
        <v>61</v>
      </c>
      <c r="N249" s="11" t="s">
        <v>62</v>
      </c>
      <c r="O249" s="11" t="s">
        <v>1280</v>
      </c>
      <c r="P249" s="11" t="str">
        <f>VLOOKUP(A249,import!A:P,16,0)</f>
        <v>Geleneksel</v>
      </c>
      <c r="Q249" s="13"/>
      <c r="R249" s="13" t="b">
        <v>1</v>
      </c>
      <c r="S249" s="13" t="b">
        <v>0</v>
      </c>
      <c r="T249" s="14" t="s">
        <v>133</v>
      </c>
      <c r="U249" s="14"/>
      <c r="V249" s="14"/>
      <c r="W249" s="14" t="s">
        <v>1281</v>
      </c>
      <c r="X249" s="24"/>
      <c r="Y249" s="24"/>
      <c r="Z249" s="18"/>
      <c r="AA249" s="19" t="s">
        <v>347</v>
      </c>
      <c r="AB249" s="20">
        <v>44579.0</v>
      </c>
      <c r="AC249" s="19" t="s">
        <v>78</v>
      </c>
      <c r="AD249" s="20">
        <v>44595.0</v>
      </c>
      <c r="AE249" s="21"/>
      <c r="AF249" s="18"/>
      <c r="AG249" s="21"/>
      <c r="AH249" s="18"/>
      <c r="AI249" s="18"/>
      <c r="AJ249" s="18"/>
      <c r="AK249" s="19" t="s">
        <v>95</v>
      </c>
      <c r="AL249" s="19" t="s">
        <v>127</v>
      </c>
      <c r="AM249" s="18"/>
      <c r="AN249" s="18"/>
      <c r="AO249" s="18"/>
      <c r="AP249" s="22" t="s">
        <v>56</v>
      </c>
      <c r="AQ249" s="18"/>
    </row>
    <row r="250">
      <c r="A250" s="11" t="s">
        <v>1282</v>
      </c>
      <c r="B250" s="11" t="s">
        <v>1283</v>
      </c>
      <c r="C250" s="11" t="str">
        <f>VLOOKUP(A250,import!A:C,3,0)</f>
        <v>DOĞRU</v>
      </c>
      <c r="D250" s="11" t="s">
        <v>100</v>
      </c>
      <c r="E250" s="11">
        <f>VLOOKUP(A250,import!A:J,5,0)</f>
        <v>306</v>
      </c>
      <c r="F250" s="11">
        <f>VLOOKUP(A250,import!A:J,6,0)</f>
        <v>10</v>
      </c>
      <c r="G250" s="11">
        <f>VLOOKUP(A250,import!A:J,7,0)</f>
        <v>7</v>
      </c>
      <c r="H250" s="11">
        <f>VLOOKUP(A250,import!A:J,8,0)</f>
        <v>23</v>
      </c>
      <c r="I250" s="11">
        <f>VLOOKUP(A250,import!A:J,9,0)</f>
        <v>30</v>
      </c>
      <c r="J250" s="12">
        <f>VLOOKUP(A250,import!A:J,10,0)</f>
        <v>0.23</v>
      </c>
      <c r="K250" s="11" t="s">
        <v>1284</v>
      </c>
      <c r="L250" s="11">
        <v>5.333807802E9</v>
      </c>
      <c r="M250" s="11" t="s">
        <v>61</v>
      </c>
      <c r="N250" s="11" t="s">
        <v>62</v>
      </c>
      <c r="O250" s="11" t="s">
        <v>1285</v>
      </c>
      <c r="P250" s="11" t="str">
        <f>VLOOKUP(A250,import!A:P,16,0)</f>
        <v>Geleneksel</v>
      </c>
      <c r="Q250" s="13"/>
      <c r="R250" s="13" t="b">
        <v>1</v>
      </c>
      <c r="S250" s="13" t="b">
        <v>0</v>
      </c>
      <c r="T250" s="14" t="s">
        <v>74</v>
      </c>
      <c r="U250" s="14" t="s">
        <v>95</v>
      </c>
      <c r="V250" s="31" t="s">
        <v>121</v>
      </c>
      <c r="W250" s="14" t="s">
        <v>1286</v>
      </c>
      <c r="X250" s="24">
        <v>44579.0</v>
      </c>
      <c r="Y250" s="24">
        <v>44579.0</v>
      </c>
      <c r="Z250" s="18"/>
      <c r="AA250" s="19" t="s">
        <v>54</v>
      </c>
      <c r="AB250" s="20">
        <v>44579.0</v>
      </c>
      <c r="AC250" s="19"/>
      <c r="AD250" s="20"/>
      <c r="AE250" s="21"/>
      <c r="AF250" s="18"/>
      <c r="AG250" s="21"/>
      <c r="AH250" s="18"/>
      <c r="AI250" s="18"/>
      <c r="AJ250" s="18"/>
      <c r="AK250" s="19" t="s">
        <v>95</v>
      </c>
      <c r="AL250" s="19"/>
      <c r="AM250" s="18"/>
      <c r="AN250" s="18"/>
      <c r="AO250" s="18"/>
      <c r="AP250" s="22"/>
      <c r="AQ250" s="18"/>
    </row>
    <row r="251">
      <c r="A251" s="11" t="s">
        <v>1287</v>
      </c>
      <c r="B251" s="11" t="s">
        <v>1288</v>
      </c>
      <c r="C251" s="11" t="str">
        <f>VLOOKUP(A251,import!A:C,3,0)</f>
        <v>DOĞRU</v>
      </c>
      <c r="D251" s="11" t="s">
        <v>45</v>
      </c>
      <c r="E251" s="11">
        <f>VLOOKUP(A251,import!A:J,5,0)</f>
        <v>6947</v>
      </c>
      <c r="F251" s="11">
        <f>VLOOKUP(A251,import!A:J,6,0)</f>
        <v>123</v>
      </c>
      <c r="G251" s="11">
        <f>VLOOKUP(A251,import!A:J,7,0)</f>
        <v>0</v>
      </c>
      <c r="H251" s="11">
        <f>VLOOKUP(A251,import!A:J,8,0)</f>
        <v>33</v>
      </c>
      <c r="I251" s="11">
        <f>VLOOKUP(A251,import!A:J,9,0)</f>
        <v>33</v>
      </c>
      <c r="J251" s="12">
        <f>VLOOKUP(A251,import!A:J,10,0)</f>
        <v>0</v>
      </c>
      <c r="K251" s="11" t="s">
        <v>1289</v>
      </c>
      <c r="L251" s="11">
        <v>5.553877078E9</v>
      </c>
      <c r="M251" s="11" t="s">
        <v>61</v>
      </c>
      <c r="N251" s="11" t="s">
        <v>62</v>
      </c>
      <c r="O251" s="11" t="s">
        <v>1290</v>
      </c>
      <c r="P251" s="11" t="str">
        <f>VLOOKUP(A251,import!A:P,16,0)</f>
        <v>Geleneksel</v>
      </c>
      <c r="Q251" s="13"/>
      <c r="R251" s="13" t="b">
        <v>1</v>
      </c>
      <c r="S251" s="13" t="b">
        <v>0</v>
      </c>
      <c r="T251" s="14" t="s">
        <v>74</v>
      </c>
      <c r="U251" s="14" t="s">
        <v>80</v>
      </c>
      <c r="V251" s="14"/>
      <c r="W251" s="16"/>
      <c r="X251" s="24">
        <v>44666.0</v>
      </c>
      <c r="Y251" s="24">
        <v>44675.0</v>
      </c>
      <c r="Z251" s="18"/>
      <c r="AA251" s="19" t="s">
        <v>54</v>
      </c>
      <c r="AB251" s="20">
        <v>44579.0</v>
      </c>
      <c r="AC251" s="19" t="s">
        <v>54</v>
      </c>
      <c r="AD251" s="20">
        <v>44666.0</v>
      </c>
      <c r="AE251" s="21"/>
      <c r="AF251" s="18"/>
      <c r="AG251" s="21"/>
      <c r="AH251" s="18"/>
      <c r="AI251" s="18"/>
      <c r="AJ251" s="18"/>
      <c r="AK251" s="19" t="s">
        <v>86</v>
      </c>
      <c r="AL251" s="19" t="s">
        <v>80</v>
      </c>
      <c r="AM251" s="18"/>
      <c r="AN251" s="18"/>
      <c r="AO251" s="18"/>
      <c r="AP251" s="22" t="s">
        <v>56</v>
      </c>
      <c r="AQ251" s="18"/>
    </row>
    <row r="252">
      <c r="A252" s="11" t="s">
        <v>1291</v>
      </c>
      <c r="B252" s="11" t="s">
        <v>1292</v>
      </c>
      <c r="C252" s="11" t="str">
        <f>VLOOKUP(A252,import!A:C,3,0)</f>
        <v>DOĞRU</v>
      </c>
      <c r="D252" s="11" t="s">
        <v>45</v>
      </c>
      <c r="E252" s="11">
        <f>VLOOKUP(A252,import!A:J,5,0)</f>
        <v>155</v>
      </c>
      <c r="F252" s="11" t="str">
        <f>VLOOKUP(A252,import!A:J,6,0)</f>
        <v/>
      </c>
      <c r="G252" s="11">
        <f>VLOOKUP(A252,import!A:J,7,0)</f>
        <v>8</v>
      </c>
      <c r="H252" s="11">
        <f>VLOOKUP(A252,import!A:J,8,0)</f>
        <v>17</v>
      </c>
      <c r="I252" s="11">
        <f>VLOOKUP(A252,import!A:J,9,0)</f>
        <v>25</v>
      </c>
      <c r="J252" s="12">
        <f>VLOOKUP(A252,import!A:J,10,0)</f>
        <v>0.32</v>
      </c>
      <c r="K252" s="11" t="s">
        <v>1293</v>
      </c>
      <c r="L252" s="11">
        <v>3.524380747E9</v>
      </c>
      <c r="M252" s="11" t="s">
        <v>61</v>
      </c>
      <c r="N252" s="11" t="s">
        <v>62</v>
      </c>
      <c r="O252" s="11" t="s">
        <v>1294</v>
      </c>
      <c r="P252" s="11" t="str">
        <f>VLOOKUP(A252,import!A:P,16,0)</f>
        <v>Geleneksel</v>
      </c>
      <c r="Q252" s="13"/>
      <c r="R252" s="13" t="b">
        <v>1</v>
      </c>
      <c r="S252" s="13" t="b">
        <v>0</v>
      </c>
      <c r="T252" s="14" t="s">
        <v>74</v>
      </c>
      <c r="U252" s="14" t="s">
        <v>381</v>
      </c>
      <c r="V252" s="39" t="s">
        <v>121</v>
      </c>
      <c r="W252" s="14" t="s">
        <v>1295</v>
      </c>
      <c r="X252" s="24">
        <v>44578.0</v>
      </c>
      <c r="Y252" s="24">
        <v>44579.0</v>
      </c>
      <c r="Z252" s="18"/>
      <c r="AA252" s="19" t="s">
        <v>54</v>
      </c>
      <c r="AB252" s="20">
        <v>44578.0</v>
      </c>
      <c r="AC252" s="19"/>
      <c r="AD252" s="20"/>
      <c r="AE252" s="21"/>
      <c r="AF252" s="18"/>
      <c r="AG252" s="21"/>
      <c r="AH252" s="18"/>
      <c r="AI252" s="18"/>
      <c r="AJ252" s="18"/>
      <c r="AK252" s="19" t="s">
        <v>381</v>
      </c>
      <c r="AL252" s="19"/>
      <c r="AM252" s="18"/>
      <c r="AN252" s="18"/>
      <c r="AO252" s="18"/>
      <c r="AP252" s="22"/>
      <c r="AQ252" s="18"/>
    </row>
    <row r="253">
      <c r="A253" s="11" t="s">
        <v>1296</v>
      </c>
      <c r="B253" s="11" t="s">
        <v>1297</v>
      </c>
      <c r="C253" s="11" t="str">
        <f>VLOOKUP(A253,import!A:C,3,0)</f>
        <v>DOĞRU</v>
      </c>
      <c r="D253" s="11" t="s">
        <v>165</v>
      </c>
      <c r="E253" s="11">
        <f>VLOOKUP(A253,import!A:J,5,0)</f>
        <v>7273</v>
      </c>
      <c r="F253" s="11">
        <f>VLOOKUP(A253,import!A:J,6,0)</f>
        <v>372</v>
      </c>
      <c r="G253" s="11">
        <f>VLOOKUP(A253,import!A:J,7,0)</f>
        <v>0</v>
      </c>
      <c r="H253" s="11">
        <f>VLOOKUP(A253,import!A:J,8,0)</f>
        <v>27</v>
      </c>
      <c r="I253" s="11">
        <f>VLOOKUP(A253,import!A:J,9,0)</f>
        <v>27</v>
      </c>
      <c r="J253" s="12">
        <f>VLOOKUP(A253,import!A:J,10,0)</f>
        <v>0</v>
      </c>
      <c r="K253" s="11" t="s">
        <v>1298</v>
      </c>
      <c r="L253" s="11">
        <v>3.524311818E9</v>
      </c>
      <c r="M253" s="11" t="s">
        <v>61</v>
      </c>
      <c r="N253" s="11" t="s">
        <v>62</v>
      </c>
      <c r="O253" s="11" t="s">
        <v>1299</v>
      </c>
      <c r="P253" s="11" t="str">
        <f>VLOOKUP(A253,import!A:P,16,0)</f>
        <v>Geleneksel</v>
      </c>
      <c r="Q253" s="13"/>
      <c r="R253" s="13" t="b">
        <v>1</v>
      </c>
      <c r="S253" s="13" t="b">
        <v>0</v>
      </c>
      <c r="T253" s="14" t="s">
        <v>133</v>
      </c>
      <c r="U253" s="14"/>
      <c r="V253" s="14"/>
      <c r="W253" s="14" t="s">
        <v>1300</v>
      </c>
      <c r="X253" s="24"/>
      <c r="Y253" s="24"/>
      <c r="Z253" s="18"/>
      <c r="AA253" s="19" t="s">
        <v>54</v>
      </c>
      <c r="AB253" s="20">
        <v>44361.0</v>
      </c>
      <c r="AC253" s="19" t="s">
        <v>78</v>
      </c>
      <c r="AD253" s="20">
        <v>44595.0</v>
      </c>
      <c r="AE253" s="19" t="s">
        <v>347</v>
      </c>
      <c r="AF253" s="20">
        <v>44666.0</v>
      </c>
      <c r="AG253" s="21"/>
      <c r="AH253" s="18"/>
      <c r="AI253" s="18"/>
      <c r="AJ253" s="18"/>
      <c r="AK253" s="19" t="s">
        <v>88</v>
      </c>
      <c r="AL253" s="19" t="s">
        <v>127</v>
      </c>
      <c r="AM253" s="18"/>
      <c r="AN253" s="18"/>
      <c r="AO253" s="18"/>
      <c r="AP253" s="22" t="s">
        <v>56</v>
      </c>
      <c r="AQ253" s="18"/>
    </row>
    <row r="254">
      <c r="A254" s="11" t="s">
        <v>1301</v>
      </c>
      <c r="B254" s="11" t="s">
        <v>1302</v>
      </c>
      <c r="C254" s="11" t="str">
        <f>VLOOKUP(A254,import!A:C,3,0)</f>
        <v>DOĞRU</v>
      </c>
      <c r="D254" s="11" t="s">
        <v>165</v>
      </c>
      <c r="E254" s="11">
        <f>VLOOKUP(A254,import!A:J,5,0)</f>
        <v>3077</v>
      </c>
      <c r="F254" s="11">
        <f>VLOOKUP(A254,import!A:J,6,0)</f>
        <v>89</v>
      </c>
      <c r="G254" s="11">
        <f>VLOOKUP(A254,import!A:J,7,0)</f>
        <v>0</v>
      </c>
      <c r="H254" s="11">
        <f>VLOOKUP(A254,import!A:J,8,0)</f>
        <v>27</v>
      </c>
      <c r="I254" s="11">
        <f>VLOOKUP(A254,import!A:J,9,0)</f>
        <v>27</v>
      </c>
      <c r="J254" s="12">
        <f>VLOOKUP(A254,import!A:J,10,0)</f>
        <v>0</v>
      </c>
      <c r="K254" s="11" t="s">
        <v>1303</v>
      </c>
      <c r="L254" s="11">
        <v>3.524314249E9</v>
      </c>
      <c r="M254" s="11" t="s">
        <v>61</v>
      </c>
      <c r="N254" s="11" t="s">
        <v>62</v>
      </c>
      <c r="O254" s="11" t="s">
        <v>1304</v>
      </c>
      <c r="P254" s="11" t="str">
        <f>VLOOKUP(A254,import!A:P,16,0)</f>
        <v>Geleneksel</v>
      </c>
      <c r="Q254" s="13"/>
      <c r="R254" s="13" t="b">
        <v>1</v>
      </c>
      <c r="S254" s="13" t="b">
        <v>0</v>
      </c>
      <c r="T254" s="14"/>
      <c r="U254" s="14"/>
      <c r="V254" s="14"/>
      <c r="W254" s="14" t="s">
        <v>1305</v>
      </c>
      <c r="X254" s="24"/>
      <c r="Y254" s="24"/>
      <c r="Z254" s="18"/>
      <c r="AA254" s="19" t="s">
        <v>54</v>
      </c>
      <c r="AB254" s="20">
        <v>44579.0</v>
      </c>
      <c r="AC254" s="19" t="s">
        <v>78</v>
      </c>
      <c r="AD254" s="20">
        <v>44595.0</v>
      </c>
      <c r="AE254" s="19" t="s">
        <v>347</v>
      </c>
      <c r="AF254" s="20">
        <v>44622.0</v>
      </c>
      <c r="AG254" s="21"/>
      <c r="AH254" s="18"/>
      <c r="AI254" s="18"/>
      <c r="AJ254" s="18"/>
      <c r="AK254" s="19" t="s">
        <v>86</v>
      </c>
      <c r="AL254" s="19" t="s">
        <v>127</v>
      </c>
      <c r="AM254" s="19" t="s">
        <v>75</v>
      </c>
      <c r="AN254" s="18"/>
      <c r="AO254" s="18"/>
      <c r="AP254" s="22" t="s">
        <v>56</v>
      </c>
      <c r="AQ254" s="18"/>
    </row>
    <row r="255">
      <c r="A255" s="11" t="s">
        <v>1306</v>
      </c>
      <c r="B255" s="11" t="s">
        <v>1307</v>
      </c>
      <c r="C255" s="11" t="str">
        <f>VLOOKUP(A255,import!A:C,3,0)</f>
        <v>YANLIŞ</v>
      </c>
      <c r="D255" s="11" t="s">
        <v>91</v>
      </c>
      <c r="E255" s="11">
        <f>VLOOKUP(A255,import!A:J,5,0)</f>
        <v>1942</v>
      </c>
      <c r="F255" s="11" t="str">
        <f>VLOOKUP(A255,import!A:J,6,0)</f>
        <v/>
      </c>
      <c r="G255" s="11">
        <f>VLOOKUP(A255,import!A:J,7,0)</f>
        <v>24</v>
      </c>
      <c r="H255" s="11">
        <f>VLOOKUP(A255,import!A:J,8,0)</f>
        <v>14</v>
      </c>
      <c r="I255" s="11">
        <f>VLOOKUP(A255,import!A:J,9,0)</f>
        <v>38</v>
      </c>
      <c r="J255" s="12">
        <f>VLOOKUP(A255,import!A:J,10,0)</f>
        <v>0.63</v>
      </c>
      <c r="K255" s="11" t="s">
        <v>1308</v>
      </c>
      <c r="L255" s="11">
        <v>3.523331002E9</v>
      </c>
      <c r="M255" s="11" t="s">
        <v>47</v>
      </c>
      <c r="N255" s="11" t="s">
        <v>125</v>
      </c>
      <c r="O255" s="11" t="s">
        <v>1309</v>
      </c>
      <c r="P255" s="11" t="str">
        <f>VLOOKUP(A255,import!A:P,16,0)</f>
        <v>Geleneksel</v>
      </c>
      <c r="Q255" s="13"/>
      <c r="R255" s="13" t="b">
        <v>1</v>
      </c>
      <c r="S255" s="13" t="b">
        <v>0</v>
      </c>
      <c r="T255" s="14"/>
      <c r="U255" s="15"/>
      <c r="V255" s="15"/>
      <c r="W255" s="14" t="s">
        <v>1310</v>
      </c>
      <c r="X255" s="17"/>
      <c r="Y255" s="17"/>
      <c r="Z255" s="18"/>
      <c r="AA255" s="19" t="s">
        <v>54</v>
      </c>
      <c r="AB255" s="20">
        <v>44358.0</v>
      </c>
      <c r="AC255" s="18"/>
      <c r="AD255" s="18"/>
      <c r="AE255" s="21"/>
      <c r="AF255" s="18"/>
      <c r="AG255" s="21"/>
      <c r="AH255" s="18"/>
      <c r="AI255" s="18"/>
      <c r="AJ255" s="18"/>
      <c r="AK255" s="19" t="s">
        <v>55</v>
      </c>
      <c r="AL255" s="18"/>
      <c r="AM255" s="18"/>
      <c r="AN255" s="18"/>
      <c r="AO255" s="18"/>
      <c r="AP255" s="22" t="s">
        <v>56</v>
      </c>
      <c r="AQ255" s="18"/>
    </row>
    <row r="256">
      <c r="A256" s="22" t="s">
        <v>1311</v>
      </c>
      <c r="B256" s="22" t="s">
        <v>1312</v>
      </c>
      <c r="C256" s="11" t="str">
        <f>VLOOKUP(A256,import!A:C,3,0)</f>
        <v>DOĞRU</v>
      </c>
      <c r="D256" s="22" t="s">
        <v>172</v>
      </c>
      <c r="E256" s="11">
        <f>VLOOKUP(A256,import!A:J,5,0)</f>
        <v>20</v>
      </c>
      <c r="F256" s="11" t="str">
        <f>VLOOKUP(A256,import!A:J,6,0)</f>
        <v/>
      </c>
      <c r="G256" s="11">
        <f>VLOOKUP(A256,import!A:J,7,0)</f>
        <v>0</v>
      </c>
      <c r="H256" s="11">
        <f>VLOOKUP(A256,import!A:J,8,0)</f>
        <v>12</v>
      </c>
      <c r="I256" s="11">
        <f>VLOOKUP(A256,import!A:J,9,0)</f>
        <v>12</v>
      </c>
      <c r="J256" s="12">
        <f>VLOOKUP(A256,import!A:J,10,0)</f>
        <v>0</v>
      </c>
      <c r="K256" s="22" t="s">
        <v>1313</v>
      </c>
      <c r="L256" s="22">
        <v>3.524313333E9</v>
      </c>
      <c r="M256" s="22" t="s">
        <v>61</v>
      </c>
      <c r="N256" s="22" t="s">
        <v>62</v>
      </c>
      <c r="O256" s="22" t="s">
        <v>1314</v>
      </c>
      <c r="P256" s="11" t="str">
        <f>VLOOKUP(A256,import!A:P,16,0)</f>
        <v>Geleneksel</v>
      </c>
      <c r="Q256" s="13"/>
      <c r="R256" s="13" t="b">
        <v>1</v>
      </c>
      <c r="S256" s="13" t="b">
        <v>0</v>
      </c>
      <c r="T256" s="14" t="s">
        <v>74</v>
      </c>
      <c r="U256" s="14" t="s">
        <v>75</v>
      </c>
      <c r="V256" s="30" t="s">
        <v>76</v>
      </c>
      <c r="W256" s="14" t="s">
        <v>1315</v>
      </c>
      <c r="X256" s="24">
        <v>44679.0</v>
      </c>
      <c r="Y256" s="24">
        <v>44680.0</v>
      </c>
      <c r="Z256" s="18"/>
      <c r="AA256" s="19" t="s">
        <v>54</v>
      </c>
      <c r="AB256" s="24">
        <v>44679.0</v>
      </c>
      <c r="AC256" s="19"/>
      <c r="AD256" s="20"/>
      <c r="AE256" s="19"/>
      <c r="AF256" s="20"/>
      <c r="AG256" s="21"/>
      <c r="AH256" s="18"/>
      <c r="AI256" s="18"/>
      <c r="AJ256" s="18"/>
      <c r="AK256" s="19" t="s">
        <v>75</v>
      </c>
      <c r="AL256" s="19"/>
      <c r="AM256" s="19"/>
      <c r="AN256" s="18"/>
      <c r="AO256" s="18"/>
      <c r="AP256" s="22"/>
      <c r="AQ256" s="18"/>
    </row>
    <row r="257">
      <c r="A257" s="11" t="s">
        <v>1316</v>
      </c>
      <c r="B257" s="11" t="s">
        <v>1317</v>
      </c>
      <c r="C257" s="11" t="str">
        <f>VLOOKUP(A257,import!A:C,3,0)</f>
        <v>DOĞRU</v>
      </c>
      <c r="D257" s="11" t="s">
        <v>172</v>
      </c>
      <c r="E257" s="11">
        <f>VLOOKUP(A257,import!A:J,5,0)</f>
        <v>763</v>
      </c>
      <c r="F257" s="11" t="str">
        <f>VLOOKUP(A257,import!A:J,6,0)</f>
        <v/>
      </c>
      <c r="G257" s="11">
        <f>VLOOKUP(A257,import!A:J,7,0)</f>
        <v>4</v>
      </c>
      <c r="H257" s="11">
        <f>VLOOKUP(A257,import!A:J,8,0)</f>
        <v>8</v>
      </c>
      <c r="I257" s="11">
        <f>VLOOKUP(A257,import!A:J,9,0)</f>
        <v>12</v>
      </c>
      <c r="J257" s="12">
        <f>VLOOKUP(A257,import!A:J,10,0)</f>
        <v>0.33</v>
      </c>
      <c r="K257" s="11" t="s">
        <v>1318</v>
      </c>
      <c r="L257" s="11">
        <v>3.52332212E9</v>
      </c>
      <c r="M257" s="11" t="s">
        <v>47</v>
      </c>
      <c r="N257" s="11" t="s">
        <v>277</v>
      </c>
      <c r="O257" s="11" t="s">
        <v>1319</v>
      </c>
      <c r="P257" s="11" t="str">
        <f>VLOOKUP(A257,import!A:P,16,0)</f>
        <v>Geleneksel</v>
      </c>
      <c r="Q257" s="13"/>
      <c r="R257" s="13" t="b">
        <v>1</v>
      </c>
      <c r="S257" s="13" t="b">
        <v>0</v>
      </c>
      <c r="T257" s="14" t="s">
        <v>74</v>
      </c>
      <c r="U257" s="14" t="s">
        <v>110</v>
      </c>
      <c r="V257" s="23" t="s">
        <v>76</v>
      </c>
      <c r="W257" s="14"/>
      <c r="X257" s="24">
        <v>44599.0</v>
      </c>
      <c r="Y257" s="24">
        <v>44600.0</v>
      </c>
      <c r="Z257" s="18"/>
      <c r="AA257" s="19" t="s">
        <v>54</v>
      </c>
      <c r="AB257" s="20">
        <v>44599.0</v>
      </c>
      <c r="AC257" s="19"/>
      <c r="AD257" s="20"/>
      <c r="AE257" s="19"/>
      <c r="AF257" s="20"/>
      <c r="AG257" s="21"/>
      <c r="AH257" s="18"/>
      <c r="AI257" s="18"/>
      <c r="AJ257" s="18"/>
      <c r="AK257" s="19" t="s">
        <v>110</v>
      </c>
      <c r="AL257" s="19"/>
      <c r="AM257" s="19"/>
      <c r="AN257" s="18"/>
      <c r="AO257" s="18"/>
      <c r="AP257" s="22"/>
      <c r="AQ257" s="18"/>
    </row>
    <row r="258">
      <c r="A258" s="11" t="s">
        <v>1320</v>
      </c>
      <c r="B258" s="11" t="s">
        <v>1321</v>
      </c>
      <c r="C258" s="11" t="str">
        <f>VLOOKUP(A258,import!A:C,3,0)</f>
        <v>DOĞRU</v>
      </c>
      <c r="D258" s="11" t="s">
        <v>172</v>
      </c>
      <c r="E258" s="11">
        <f>VLOOKUP(A258,import!A:J,5,0)</f>
        <v>38</v>
      </c>
      <c r="F258" s="11" t="str">
        <f>VLOOKUP(A258,import!A:J,6,0)</f>
        <v/>
      </c>
      <c r="G258" s="11">
        <f>VLOOKUP(A258,import!A:J,7,0)</f>
        <v>0</v>
      </c>
      <c r="H258" s="11">
        <f>VLOOKUP(A258,import!A:J,8,0)</f>
        <v>34</v>
      </c>
      <c r="I258" s="11">
        <f>VLOOKUP(A258,import!A:J,9,0)</f>
        <v>34</v>
      </c>
      <c r="J258" s="12">
        <f>VLOOKUP(A258,import!A:J,10,0)</f>
        <v>0</v>
      </c>
      <c r="K258" s="11" t="s">
        <v>1322</v>
      </c>
      <c r="L258" s="11">
        <v>3.523209428E9</v>
      </c>
      <c r="M258" s="11" t="s">
        <v>47</v>
      </c>
      <c r="N258" s="11" t="s">
        <v>339</v>
      </c>
      <c r="O258" s="11" t="s">
        <v>1323</v>
      </c>
      <c r="P258" s="11" t="str">
        <f>VLOOKUP(A258,import!A:P,16,0)</f>
        <v>Geleneksel</v>
      </c>
      <c r="Q258" s="13"/>
      <c r="R258" s="13" t="b">
        <v>1</v>
      </c>
      <c r="S258" s="13" t="b">
        <v>0</v>
      </c>
      <c r="T258" s="14" t="s">
        <v>74</v>
      </c>
      <c r="U258" s="14" t="s">
        <v>75</v>
      </c>
      <c r="V258" s="30" t="s">
        <v>76</v>
      </c>
      <c r="W258" s="14"/>
      <c r="X258" s="24">
        <v>44634.0</v>
      </c>
      <c r="Y258" s="24">
        <v>44635.0</v>
      </c>
      <c r="Z258" s="18"/>
      <c r="AA258" s="19" t="s">
        <v>54</v>
      </c>
      <c r="AB258" s="24">
        <v>44634.0</v>
      </c>
      <c r="AC258" s="19"/>
      <c r="AD258" s="20"/>
      <c r="AE258" s="19"/>
      <c r="AF258" s="20"/>
      <c r="AG258" s="21"/>
      <c r="AH258" s="18"/>
      <c r="AI258" s="18"/>
      <c r="AJ258" s="18"/>
      <c r="AK258" s="19" t="s">
        <v>75</v>
      </c>
      <c r="AL258" s="19"/>
      <c r="AM258" s="19"/>
      <c r="AN258" s="18"/>
      <c r="AO258" s="18"/>
      <c r="AP258" s="22"/>
      <c r="AQ258" s="18"/>
    </row>
    <row r="259">
      <c r="A259" s="32" t="s">
        <v>1324</v>
      </c>
      <c r="B259" s="32" t="s">
        <v>1325</v>
      </c>
      <c r="C259" s="11" t="str">
        <f>VLOOKUP(A259,import!A:C,3,0)</f>
        <v>DOĞRU</v>
      </c>
      <c r="D259" s="32" t="s">
        <v>69</v>
      </c>
      <c r="E259" s="11">
        <f>VLOOKUP(A259,import!A:J,5,0)</f>
        <v>8</v>
      </c>
      <c r="F259" s="11">
        <f>VLOOKUP(A259,import!A:J,6,0)</f>
        <v>2</v>
      </c>
      <c r="G259" s="11">
        <f>VLOOKUP(A259,import!A:J,7,0)</f>
        <v>0</v>
      </c>
      <c r="H259" s="11">
        <f>VLOOKUP(A259,import!A:J,8,0)</f>
        <v>15</v>
      </c>
      <c r="I259" s="11">
        <f>VLOOKUP(A259,import!A:J,9,0)</f>
        <v>15</v>
      </c>
      <c r="J259" s="12">
        <f>VLOOKUP(A259,import!A:J,10,0)</f>
        <v>0</v>
      </c>
      <c r="K259" s="32" t="s">
        <v>1326</v>
      </c>
      <c r="L259" s="32">
        <v>5.432783838E9</v>
      </c>
      <c r="M259" s="32" t="s">
        <v>71</v>
      </c>
      <c r="N259" s="32" t="s">
        <v>102</v>
      </c>
      <c r="O259" s="32" t="s">
        <v>1327</v>
      </c>
      <c r="P259" s="11" t="str">
        <f>VLOOKUP(A259,import!A:P,16,0)</f>
        <v>Geleneksel</v>
      </c>
      <c r="Q259" s="13"/>
      <c r="R259" s="13" t="b">
        <v>1</v>
      </c>
      <c r="S259" s="13" t="b">
        <v>0</v>
      </c>
      <c r="T259" s="14" t="s">
        <v>50</v>
      </c>
      <c r="U259" s="14"/>
      <c r="V259" s="14"/>
      <c r="W259" s="14"/>
      <c r="X259" s="24"/>
      <c r="Y259" s="24"/>
      <c r="Z259" s="18"/>
      <c r="AA259" s="19"/>
      <c r="AB259" s="20"/>
      <c r="AC259" s="19"/>
      <c r="AD259" s="20"/>
      <c r="AE259" s="19"/>
      <c r="AF259" s="20"/>
      <c r="AG259" s="21"/>
      <c r="AH259" s="18"/>
      <c r="AI259" s="18"/>
      <c r="AJ259" s="18"/>
      <c r="AK259" s="19"/>
      <c r="AL259" s="19"/>
      <c r="AM259" s="19"/>
      <c r="AN259" s="18"/>
      <c r="AO259" s="18"/>
      <c r="AP259" s="22"/>
      <c r="AQ259" s="18"/>
    </row>
    <row r="260">
      <c r="A260" s="11" t="s">
        <v>1328</v>
      </c>
      <c r="B260" s="11" t="s">
        <v>1329</v>
      </c>
      <c r="C260" s="11" t="str">
        <f>VLOOKUP(A260,import!A:C,3,0)</f>
        <v>DOĞRU</v>
      </c>
      <c r="D260" s="11" t="s">
        <v>69</v>
      </c>
      <c r="E260" s="11">
        <f>VLOOKUP(A260,import!A:J,5,0)</f>
        <v>780</v>
      </c>
      <c r="F260" s="11">
        <f>VLOOKUP(A260,import!A:J,6,0)</f>
        <v>26</v>
      </c>
      <c r="G260" s="11">
        <f>VLOOKUP(A260,import!A:J,7,0)</f>
        <v>23</v>
      </c>
      <c r="H260" s="11">
        <f>VLOOKUP(A260,import!A:J,8,0)</f>
        <v>8</v>
      </c>
      <c r="I260" s="11">
        <f>VLOOKUP(A260,import!A:J,9,0)</f>
        <v>31</v>
      </c>
      <c r="J260" s="12">
        <f>VLOOKUP(A260,import!A:J,10,0)</f>
        <v>0.74</v>
      </c>
      <c r="K260" s="11" t="s">
        <v>1330</v>
      </c>
      <c r="L260" s="11">
        <v>5.466017778E9</v>
      </c>
      <c r="M260" s="11" t="s">
        <v>47</v>
      </c>
      <c r="N260" s="11" t="s">
        <v>47</v>
      </c>
      <c r="O260" s="11" t="s">
        <v>1331</v>
      </c>
      <c r="P260" s="11" t="str">
        <f>VLOOKUP(A260,import!A:P,16,0)</f>
        <v>Geleneksel</v>
      </c>
      <c r="Q260" s="13"/>
      <c r="R260" s="13" t="b">
        <v>1</v>
      </c>
      <c r="S260" s="13" t="b">
        <v>0</v>
      </c>
      <c r="T260" s="14" t="s">
        <v>74</v>
      </c>
      <c r="U260" s="14" t="s">
        <v>80</v>
      </c>
      <c r="V260" s="14"/>
      <c r="W260" s="14"/>
      <c r="X260" s="24">
        <v>44628.0</v>
      </c>
      <c r="Y260" s="24">
        <v>44629.0</v>
      </c>
      <c r="Z260" s="18"/>
      <c r="AA260" s="19" t="s">
        <v>54</v>
      </c>
      <c r="AB260" s="20">
        <v>44587.0</v>
      </c>
      <c r="AC260" s="19" t="s">
        <v>54</v>
      </c>
      <c r="AD260" s="20">
        <v>44628.0</v>
      </c>
      <c r="AE260" s="21"/>
      <c r="AF260" s="18"/>
      <c r="AG260" s="21"/>
      <c r="AH260" s="18"/>
      <c r="AI260" s="18"/>
      <c r="AJ260" s="18"/>
      <c r="AK260" s="19" t="s">
        <v>86</v>
      </c>
      <c r="AL260" s="19" t="s">
        <v>80</v>
      </c>
      <c r="AM260" s="18"/>
      <c r="AN260" s="18"/>
      <c r="AO260" s="18"/>
      <c r="AP260" s="22" t="s">
        <v>56</v>
      </c>
      <c r="AQ260" s="18"/>
    </row>
    <row r="261">
      <c r="A261" s="11" t="s">
        <v>1332</v>
      </c>
      <c r="B261" s="11" t="s">
        <v>1333</v>
      </c>
      <c r="C261" s="11" t="str">
        <f>VLOOKUP(A261,import!A:C,3,0)</f>
        <v>DOĞRU</v>
      </c>
      <c r="D261" s="11" t="s">
        <v>69</v>
      </c>
      <c r="E261" s="11">
        <f>VLOOKUP(A261,import!A:J,5,0)</f>
        <v>481</v>
      </c>
      <c r="F261" s="11">
        <f>VLOOKUP(A261,import!A:J,6,0)</f>
        <v>24</v>
      </c>
      <c r="G261" s="11">
        <f>VLOOKUP(A261,import!A:J,7,0)</f>
        <v>7</v>
      </c>
      <c r="H261" s="11">
        <f>VLOOKUP(A261,import!A:J,8,0)</f>
        <v>10</v>
      </c>
      <c r="I261" s="11">
        <f>VLOOKUP(A261,import!A:J,9,0)</f>
        <v>17</v>
      </c>
      <c r="J261" s="12">
        <f>VLOOKUP(A261,import!A:J,10,0)</f>
        <v>0.41</v>
      </c>
      <c r="K261" s="11" t="s">
        <v>1334</v>
      </c>
      <c r="L261" s="11">
        <v>5.411005838E9</v>
      </c>
      <c r="M261" s="11" t="s">
        <v>47</v>
      </c>
      <c r="N261" s="11" t="s">
        <v>271</v>
      </c>
      <c r="O261" s="11" t="s">
        <v>660</v>
      </c>
      <c r="P261" s="11" t="str">
        <f>VLOOKUP(A261,import!A:P,16,0)</f>
        <v>Geleneksel</v>
      </c>
      <c r="Q261" s="13"/>
      <c r="R261" s="13" t="b">
        <v>1</v>
      </c>
      <c r="S261" s="13" t="b">
        <v>0</v>
      </c>
      <c r="T261" s="14" t="s">
        <v>74</v>
      </c>
      <c r="U261" s="14" t="s">
        <v>110</v>
      </c>
      <c r="V261" s="23" t="s">
        <v>76</v>
      </c>
      <c r="W261" s="14" t="s">
        <v>1335</v>
      </c>
      <c r="X261" s="24">
        <v>44599.0</v>
      </c>
      <c r="Y261" s="24">
        <v>44600.0</v>
      </c>
      <c r="Z261" s="18"/>
      <c r="AA261" s="19" t="s">
        <v>54</v>
      </c>
      <c r="AB261" s="20">
        <v>44599.0</v>
      </c>
      <c r="AC261" s="18"/>
      <c r="AD261" s="18"/>
      <c r="AE261" s="21"/>
      <c r="AF261" s="18"/>
      <c r="AG261" s="21"/>
      <c r="AH261" s="18"/>
      <c r="AI261" s="18"/>
      <c r="AJ261" s="18"/>
      <c r="AK261" s="19" t="s">
        <v>110</v>
      </c>
      <c r="AL261" s="18"/>
      <c r="AM261" s="18"/>
      <c r="AN261" s="18"/>
      <c r="AO261" s="18"/>
      <c r="AP261" s="22" t="s">
        <v>56</v>
      </c>
      <c r="AQ261" s="18"/>
    </row>
    <row r="262">
      <c r="A262" s="11" t="s">
        <v>1336</v>
      </c>
      <c r="B262" s="11" t="s">
        <v>1337</v>
      </c>
      <c r="C262" s="11" t="str">
        <f>VLOOKUP(A262,import!A:C,3,0)</f>
        <v>DOĞRU</v>
      </c>
      <c r="D262" s="11" t="s">
        <v>91</v>
      </c>
      <c r="E262" s="11">
        <f>VLOOKUP(A262,import!A:J,5,0)</f>
        <v>347</v>
      </c>
      <c r="F262" s="11">
        <f>VLOOKUP(A262,import!A:J,6,0)</f>
        <v>66</v>
      </c>
      <c r="G262" s="11">
        <f>VLOOKUP(A262,import!A:J,7,0)</f>
        <v>10</v>
      </c>
      <c r="H262" s="11">
        <f>VLOOKUP(A262,import!A:J,8,0)</f>
        <v>6</v>
      </c>
      <c r="I262" s="11">
        <f>VLOOKUP(A262,import!A:J,9,0)</f>
        <v>16</v>
      </c>
      <c r="J262" s="12">
        <f>VLOOKUP(A262,import!A:J,10,0)</f>
        <v>0.63</v>
      </c>
      <c r="K262" s="11" t="s">
        <v>1338</v>
      </c>
      <c r="L262" s="11">
        <v>5.5184333E9</v>
      </c>
      <c r="M262" s="11" t="s">
        <v>61</v>
      </c>
      <c r="N262" s="11" t="s">
        <v>62</v>
      </c>
      <c r="O262" s="11" t="s">
        <v>1339</v>
      </c>
      <c r="P262" s="11" t="str">
        <f>VLOOKUP(A262,import!A:P,16,0)</f>
        <v>Geleneksel</v>
      </c>
      <c r="Q262" s="13"/>
      <c r="R262" s="13" t="b">
        <v>1</v>
      </c>
      <c r="S262" s="13" t="b">
        <v>0</v>
      </c>
      <c r="T262" s="14" t="s">
        <v>74</v>
      </c>
      <c r="U262" s="14" t="s">
        <v>140</v>
      </c>
      <c r="V262" s="30" t="s">
        <v>76</v>
      </c>
      <c r="W262" s="14" t="s">
        <v>1340</v>
      </c>
      <c r="X262" s="24">
        <v>44638.0</v>
      </c>
      <c r="Y262" s="24">
        <v>44641.0</v>
      </c>
      <c r="Z262" s="18"/>
      <c r="AA262" s="19" t="s">
        <v>54</v>
      </c>
      <c r="AB262" s="20">
        <v>44638.0</v>
      </c>
      <c r="AC262" s="19"/>
      <c r="AD262" s="20"/>
      <c r="AE262" s="19"/>
      <c r="AF262" s="20"/>
      <c r="AG262" s="21"/>
      <c r="AH262" s="18"/>
      <c r="AI262" s="18"/>
      <c r="AJ262" s="18"/>
      <c r="AK262" s="19" t="s">
        <v>140</v>
      </c>
      <c r="AL262" s="19"/>
      <c r="AM262" s="19"/>
      <c r="AN262" s="18"/>
      <c r="AO262" s="18"/>
      <c r="AP262" s="22"/>
      <c r="AQ262" s="18"/>
    </row>
    <row r="263">
      <c r="A263" s="11" t="s">
        <v>1341</v>
      </c>
      <c r="B263" s="11" t="s">
        <v>1342</v>
      </c>
      <c r="C263" s="11" t="str">
        <f>VLOOKUP(A263,import!A:C,3,0)</f>
        <v>YANLIŞ</v>
      </c>
      <c r="D263" s="11" t="s">
        <v>69</v>
      </c>
      <c r="E263" s="11">
        <f>VLOOKUP(A263,import!A:J,5,0)</f>
        <v>113</v>
      </c>
      <c r="F263" s="11" t="str">
        <f>VLOOKUP(A263,import!A:J,6,0)</f>
        <v/>
      </c>
      <c r="G263" s="11">
        <f>VLOOKUP(A263,import!A:J,7,0)</f>
        <v>15</v>
      </c>
      <c r="H263" s="11">
        <f>VLOOKUP(A263,import!A:J,8,0)</f>
        <v>41</v>
      </c>
      <c r="I263" s="11">
        <f>VLOOKUP(A263,import!A:J,9,0)</f>
        <v>56</v>
      </c>
      <c r="J263" s="12">
        <f>VLOOKUP(A263,import!A:J,10,0)</f>
        <v>0.27</v>
      </c>
      <c r="K263" s="11" t="s">
        <v>1343</v>
      </c>
      <c r="L263" s="11">
        <v>5.321622262E9</v>
      </c>
      <c r="M263" s="11" t="s">
        <v>47</v>
      </c>
      <c r="N263" s="11" t="s">
        <v>131</v>
      </c>
      <c r="O263" s="11" t="s">
        <v>1344</v>
      </c>
      <c r="P263" s="11" t="str">
        <f>VLOOKUP(A263,import!A:P,16,0)</f>
        <v>Geleneksel</v>
      </c>
      <c r="Q263" s="13"/>
      <c r="R263" s="13" t="b">
        <v>1</v>
      </c>
      <c r="S263" s="13" t="b">
        <v>0</v>
      </c>
      <c r="T263" s="14" t="s">
        <v>145</v>
      </c>
      <c r="U263" s="14" t="s">
        <v>181</v>
      </c>
      <c r="V263" s="15"/>
      <c r="W263" s="14" t="s">
        <v>1345</v>
      </c>
      <c r="X263" s="24">
        <v>44284.0</v>
      </c>
      <c r="Y263" s="24">
        <v>44285.0</v>
      </c>
      <c r="Z263" s="18"/>
      <c r="AA263" s="19" t="s">
        <v>54</v>
      </c>
      <c r="AB263" s="20">
        <v>44631.0</v>
      </c>
      <c r="AC263" s="18"/>
      <c r="AD263" s="18"/>
      <c r="AE263" s="21"/>
      <c r="AF263" s="18"/>
      <c r="AG263" s="21"/>
      <c r="AH263" s="18"/>
      <c r="AI263" s="18"/>
      <c r="AJ263" s="18"/>
      <c r="AK263" s="19" t="s">
        <v>127</v>
      </c>
      <c r="AL263" s="18"/>
      <c r="AM263" s="18"/>
      <c r="AN263" s="18"/>
      <c r="AO263" s="18"/>
      <c r="AP263" s="22" t="s">
        <v>56</v>
      </c>
      <c r="AQ263" s="18"/>
    </row>
    <row r="264">
      <c r="A264" s="11" t="s">
        <v>1346</v>
      </c>
      <c r="B264" s="11" t="s">
        <v>1347</v>
      </c>
      <c r="C264" s="11" t="str">
        <f>VLOOKUP(A264,import!A:C,3,0)</f>
        <v>DOĞRU</v>
      </c>
      <c r="D264" s="11" t="s">
        <v>69</v>
      </c>
      <c r="E264" s="11">
        <f>VLOOKUP(A264,import!A:J,5,0)</f>
        <v>551</v>
      </c>
      <c r="F264" s="11" t="str">
        <f>VLOOKUP(A264,import!A:J,6,0)</f>
        <v/>
      </c>
      <c r="G264" s="11">
        <f>VLOOKUP(A264,import!A:J,7,0)</f>
        <v>0</v>
      </c>
      <c r="H264" s="11">
        <f>VLOOKUP(A264,import!A:J,8,0)</f>
        <v>52</v>
      </c>
      <c r="I264" s="11">
        <f>VLOOKUP(A264,import!A:J,9,0)</f>
        <v>52</v>
      </c>
      <c r="J264" s="12">
        <f>VLOOKUP(A264,import!A:J,10,0)</f>
        <v>0</v>
      </c>
      <c r="K264" s="11" t="s">
        <v>1348</v>
      </c>
      <c r="L264" s="11">
        <v>5.412576294E9</v>
      </c>
      <c r="M264" s="11" t="s">
        <v>61</v>
      </c>
      <c r="N264" s="11" t="s">
        <v>107</v>
      </c>
      <c r="O264" s="11" t="s">
        <v>1349</v>
      </c>
      <c r="P264" s="11" t="str">
        <f>VLOOKUP(A264,import!A:P,16,0)</f>
        <v>Geleneksel</v>
      </c>
      <c r="Q264" s="13"/>
      <c r="R264" s="13" t="b">
        <v>1</v>
      </c>
      <c r="S264" s="13" t="b">
        <v>1</v>
      </c>
      <c r="T264" s="15"/>
      <c r="U264" s="15"/>
      <c r="V264" s="15"/>
      <c r="W264" s="14" t="s">
        <v>1350</v>
      </c>
      <c r="X264" s="17"/>
      <c r="Y264" s="17"/>
      <c r="Z264" s="18"/>
      <c r="AA264" s="19" t="s">
        <v>54</v>
      </c>
      <c r="AB264" s="20">
        <v>44666.0</v>
      </c>
      <c r="AC264" s="18"/>
      <c r="AD264" s="18"/>
      <c r="AE264" s="21"/>
      <c r="AF264" s="18"/>
      <c r="AG264" s="21"/>
      <c r="AH264" s="18"/>
      <c r="AI264" s="18"/>
      <c r="AJ264" s="18"/>
      <c r="AK264" s="19" t="s">
        <v>110</v>
      </c>
      <c r="AL264" s="18"/>
      <c r="AM264" s="18"/>
      <c r="AN264" s="18"/>
      <c r="AO264" s="18"/>
      <c r="AP264" s="22" t="s">
        <v>1351</v>
      </c>
      <c r="AQ264" s="18"/>
    </row>
    <row r="265">
      <c r="A265" s="11" t="s">
        <v>1352</v>
      </c>
      <c r="B265" s="11" t="s">
        <v>1353</v>
      </c>
      <c r="C265" s="11" t="str">
        <f>VLOOKUP(A265,import!A:C,3,0)</f>
        <v>DOĞRU</v>
      </c>
      <c r="D265" s="11" t="s">
        <v>406</v>
      </c>
      <c r="E265" s="11">
        <f>VLOOKUP(A265,import!A:J,5,0)</f>
        <v>2881</v>
      </c>
      <c r="F265" s="11">
        <f>VLOOKUP(A265,import!A:J,6,0)</f>
        <v>206</v>
      </c>
      <c r="G265" s="11">
        <f>VLOOKUP(A265,import!A:J,7,0)</f>
        <v>41</v>
      </c>
      <c r="H265" s="11">
        <f>VLOOKUP(A265,import!A:J,8,0)</f>
        <v>8</v>
      </c>
      <c r="I265" s="11">
        <f>VLOOKUP(A265,import!A:J,9,0)</f>
        <v>49</v>
      </c>
      <c r="J265" s="12">
        <f>VLOOKUP(A265,import!A:J,10,0)</f>
        <v>0.84</v>
      </c>
      <c r="K265" s="11" t="s">
        <v>1354</v>
      </c>
      <c r="L265" s="11">
        <v>3.522314019E9</v>
      </c>
      <c r="M265" s="11" t="s">
        <v>71</v>
      </c>
      <c r="N265" s="11" t="s">
        <v>684</v>
      </c>
      <c r="O265" s="11" t="s">
        <v>1355</v>
      </c>
      <c r="P265" s="11" t="str">
        <f>VLOOKUP(A265,import!A:P,16,0)</f>
        <v>Geleneksel</v>
      </c>
      <c r="Q265" s="13"/>
      <c r="R265" s="13" t="b">
        <v>1</v>
      </c>
      <c r="S265" s="13" t="b">
        <v>0</v>
      </c>
      <c r="T265" s="14" t="s">
        <v>74</v>
      </c>
      <c r="U265" s="14" t="s">
        <v>181</v>
      </c>
      <c r="V265" s="14"/>
      <c r="W265" s="14" t="s">
        <v>1356</v>
      </c>
      <c r="X265" s="24">
        <v>44285.0</v>
      </c>
      <c r="Y265" s="24">
        <v>44287.0</v>
      </c>
      <c r="Z265" s="18"/>
      <c r="AA265" s="18"/>
      <c r="AB265" s="18"/>
      <c r="AC265" s="18"/>
      <c r="AD265" s="18"/>
      <c r="AE265" s="21"/>
      <c r="AF265" s="18"/>
      <c r="AG265" s="21"/>
      <c r="AH265" s="18"/>
      <c r="AI265" s="18"/>
      <c r="AJ265" s="18"/>
      <c r="AK265" s="18"/>
      <c r="AL265" s="18"/>
      <c r="AM265" s="18"/>
      <c r="AN265" s="18"/>
      <c r="AO265" s="18"/>
      <c r="AP265" s="22" t="s">
        <v>56</v>
      </c>
      <c r="AQ265" s="18"/>
    </row>
    <row r="266">
      <c r="A266" s="11" t="s">
        <v>1357</v>
      </c>
      <c r="B266" s="11" t="s">
        <v>1358</v>
      </c>
      <c r="C266" s="11" t="str">
        <f>VLOOKUP(A266,import!A:C,3,0)</f>
        <v>DOĞRU</v>
      </c>
      <c r="D266" s="11" t="s">
        <v>172</v>
      </c>
      <c r="E266" s="11">
        <f>VLOOKUP(A266,import!A:J,5,0)</f>
        <v>2075</v>
      </c>
      <c r="F266" s="11" t="str">
        <f>VLOOKUP(A266,import!A:J,6,0)</f>
        <v/>
      </c>
      <c r="G266" s="11">
        <f>VLOOKUP(A266,import!A:J,7,0)</f>
        <v>14</v>
      </c>
      <c r="H266" s="11">
        <f>VLOOKUP(A266,import!A:J,8,0)</f>
        <v>1</v>
      </c>
      <c r="I266" s="11">
        <f>VLOOKUP(A266,import!A:J,9,0)</f>
        <v>15</v>
      </c>
      <c r="J266" s="12">
        <f>VLOOKUP(A266,import!A:J,10,0)</f>
        <v>0.93</v>
      </c>
      <c r="K266" s="11" t="s">
        <v>1359</v>
      </c>
      <c r="L266" s="11">
        <v>3.524310505E9</v>
      </c>
      <c r="M266" s="11" t="s">
        <v>61</v>
      </c>
      <c r="N266" s="11" t="s">
        <v>62</v>
      </c>
      <c r="O266" s="11" t="s">
        <v>1360</v>
      </c>
      <c r="P266" s="11" t="str">
        <f>VLOOKUP(A266,import!A:P,16,0)</f>
        <v>Geleneksel</v>
      </c>
      <c r="Q266" s="13"/>
      <c r="R266" s="13" t="b">
        <v>1</v>
      </c>
      <c r="S266" s="13" t="b">
        <v>0</v>
      </c>
      <c r="T266" s="14" t="s">
        <v>74</v>
      </c>
      <c r="U266" s="14" t="s">
        <v>55</v>
      </c>
      <c r="V266" s="14" t="s">
        <v>96</v>
      </c>
      <c r="W266" s="14" t="s">
        <v>1361</v>
      </c>
      <c r="X266" s="24">
        <v>44361.0</v>
      </c>
      <c r="Y266" s="24">
        <v>44363.0</v>
      </c>
      <c r="Z266" s="18"/>
      <c r="AA266" s="19" t="s">
        <v>54</v>
      </c>
      <c r="AB266" s="20">
        <v>44361.0</v>
      </c>
      <c r="AC266" s="18"/>
      <c r="AD266" s="18"/>
      <c r="AE266" s="21"/>
      <c r="AF266" s="18"/>
      <c r="AG266" s="21"/>
      <c r="AH266" s="18"/>
      <c r="AI266" s="18"/>
      <c r="AJ266" s="18"/>
      <c r="AK266" s="19" t="s">
        <v>55</v>
      </c>
      <c r="AL266" s="18"/>
      <c r="AM266" s="18"/>
      <c r="AN266" s="18"/>
      <c r="AO266" s="18"/>
      <c r="AP266" s="22" t="s">
        <v>56</v>
      </c>
      <c r="AQ266" s="18"/>
    </row>
    <row r="267">
      <c r="A267" s="11" t="s">
        <v>1362</v>
      </c>
      <c r="B267" s="11" t="s">
        <v>1363</v>
      </c>
      <c r="C267" s="11" t="str">
        <f>VLOOKUP(A267,import!A:C,3,0)</f>
        <v>DOĞRU</v>
      </c>
      <c r="D267" s="11" t="s">
        <v>453</v>
      </c>
      <c r="E267" s="11">
        <f>VLOOKUP(A267,import!A:J,5,0)</f>
        <v>2</v>
      </c>
      <c r="F267" s="11" t="str">
        <f>VLOOKUP(A267,import!A:J,6,0)</f>
        <v/>
      </c>
      <c r="G267" s="11">
        <f>VLOOKUP(A267,import!A:J,7,0)</f>
        <v>0</v>
      </c>
      <c r="H267" s="11">
        <f>VLOOKUP(A267,import!A:J,8,0)</f>
        <v>6</v>
      </c>
      <c r="I267" s="11">
        <f>VLOOKUP(A267,import!A:J,9,0)</f>
        <v>6</v>
      </c>
      <c r="J267" s="12">
        <f>VLOOKUP(A267,import!A:J,10,0)</f>
        <v>0</v>
      </c>
      <c r="K267" s="11" t="s">
        <v>1364</v>
      </c>
      <c r="L267" s="11">
        <v>5.52577697E9</v>
      </c>
      <c r="M267" s="11" t="s">
        <v>47</v>
      </c>
      <c r="N267" s="11" t="s">
        <v>339</v>
      </c>
      <c r="O267" s="11" t="s">
        <v>1365</v>
      </c>
      <c r="P267" s="11" t="str">
        <f>VLOOKUP(A267,import!A:P,16,0)</f>
        <v>Geleneksel</v>
      </c>
      <c r="Q267" s="13"/>
      <c r="R267" s="13" t="b">
        <v>1</v>
      </c>
      <c r="S267" s="13" t="b">
        <v>0</v>
      </c>
      <c r="T267" s="14" t="s">
        <v>74</v>
      </c>
      <c r="U267" s="14" t="s">
        <v>110</v>
      </c>
      <c r="V267" s="33" t="s">
        <v>76</v>
      </c>
      <c r="W267" s="14"/>
      <c r="X267" s="24">
        <v>44649.0</v>
      </c>
      <c r="Y267" s="24">
        <v>44652.0</v>
      </c>
      <c r="Z267" s="18"/>
      <c r="AA267" s="19" t="s">
        <v>54</v>
      </c>
      <c r="AB267" s="20">
        <v>44648.0</v>
      </c>
      <c r="AC267" s="19" t="s">
        <v>54</v>
      </c>
      <c r="AD267" s="20">
        <v>44649.0</v>
      </c>
      <c r="AE267" s="19"/>
      <c r="AF267" s="20"/>
      <c r="AG267" s="21"/>
      <c r="AH267" s="18"/>
      <c r="AI267" s="18"/>
      <c r="AJ267" s="18"/>
      <c r="AK267" s="19" t="s">
        <v>110</v>
      </c>
      <c r="AL267" s="19" t="s">
        <v>110</v>
      </c>
      <c r="AM267" s="19"/>
      <c r="AN267" s="18"/>
      <c r="AO267" s="18"/>
      <c r="AP267" s="22"/>
      <c r="AQ267" s="18"/>
    </row>
    <row r="268">
      <c r="A268" s="11" t="s">
        <v>1366</v>
      </c>
      <c r="B268" s="11" t="s">
        <v>1367</v>
      </c>
      <c r="C268" s="11" t="str">
        <f>VLOOKUP(A268,import!A:C,3,0)</f>
        <v>DOĞRU</v>
      </c>
      <c r="D268" s="11" t="s">
        <v>83</v>
      </c>
      <c r="E268" s="11">
        <f>VLOOKUP(A268,import!A:J,5,0)</f>
        <v>54</v>
      </c>
      <c r="F268" s="11">
        <f>VLOOKUP(A268,import!A:J,6,0)</f>
        <v>2</v>
      </c>
      <c r="G268" s="11">
        <f>VLOOKUP(A268,import!A:J,7,0)</f>
        <v>0</v>
      </c>
      <c r="H268" s="11">
        <f>VLOOKUP(A268,import!A:J,8,0)</f>
        <v>13</v>
      </c>
      <c r="I268" s="11">
        <f>VLOOKUP(A268,import!A:J,9,0)</f>
        <v>13</v>
      </c>
      <c r="J268" s="12">
        <f>VLOOKUP(A268,import!A:J,10,0)</f>
        <v>0</v>
      </c>
      <c r="K268" s="11" t="s">
        <v>1368</v>
      </c>
      <c r="L268" s="11">
        <v>5.013735338E9</v>
      </c>
      <c r="M268" s="11" t="s">
        <v>47</v>
      </c>
      <c r="N268" s="11" t="s">
        <v>138</v>
      </c>
      <c r="O268" s="11" t="s">
        <v>1369</v>
      </c>
      <c r="P268" s="11" t="str">
        <f>VLOOKUP(A268,import!A:P,16,0)</f>
        <v>Geleneksel</v>
      </c>
      <c r="Q268" s="13"/>
      <c r="R268" s="13" t="b">
        <v>0</v>
      </c>
      <c r="S268" s="13" t="b">
        <v>0</v>
      </c>
      <c r="T268" s="14"/>
      <c r="U268" s="14"/>
      <c r="V268" s="14"/>
      <c r="W268" s="14" t="s">
        <v>461</v>
      </c>
      <c r="X268" s="24"/>
      <c r="Y268" s="24"/>
      <c r="Z268" s="18"/>
      <c r="AA268" s="19"/>
      <c r="AB268" s="20"/>
      <c r="AC268" s="19"/>
      <c r="AD268" s="20"/>
      <c r="AE268" s="19"/>
      <c r="AF268" s="20"/>
      <c r="AG268" s="21"/>
      <c r="AH268" s="18"/>
      <c r="AI268" s="18"/>
      <c r="AJ268" s="18"/>
      <c r="AK268" s="19" t="s">
        <v>110</v>
      </c>
      <c r="AL268" s="19"/>
      <c r="AM268" s="19"/>
      <c r="AN268" s="18"/>
      <c r="AO268" s="18"/>
      <c r="AP268" s="22"/>
      <c r="AQ268" s="18"/>
    </row>
    <row r="269">
      <c r="A269" s="11" t="s">
        <v>1370</v>
      </c>
      <c r="B269" s="11" t="s">
        <v>1371</v>
      </c>
      <c r="C269" s="11" t="str">
        <f>VLOOKUP(A269,import!A:C,3,0)</f>
        <v>DOĞRU</v>
      </c>
      <c r="D269" s="11" t="s">
        <v>165</v>
      </c>
      <c r="E269" s="11">
        <f>VLOOKUP(A269,import!A:J,5,0)</f>
        <v>333</v>
      </c>
      <c r="F269" s="11">
        <f>VLOOKUP(A269,import!A:J,6,0)</f>
        <v>50</v>
      </c>
      <c r="G269" s="11">
        <f>VLOOKUP(A269,import!A:J,7,0)</f>
        <v>8</v>
      </c>
      <c r="H269" s="11">
        <f>VLOOKUP(A269,import!A:J,8,0)</f>
        <v>5</v>
      </c>
      <c r="I269" s="11">
        <f>VLOOKUP(A269,import!A:J,9,0)</f>
        <v>13</v>
      </c>
      <c r="J269" s="12">
        <f>VLOOKUP(A269,import!A:J,10,0)</f>
        <v>0.62</v>
      </c>
      <c r="K269" s="11" t="s">
        <v>1372</v>
      </c>
      <c r="L269" s="11">
        <v>5.368232993E9</v>
      </c>
      <c r="M269" s="11" t="s">
        <v>47</v>
      </c>
      <c r="N269" s="11" t="s">
        <v>525</v>
      </c>
      <c r="O269" s="11" t="s">
        <v>1373</v>
      </c>
      <c r="P269" s="11" t="str">
        <f>VLOOKUP(A269,import!A:P,16,0)</f>
        <v>Geleneksel</v>
      </c>
      <c r="Q269" s="13"/>
      <c r="R269" s="13" t="b">
        <v>1</v>
      </c>
      <c r="S269" s="13" t="b">
        <v>0</v>
      </c>
      <c r="T269" s="14" t="s">
        <v>74</v>
      </c>
      <c r="U269" s="14" t="s">
        <v>110</v>
      </c>
      <c r="V269" s="30" t="s">
        <v>76</v>
      </c>
      <c r="W269" s="14"/>
      <c r="X269" s="24">
        <v>44601.0</v>
      </c>
      <c r="Y269" s="24">
        <v>44602.0</v>
      </c>
      <c r="Z269" s="18"/>
      <c r="AA269" s="19" t="s">
        <v>54</v>
      </c>
      <c r="AB269" s="20">
        <v>44601.0</v>
      </c>
      <c r="AC269" s="19"/>
      <c r="AD269" s="20"/>
      <c r="AE269" s="19"/>
      <c r="AF269" s="20"/>
      <c r="AG269" s="21"/>
      <c r="AH269" s="18"/>
      <c r="AI269" s="18"/>
      <c r="AJ269" s="18"/>
      <c r="AK269" s="19" t="s">
        <v>110</v>
      </c>
      <c r="AL269" s="19"/>
      <c r="AM269" s="19"/>
      <c r="AN269" s="18"/>
      <c r="AO269" s="18"/>
      <c r="AP269" s="22"/>
      <c r="AQ269" s="18"/>
    </row>
    <row r="270">
      <c r="A270" s="22" t="s">
        <v>1374</v>
      </c>
      <c r="B270" s="22" t="s">
        <v>1375</v>
      </c>
      <c r="C270" s="11" t="str">
        <f>VLOOKUP(A270,import!A:C,3,0)</f>
        <v>DOĞRU</v>
      </c>
      <c r="D270" s="22" t="s">
        <v>172</v>
      </c>
      <c r="E270" s="11">
        <f>VLOOKUP(A270,import!A:J,5,0)</f>
        <v>100</v>
      </c>
      <c r="F270" s="11">
        <f>VLOOKUP(A270,import!A:J,6,0)</f>
        <v>87</v>
      </c>
      <c r="G270" s="11">
        <f>VLOOKUP(A270,import!A:J,7,0)</f>
        <v>0</v>
      </c>
      <c r="H270" s="11">
        <f>VLOOKUP(A270,import!A:J,8,0)</f>
        <v>37</v>
      </c>
      <c r="I270" s="11">
        <f>VLOOKUP(A270,import!A:J,9,0)</f>
        <v>37</v>
      </c>
      <c r="J270" s="12">
        <f>VLOOKUP(A270,import!A:J,10,0)</f>
        <v>0</v>
      </c>
      <c r="K270" s="22" t="s">
        <v>1376</v>
      </c>
      <c r="L270" s="22">
        <v>3.522206868E9</v>
      </c>
      <c r="M270" s="22" t="s">
        <v>71</v>
      </c>
      <c r="N270" s="22" t="s">
        <v>71</v>
      </c>
      <c r="O270" s="22" t="s">
        <v>1377</v>
      </c>
      <c r="P270" s="11" t="str">
        <f>VLOOKUP(A270,import!A:P,16,0)</f>
        <v>Geleneksel</v>
      </c>
      <c r="Q270" s="13"/>
      <c r="R270" s="13" t="b">
        <v>0</v>
      </c>
      <c r="S270" s="13" t="b">
        <v>0</v>
      </c>
      <c r="T270" s="14"/>
      <c r="U270" s="14"/>
      <c r="V270" s="30"/>
      <c r="W270" s="14" t="s">
        <v>1378</v>
      </c>
      <c r="X270" s="24"/>
      <c r="Y270" s="24"/>
      <c r="Z270" s="18"/>
      <c r="AA270" s="19"/>
      <c r="AB270" s="20"/>
      <c r="AC270" s="19"/>
      <c r="AD270" s="20"/>
      <c r="AE270" s="19"/>
      <c r="AF270" s="20"/>
      <c r="AG270" s="21"/>
      <c r="AH270" s="18"/>
      <c r="AI270" s="18"/>
      <c r="AJ270" s="18"/>
      <c r="AK270" s="19"/>
      <c r="AL270" s="19"/>
      <c r="AM270" s="19"/>
      <c r="AN270" s="18"/>
      <c r="AO270" s="18"/>
      <c r="AP270" s="22"/>
      <c r="AQ270" s="18"/>
    </row>
    <row r="271">
      <c r="A271" s="11" t="s">
        <v>1379</v>
      </c>
      <c r="B271" s="11" t="s">
        <v>1380</v>
      </c>
      <c r="C271" s="11" t="str">
        <f>VLOOKUP(A271,import!A:C,3,0)</f>
        <v>DOĞRU</v>
      </c>
      <c r="D271" s="11" t="s">
        <v>100</v>
      </c>
      <c r="E271" s="11">
        <f>VLOOKUP(A271,import!A:J,5,0)</f>
        <v>195</v>
      </c>
      <c r="F271" s="11">
        <f>VLOOKUP(A271,import!A:J,6,0)</f>
        <v>4</v>
      </c>
      <c r="G271" s="11">
        <f>VLOOKUP(A271,import!A:J,7,0)</f>
        <v>12</v>
      </c>
      <c r="H271" s="11">
        <f>VLOOKUP(A271,import!A:J,8,0)</f>
        <v>11</v>
      </c>
      <c r="I271" s="11">
        <f>VLOOKUP(A271,import!A:J,9,0)</f>
        <v>23</v>
      </c>
      <c r="J271" s="12">
        <f>VLOOKUP(A271,import!A:J,10,0)</f>
        <v>0.52</v>
      </c>
      <c r="K271" s="11" t="s">
        <v>1381</v>
      </c>
      <c r="L271" s="11">
        <v>3.5224E9</v>
      </c>
      <c r="M271" s="11" t="s">
        <v>71</v>
      </c>
      <c r="N271" s="11" t="s">
        <v>1382</v>
      </c>
      <c r="O271" s="11" t="s">
        <v>1383</v>
      </c>
      <c r="P271" s="11" t="str">
        <f>VLOOKUP(A271,import!A:P,16,0)</f>
        <v>Geleneksel</v>
      </c>
      <c r="Q271" s="13"/>
      <c r="R271" s="13" t="b">
        <v>1</v>
      </c>
      <c r="S271" s="13" t="b">
        <v>0</v>
      </c>
      <c r="T271" s="14" t="s">
        <v>74</v>
      </c>
      <c r="U271" s="14" t="s">
        <v>80</v>
      </c>
      <c r="V271" s="14"/>
      <c r="W271" s="14"/>
      <c r="X271" s="24">
        <v>44628.0</v>
      </c>
      <c r="Y271" s="24">
        <v>44629.0</v>
      </c>
      <c r="Z271" s="18"/>
      <c r="AA271" s="19" t="s">
        <v>54</v>
      </c>
      <c r="AB271" s="20">
        <v>44628.0</v>
      </c>
      <c r="AC271" s="19"/>
      <c r="AD271" s="20"/>
      <c r="AE271" s="21"/>
      <c r="AF271" s="18"/>
      <c r="AG271" s="21"/>
      <c r="AH271" s="18"/>
      <c r="AI271" s="18"/>
      <c r="AJ271" s="18"/>
      <c r="AK271" s="19" t="s">
        <v>80</v>
      </c>
      <c r="AL271" s="19"/>
      <c r="AM271" s="18"/>
      <c r="AN271" s="18"/>
      <c r="AO271" s="18"/>
      <c r="AP271" s="22" t="s">
        <v>56</v>
      </c>
      <c r="AQ271" s="18"/>
    </row>
    <row r="272">
      <c r="A272" s="11" t="s">
        <v>1384</v>
      </c>
      <c r="B272" s="11" t="s">
        <v>1385</v>
      </c>
      <c r="C272" s="11" t="str">
        <f>VLOOKUP(A272,import!A:C,3,0)</f>
        <v>DOĞRU</v>
      </c>
      <c r="D272" s="11" t="s">
        <v>100</v>
      </c>
      <c r="E272" s="11">
        <f>VLOOKUP(A272,import!A:J,5,0)</f>
        <v>889</v>
      </c>
      <c r="F272" s="11">
        <f>VLOOKUP(A272,import!A:J,6,0)</f>
        <v>25</v>
      </c>
      <c r="G272" s="11">
        <f>VLOOKUP(A272,import!A:J,7,0)</f>
        <v>0</v>
      </c>
      <c r="H272" s="11">
        <f>VLOOKUP(A272,import!A:J,8,0)</f>
        <v>33</v>
      </c>
      <c r="I272" s="11">
        <f>VLOOKUP(A272,import!A:J,9,0)</f>
        <v>33</v>
      </c>
      <c r="J272" s="12">
        <f>VLOOKUP(A272,import!A:J,10,0)</f>
        <v>0</v>
      </c>
      <c r="K272" s="11" t="s">
        <v>1386</v>
      </c>
      <c r="L272" s="11">
        <v>3.523399901E9</v>
      </c>
      <c r="M272" s="11" t="s">
        <v>71</v>
      </c>
      <c r="N272" s="11" t="s">
        <v>543</v>
      </c>
      <c r="O272" s="11" t="s">
        <v>1387</v>
      </c>
      <c r="P272" s="11" t="str">
        <f>VLOOKUP(A272,import!A:P,16,0)</f>
        <v>Geleneksel</v>
      </c>
      <c r="Q272" s="13"/>
      <c r="R272" s="13" t="b">
        <v>1</v>
      </c>
      <c r="S272" s="13" t="b">
        <v>0</v>
      </c>
      <c r="T272" s="14" t="s">
        <v>133</v>
      </c>
      <c r="U272" s="14" t="s">
        <v>95</v>
      </c>
      <c r="V272" s="14"/>
      <c r="W272" s="14" t="s">
        <v>1388</v>
      </c>
      <c r="X272" s="24">
        <v>44349.0</v>
      </c>
      <c r="Y272" s="24">
        <v>44351.0</v>
      </c>
      <c r="Z272" s="19" t="s">
        <v>711</v>
      </c>
      <c r="AA272" s="19" t="s">
        <v>54</v>
      </c>
      <c r="AB272" s="24">
        <v>44349.0</v>
      </c>
      <c r="AC272" s="19" t="s">
        <v>54</v>
      </c>
      <c r="AD272" s="20">
        <v>44351.0</v>
      </c>
      <c r="AE272" s="19" t="s">
        <v>347</v>
      </c>
      <c r="AF272" s="20">
        <v>44377.0</v>
      </c>
      <c r="AG272" s="19" t="s">
        <v>54</v>
      </c>
      <c r="AH272" s="20">
        <v>44645.0</v>
      </c>
      <c r="AI272" s="19" t="s">
        <v>54</v>
      </c>
      <c r="AJ272" s="20">
        <v>44662.0</v>
      </c>
      <c r="AK272" s="19" t="s">
        <v>79</v>
      </c>
      <c r="AL272" s="19" t="s">
        <v>1389</v>
      </c>
      <c r="AM272" s="19" t="s">
        <v>79</v>
      </c>
      <c r="AN272" s="19" t="s">
        <v>75</v>
      </c>
      <c r="AO272" s="19" t="s">
        <v>110</v>
      </c>
      <c r="AP272" s="22" t="s">
        <v>56</v>
      </c>
      <c r="AQ272" s="18"/>
    </row>
    <row r="273">
      <c r="A273" s="11" t="s">
        <v>1390</v>
      </c>
      <c r="B273" s="11" t="s">
        <v>1391</v>
      </c>
      <c r="C273" s="11" t="str">
        <f>VLOOKUP(A273,import!A:C,3,0)</f>
        <v>DOĞRU</v>
      </c>
      <c r="D273" s="11" t="s">
        <v>100</v>
      </c>
      <c r="E273" s="11">
        <f>VLOOKUP(A273,import!A:J,5,0)</f>
        <v>689</v>
      </c>
      <c r="F273" s="11">
        <f>VLOOKUP(A273,import!A:J,6,0)</f>
        <v>53</v>
      </c>
      <c r="G273" s="11">
        <f>VLOOKUP(A273,import!A:J,7,0)</f>
        <v>3</v>
      </c>
      <c r="H273" s="11">
        <f>VLOOKUP(A273,import!A:J,8,0)</f>
        <v>17</v>
      </c>
      <c r="I273" s="11">
        <f>VLOOKUP(A273,import!A:J,9,0)</f>
        <v>20</v>
      </c>
      <c r="J273" s="12">
        <f>VLOOKUP(A273,import!A:J,10,0)</f>
        <v>0.15</v>
      </c>
      <c r="K273" s="11" t="s">
        <v>1392</v>
      </c>
      <c r="L273" s="11">
        <v>5.050121352E9</v>
      </c>
      <c r="M273" s="11" t="s">
        <v>71</v>
      </c>
      <c r="N273" s="11" t="s">
        <v>588</v>
      </c>
      <c r="O273" s="11" t="s">
        <v>1393</v>
      </c>
      <c r="P273" s="11" t="str">
        <f>VLOOKUP(A273,import!A:P,16,0)</f>
        <v>Geleneksel</v>
      </c>
      <c r="Q273" s="13"/>
      <c r="R273" s="13" t="b">
        <v>1</v>
      </c>
      <c r="S273" s="13" t="b">
        <v>0</v>
      </c>
      <c r="T273" s="14" t="s">
        <v>74</v>
      </c>
      <c r="U273" s="14" t="s">
        <v>66</v>
      </c>
      <c r="V273" s="35" t="s">
        <v>76</v>
      </c>
      <c r="W273" s="14"/>
      <c r="X273" s="24">
        <v>44613.0</v>
      </c>
      <c r="Y273" s="24">
        <v>44614.0</v>
      </c>
      <c r="Z273" s="18"/>
      <c r="AA273" s="19"/>
      <c r="AB273" s="20"/>
      <c r="AC273" s="19"/>
      <c r="AD273" s="20"/>
      <c r="AE273" s="21"/>
      <c r="AF273" s="18"/>
      <c r="AG273" s="21"/>
      <c r="AH273" s="18"/>
      <c r="AI273" s="18"/>
      <c r="AJ273" s="18"/>
      <c r="AK273" s="19"/>
      <c r="AL273" s="19"/>
      <c r="AM273" s="18"/>
      <c r="AN273" s="18"/>
      <c r="AO273" s="18"/>
      <c r="AP273" s="22" t="s">
        <v>56</v>
      </c>
      <c r="AQ273" s="18"/>
    </row>
    <row r="274">
      <c r="A274" s="22" t="s">
        <v>1394</v>
      </c>
      <c r="B274" s="22" t="s">
        <v>1395</v>
      </c>
      <c r="C274" s="11" t="str">
        <f>VLOOKUP(A274,import!A:C,3,0)</f>
        <v>DOĞRU</v>
      </c>
      <c r="D274" s="22" t="s">
        <v>100</v>
      </c>
      <c r="E274" s="11">
        <f>VLOOKUP(A274,import!A:J,5,0)</f>
        <v>2</v>
      </c>
      <c r="F274" s="11" t="str">
        <f>VLOOKUP(A274,import!A:J,6,0)</f>
        <v/>
      </c>
      <c r="G274" s="11">
        <f>VLOOKUP(A274,import!A:J,7,0)</f>
        <v>0</v>
      </c>
      <c r="H274" s="11">
        <f>VLOOKUP(A274,import!A:J,8,0)</f>
        <v>7</v>
      </c>
      <c r="I274" s="11">
        <f>VLOOKUP(A274,import!A:J,9,0)</f>
        <v>7</v>
      </c>
      <c r="J274" s="12">
        <f>VLOOKUP(A274,import!A:J,10,0)</f>
        <v>0</v>
      </c>
      <c r="K274" s="22" t="s">
        <v>1396</v>
      </c>
      <c r="L274" s="22">
        <v>3.523440132E9</v>
      </c>
      <c r="M274" s="22" t="s">
        <v>71</v>
      </c>
      <c r="N274" s="22" t="s">
        <v>214</v>
      </c>
      <c r="O274" s="22" t="s">
        <v>1397</v>
      </c>
      <c r="P274" s="11" t="str">
        <f>VLOOKUP(A274,import!A:P,16,0)</f>
        <v>Geleneksel</v>
      </c>
      <c r="Q274" s="13"/>
      <c r="R274" s="13" t="b">
        <v>0</v>
      </c>
      <c r="S274" s="13" t="b">
        <v>0</v>
      </c>
      <c r="T274" s="14"/>
      <c r="U274" s="14"/>
      <c r="V274" s="30"/>
      <c r="W274" s="14" t="s">
        <v>1398</v>
      </c>
      <c r="X274" s="24"/>
      <c r="Y274" s="24"/>
      <c r="Z274" s="18"/>
      <c r="AA274" s="19"/>
      <c r="AB274" s="20"/>
      <c r="AC274" s="19"/>
      <c r="AD274" s="20"/>
      <c r="AE274" s="19"/>
      <c r="AF274" s="20"/>
      <c r="AG274" s="21"/>
      <c r="AH274" s="18"/>
      <c r="AI274" s="18"/>
      <c r="AJ274" s="18"/>
      <c r="AK274" s="19"/>
      <c r="AL274" s="19"/>
      <c r="AM274" s="19"/>
      <c r="AN274" s="18"/>
      <c r="AO274" s="18"/>
      <c r="AP274" s="22"/>
      <c r="AQ274" s="18"/>
    </row>
    <row r="275">
      <c r="A275" s="11" t="s">
        <v>1399</v>
      </c>
      <c r="B275" s="11" t="s">
        <v>1400</v>
      </c>
      <c r="C275" s="11" t="str">
        <f>VLOOKUP(A275,import!A:C,3,0)</f>
        <v>DOĞRU</v>
      </c>
      <c r="D275" s="11" t="s">
        <v>100</v>
      </c>
      <c r="E275" s="11">
        <f>VLOOKUP(A275,import!A:J,5,0)</f>
        <v>209</v>
      </c>
      <c r="F275" s="11">
        <f>VLOOKUP(A275,import!A:J,6,0)</f>
        <v>10</v>
      </c>
      <c r="G275" s="11">
        <f>VLOOKUP(A275,import!A:J,7,0)</f>
        <v>0</v>
      </c>
      <c r="H275" s="11">
        <f>VLOOKUP(A275,import!A:J,8,0)</f>
        <v>18</v>
      </c>
      <c r="I275" s="11">
        <f>VLOOKUP(A275,import!A:J,9,0)</f>
        <v>18</v>
      </c>
      <c r="J275" s="12">
        <f>VLOOKUP(A275,import!A:J,10,0)</f>
        <v>0</v>
      </c>
      <c r="K275" s="11" t="s">
        <v>1401</v>
      </c>
      <c r="L275" s="11">
        <v>5.526043866E9</v>
      </c>
      <c r="M275" s="11" t="s">
        <v>71</v>
      </c>
      <c r="N275" s="11" t="s">
        <v>1252</v>
      </c>
      <c r="O275" s="11" t="s">
        <v>1402</v>
      </c>
      <c r="P275" s="11" t="str">
        <f>VLOOKUP(A275,import!A:P,16,0)</f>
        <v>Geleneksel</v>
      </c>
      <c r="Q275" s="13"/>
      <c r="R275" s="13" t="b">
        <v>1</v>
      </c>
      <c r="S275" s="13" t="b">
        <v>0</v>
      </c>
      <c r="T275" s="14" t="s">
        <v>168</v>
      </c>
      <c r="U275" s="14"/>
      <c r="V275" s="14"/>
      <c r="W275" s="14"/>
      <c r="X275" s="24"/>
      <c r="Y275" s="24"/>
      <c r="Z275" s="18"/>
      <c r="AA275" s="19" t="s">
        <v>54</v>
      </c>
      <c r="AB275" s="20">
        <v>44611.0</v>
      </c>
      <c r="AC275" s="18"/>
      <c r="AD275" s="18"/>
      <c r="AE275" s="21"/>
      <c r="AF275" s="18"/>
      <c r="AG275" s="21"/>
      <c r="AH275" s="18"/>
      <c r="AI275" s="18"/>
      <c r="AJ275" s="18"/>
      <c r="AK275" s="19" t="s">
        <v>86</v>
      </c>
      <c r="AL275" s="18"/>
      <c r="AM275" s="18"/>
      <c r="AN275" s="18"/>
      <c r="AO275" s="18"/>
      <c r="AP275" s="22" t="s">
        <v>56</v>
      </c>
      <c r="AQ275" s="18"/>
    </row>
    <row r="276">
      <c r="A276" s="32" t="s">
        <v>1403</v>
      </c>
      <c r="B276" s="32" t="s">
        <v>1404</v>
      </c>
      <c r="C276" s="11" t="str">
        <f>VLOOKUP(A276,import!A:C,3,0)</f>
        <v>DOĞRU</v>
      </c>
      <c r="D276" s="32" t="s">
        <v>100</v>
      </c>
      <c r="E276" s="11">
        <f>VLOOKUP(A276,import!A:J,5,0)</f>
        <v>115</v>
      </c>
      <c r="F276" s="11">
        <f>VLOOKUP(A276,import!A:J,6,0)</f>
        <v>16</v>
      </c>
      <c r="G276" s="11">
        <f>VLOOKUP(A276,import!A:J,7,0)</f>
        <v>1</v>
      </c>
      <c r="H276" s="11">
        <f>VLOOKUP(A276,import!A:J,8,0)</f>
        <v>30</v>
      </c>
      <c r="I276" s="11">
        <f>VLOOKUP(A276,import!A:J,9,0)</f>
        <v>31</v>
      </c>
      <c r="J276" s="12">
        <f>VLOOKUP(A276,import!A:J,10,0)</f>
        <v>0.03</v>
      </c>
      <c r="K276" s="32" t="s">
        <v>1405</v>
      </c>
      <c r="L276" s="32">
        <v>5.455929245E9</v>
      </c>
      <c r="M276" s="32" t="s">
        <v>71</v>
      </c>
      <c r="N276" s="32" t="s">
        <v>1406</v>
      </c>
      <c r="O276" s="32" t="s">
        <v>1407</v>
      </c>
      <c r="P276" s="11" t="str">
        <f>VLOOKUP(A276,import!A:P,16,0)</f>
        <v>Geleneksel</v>
      </c>
      <c r="Q276" s="13"/>
      <c r="R276" s="13" t="b">
        <v>1</v>
      </c>
      <c r="S276" s="13" t="b">
        <v>0</v>
      </c>
      <c r="T276" s="14"/>
      <c r="U276" s="14"/>
      <c r="V276" s="14"/>
      <c r="W276" s="14" t="s">
        <v>1408</v>
      </c>
      <c r="X276" s="24"/>
      <c r="Y276" s="24"/>
      <c r="Z276" s="18"/>
      <c r="AA276" s="19" t="s">
        <v>347</v>
      </c>
      <c r="AB276" s="20">
        <v>44641.0</v>
      </c>
      <c r="AC276" s="19"/>
      <c r="AD276" s="20"/>
      <c r="AE276" s="19"/>
      <c r="AF276" s="20"/>
      <c r="AG276" s="21"/>
      <c r="AH276" s="18"/>
      <c r="AI276" s="18"/>
      <c r="AJ276" s="18"/>
      <c r="AK276" s="19" t="s">
        <v>140</v>
      </c>
      <c r="AL276" s="19"/>
      <c r="AM276" s="19"/>
      <c r="AN276" s="18"/>
      <c r="AO276" s="18"/>
      <c r="AP276" s="22"/>
      <c r="AQ276" s="18"/>
    </row>
    <row r="277">
      <c r="A277" s="11" t="s">
        <v>1409</v>
      </c>
      <c r="B277" s="11" t="s">
        <v>1410</v>
      </c>
      <c r="C277" s="11" t="str">
        <f>VLOOKUP(A277,import!A:C,3,0)</f>
        <v>DOĞRU</v>
      </c>
      <c r="D277" s="11" t="s">
        <v>100</v>
      </c>
      <c r="E277" s="11">
        <f>VLOOKUP(A277,import!A:J,5,0)</f>
        <v>679</v>
      </c>
      <c r="F277" s="11">
        <f>VLOOKUP(A277,import!A:J,6,0)</f>
        <v>7</v>
      </c>
      <c r="G277" s="11">
        <f>VLOOKUP(A277,import!A:J,7,0)</f>
        <v>5</v>
      </c>
      <c r="H277" s="11">
        <f>VLOOKUP(A277,import!A:J,8,0)</f>
        <v>14</v>
      </c>
      <c r="I277" s="11">
        <f>VLOOKUP(A277,import!A:J,9,0)</f>
        <v>19</v>
      </c>
      <c r="J277" s="12">
        <f>VLOOKUP(A277,import!A:J,10,0)</f>
        <v>0.26</v>
      </c>
      <c r="K277" s="11" t="s">
        <v>1411</v>
      </c>
      <c r="L277" s="11">
        <v>5.524500138E9</v>
      </c>
      <c r="M277" s="11" t="s">
        <v>47</v>
      </c>
      <c r="N277" s="11" t="s">
        <v>640</v>
      </c>
      <c r="O277" s="11" t="s">
        <v>1412</v>
      </c>
      <c r="P277" s="11" t="str">
        <f>VLOOKUP(A277,import!A:P,16,0)</f>
        <v>Geleneksel</v>
      </c>
      <c r="Q277" s="13"/>
      <c r="R277" s="13" t="b">
        <v>1</v>
      </c>
      <c r="S277" s="13" t="b">
        <v>0</v>
      </c>
      <c r="T277" s="14" t="s">
        <v>74</v>
      </c>
      <c r="U277" s="14" t="s">
        <v>80</v>
      </c>
      <c r="V277" s="14"/>
      <c r="W277" s="14" t="s">
        <v>1413</v>
      </c>
      <c r="X277" s="24">
        <v>44632.0</v>
      </c>
      <c r="Y277" s="24">
        <v>44634.0</v>
      </c>
      <c r="Z277" s="18"/>
      <c r="AA277" s="19" t="s">
        <v>54</v>
      </c>
      <c r="AB277" s="20">
        <v>44630.0</v>
      </c>
      <c r="AC277" s="18"/>
      <c r="AD277" s="18"/>
      <c r="AE277" s="21"/>
      <c r="AF277" s="18"/>
      <c r="AG277" s="21"/>
      <c r="AH277" s="18"/>
      <c r="AI277" s="18"/>
      <c r="AJ277" s="18"/>
      <c r="AK277" s="19" t="s">
        <v>80</v>
      </c>
      <c r="AL277" s="18"/>
      <c r="AM277" s="18"/>
      <c r="AN277" s="18"/>
      <c r="AO277" s="18"/>
      <c r="AP277" s="22" t="s">
        <v>56</v>
      </c>
      <c r="AQ277" s="18"/>
    </row>
    <row r="278">
      <c r="A278" s="11" t="s">
        <v>1414</v>
      </c>
      <c r="B278" s="11" t="s">
        <v>1415</v>
      </c>
      <c r="C278" s="11" t="str">
        <f>VLOOKUP(A278,import!A:C,3,0)</f>
        <v>DOĞRU</v>
      </c>
      <c r="D278" s="11" t="s">
        <v>100</v>
      </c>
      <c r="E278" s="11">
        <f>VLOOKUP(A278,import!A:J,5,0)</f>
        <v>58</v>
      </c>
      <c r="F278" s="11">
        <f>VLOOKUP(A278,import!A:J,6,0)</f>
        <v>15</v>
      </c>
      <c r="G278" s="11">
        <f>VLOOKUP(A278,import!A:J,7,0)</f>
        <v>0</v>
      </c>
      <c r="H278" s="11">
        <f>VLOOKUP(A278,import!A:J,8,0)</f>
        <v>11</v>
      </c>
      <c r="I278" s="11">
        <f>VLOOKUP(A278,import!A:J,9,0)</f>
        <v>11</v>
      </c>
      <c r="J278" s="12">
        <f>VLOOKUP(A278,import!A:J,10,0)</f>
        <v>0</v>
      </c>
      <c r="K278" s="11" t="s">
        <v>1416</v>
      </c>
      <c r="L278" s="11">
        <v>5.342437681E9</v>
      </c>
      <c r="M278" s="11" t="s">
        <v>47</v>
      </c>
      <c r="N278" s="11" t="s">
        <v>107</v>
      </c>
      <c r="O278" s="11" t="s">
        <v>1417</v>
      </c>
      <c r="P278" s="11" t="str">
        <f>VLOOKUP(A278,import!A:P,16,0)</f>
        <v>Geleneksel</v>
      </c>
      <c r="Q278" s="13"/>
      <c r="R278" s="13" t="b">
        <v>1</v>
      </c>
      <c r="S278" s="13" t="b">
        <v>0</v>
      </c>
      <c r="T278" s="14" t="s">
        <v>74</v>
      </c>
      <c r="U278" s="14"/>
      <c r="V278" s="14"/>
      <c r="W278" s="14" t="s">
        <v>1418</v>
      </c>
      <c r="X278" s="24"/>
      <c r="Y278" s="24"/>
      <c r="Z278" s="18"/>
      <c r="AA278" s="19" t="s">
        <v>64</v>
      </c>
      <c r="AB278" s="20">
        <v>44522.0</v>
      </c>
      <c r="AC278" s="19" t="s">
        <v>54</v>
      </c>
      <c r="AD278" s="20">
        <v>44602.0</v>
      </c>
      <c r="AE278" s="21"/>
      <c r="AF278" s="18"/>
      <c r="AG278" s="21"/>
      <c r="AH278" s="18"/>
      <c r="AI278" s="18"/>
      <c r="AJ278" s="18"/>
      <c r="AK278" s="19" t="s">
        <v>95</v>
      </c>
      <c r="AL278" s="19" t="s">
        <v>110</v>
      </c>
      <c r="AM278" s="18"/>
      <c r="AN278" s="18"/>
      <c r="AO278" s="18"/>
      <c r="AP278" s="22" t="s">
        <v>56</v>
      </c>
      <c r="AQ278" s="18"/>
    </row>
    <row r="279">
      <c r="A279" s="11" t="s">
        <v>1419</v>
      </c>
      <c r="B279" s="11" t="s">
        <v>1420</v>
      </c>
      <c r="C279" s="11" t="str">
        <f>VLOOKUP(A279,import!A:C,3,0)</f>
        <v>DOĞRU</v>
      </c>
      <c r="D279" s="11" t="s">
        <v>100</v>
      </c>
      <c r="E279" s="11">
        <f>VLOOKUP(A279,import!A:J,5,0)</f>
        <v>21</v>
      </c>
      <c r="F279" s="11">
        <f>VLOOKUP(A279,import!A:J,6,0)</f>
        <v>11</v>
      </c>
      <c r="G279" s="11">
        <f>VLOOKUP(A279,import!A:J,7,0)</f>
        <v>23</v>
      </c>
      <c r="H279" s="11">
        <f>VLOOKUP(A279,import!A:J,8,0)</f>
        <v>21</v>
      </c>
      <c r="I279" s="11">
        <f>VLOOKUP(A279,import!A:J,9,0)</f>
        <v>44</v>
      </c>
      <c r="J279" s="12">
        <f>VLOOKUP(A279,import!A:J,10,0)</f>
        <v>0.52</v>
      </c>
      <c r="K279" s="11" t="s">
        <v>1421</v>
      </c>
      <c r="L279" s="11">
        <v>5.550640338E9</v>
      </c>
      <c r="M279" s="11" t="s">
        <v>47</v>
      </c>
      <c r="N279" s="11" t="s">
        <v>477</v>
      </c>
      <c r="O279" s="11" t="s">
        <v>1422</v>
      </c>
      <c r="P279" s="11" t="str">
        <f>VLOOKUP(A279,import!A:P,16,0)</f>
        <v>Geleneksel</v>
      </c>
      <c r="Q279" s="13"/>
      <c r="R279" s="13" t="b">
        <v>1</v>
      </c>
      <c r="S279" s="13" t="b">
        <v>0</v>
      </c>
      <c r="T279" s="14" t="s">
        <v>74</v>
      </c>
      <c r="U279" s="14" t="s">
        <v>75</v>
      </c>
      <c r="V279" s="30" t="s">
        <v>76</v>
      </c>
      <c r="W279" s="14"/>
      <c r="X279" s="24">
        <v>44643.0</v>
      </c>
      <c r="Y279" s="24">
        <v>44645.0</v>
      </c>
      <c r="Z279" s="18"/>
      <c r="AA279" s="19" t="s">
        <v>54</v>
      </c>
      <c r="AB279" s="24">
        <v>44643.0</v>
      </c>
      <c r="AC279" s="19"/>
      <c r="AD279" s="20"/>
      <c r="AE279" s="19"/>
      <c r="AF279" s="20"/>
      <c r="AG279" s="21"/>
      <c r="AH279" s="18"/>
      <c r="AI279" s="18"/>
      <c r="AJ279" s="18"/>
      <c r="AK279" s="19" t="s">
        <v>75</v>
      </c>
      <c r="AL279" s="19"/>
      <c r="AM279" s="19"/>
      <c r="AN279" s="18"/>
      <c r="AO279" s="18"/>
      <c r="AP279" s="22"/>
      <c r="AQ279" s="18"/>
    </row>
    <row r="280">
      <c r="A280" s="11" t="s">
        <v>1423</v>
      </c>
      <c r="B280" s="11" t="s">
        <v>1424</v>
      </c>
      <c r="C280" s="11" t="str">
        <f>VLOOKUP(A280,import!A:C,3,0)</f>
        <v>DOĞRU</v>
      </c>
      <c r="D280" s="11" t="s">
        <v>100</v>
      </c>
      <c r="E280" s="11">
        <f>VLOOKUP(A280,import!A:J,5,0)</f>
        <v>2532</v>
      </c>
      <c r="F280" s="11">
        <f>VLOOKUP(A280,import!A:J,6,0)</f>
        <v>19</v>
      </c>
      <c r="G280" s="11">
        <f>VLOOKUP(A280,import!A:J,7,0)</f>
        <v>0</v>
      </c>
      <c r="H280" s="11">
        <f>VLOOKUP(A280,import!A:J,8,0)</f>
        <v>11</v>
      </c>
      <c r="I280" s="11">
        <f>VLOOKUP(A280,import!A:J,9,0)</f>
        <v>11</v>
      </c>
      <c r="J280" s="12">
        <f>VLOOKUP(A280,import!A:J,10,0)</f>
        <v>0</v>
      </c>
      <c r="K280" s="11" t="s">
        <v>1425</v>
      </c>
      <c r="L280" s="11">
        <v>3.525047273E9</v>
      </c>
      <c r="M280" s="11" t="s">
        <v>47</v>
      </c>
      <c r="N280" s="11" t="s">
        <v>1426</v>
      </c>
      <c r="O280" s="11" t="s">
        <v>1427</v>
      </c>
      <c r="P280" s="11" t="str">
        <f>VLOOKUP(A280,import!A:P,16,0)</f>
        <v>Geleneksel</v>
      </c>
      <c r="Q280" s="13"/>
      <c r="R280" s="13" t="b">
        <v>1</v>
      </c>
      <c r="S280" s="13" t="b">
        <v>0</v>
      </c>
      <c r="T280" s="25" t="s">
        <v>168</v>
      </c>
      <c r="U280" s="25" t="s">
        <v>95</v>
      </c>
      <c r="V280" s="28" t="s">
        <v>96</v>
      </c>
      <c r="W280" s="13" t="s">
        <v>1428</v>
      </c>
      <c r="X280" s="34">
        <v>44327.0</v>
      </c>
      <c r="Y280" s="34">
        <v>44333.0</v>
      </c>
      <c r="Z280" s="18"/>
      <c r="AA280" s="18"/>
      <c r="AB280" s="18"/>
      <c r="AC280" s="18"/>
      <c r="AD280" s="18"/>
      <c r="AE280" s="21"/>
      <c r="AF280" s="18"/>
      <c r="AG280" s="21"/>
      <c r="AH280" s="18"/>
      <c r="AI280" s="18"/>
      <c r="AJ280" s="18"/>
      <c r="AK280" s="18"/>
      <c r="AL280" s="18"/>
      <c r="AM280" s="18"/>
      <c r="AN280" s="18"/>
      <c r="AO280" s="18"/>
      <c r="AP280" s="22" t="s">
        <v>56</v>
      </c>
      <c r="AQ280" s="18"/>
    </row>
    <row r="281">
      <c r="A281" s="11" t="s">
        <v>1429</v>
      </c>
      <c r="B281" s="11" t="s">
        <v>1430</v>
      </c>
      <c r="C281" s="11" t="str">
        <f>VLOOKUP(A281,import!A:C,3,0)</f>
        <v>DOĞRU</v>
      </c>
      <c r="D281" s="11" t="s">
        <v>100</v>
      </c>
      <c r="E281" s="11">
        <f>VLOOKUP(A281,import!A:J,5,0)</f>
        <v>2200</v>
      </c>
      <c r="F281" s="11">
        <f>VLOOKUP(A281,import!A:J,6,0)</f>
        <v>75</v>
      </c>
      <c r="G281" s="11">
        <f>VLOOKUP(A281,import!A:J,7,0)</f>
        <v>0</v>
      </c>
      <c r="H281" s="11">
        <f>VLOOKUP(A281,import!A:J,8,0)</f>
        <v>23</v>
      </c>
      <c r="I281" s="11">
        <f>VLOOKUP(A281,import!A:J,9,0)</f>
        <v>23</v>
      </c>
      <c r="J281" s="12">
        <f>VLOOKUP(A281,import!A:J,10,0)</f>
        <v>0</v>
      </c>
      <c r="K281" s="11" t="s">
        <v>1431</v>
      </c>
      <c r="L281" s="11">
        <v>3.522350707E9</v>
      </c>
      <c r="M281" s="11" t="s">
        <v>47</v>
      </c>
      <c r="N281" s="11" t="s">
        <v>125</v>
      </c>
      <c r="O281" s="11" t="s">
        <v>1432</v>
      </c>
      <c r="P281" s="11" t="str">
        <f>VLOOKUP(A281,import!A:P,16,0)</f>
        <v>Geleneksel</v>
      </c>
      <c r="Q281" s="13"/>
      <c r="R281" s="13" t="b">
        <v>1</v>
      </c>
      <c r="S281" s="13" t="b">
        <v>1</v>
      </c>
      <c r="T281" s="25" t="s">
        <v>168</v>
      </c>
      <c r="U281" s="26"/>
      <c r="V281" s="26"/>
      <c r="W281" s="25" t="s">
        <v>1433</v>
      </c>
      <c r="X281" s="27"/>
      <c r="Y281" s="27"/>
      <c r="Z281" s="18"/>
      <c r="AA281" s="18"/>
      <c r="AB281" s="18"/>
      <c r="AC281" s="18"/>
      <c r="AD281" s="18"/>
      <c r="AE281" s="21"/>
      <c r="AF281" s="18"/>
      <c r="AG281" s="21"/>
      <c r="AH281" s="18"/>
      <c r="AI281" s="18"/>
      <c r="AJ281" s="18"/>
      <c r="AK281" s="18"/>
      <c r="AL281" s="18"/>
      <c r="AM281" s="18"/>
      <c r="AN281" s="18"/>
      <c r="AO281" s="18"/>
      <c r="AP281" s="22" t="s">
        <v>56</v>
      </c>
      <c r="AQ281" s="18"/>
    </row>
    <row r="282">
      <c r="A282" s="22" t="s">
        <v>1434</v>
      </c>
      <c r="B282" s="22" t="s">
        <v>1435</v>
      </c>
      <c r="C282" s="11" t="str">
        <f>VLOOKUP(A282,import!A:C,3,0)</f>
        <v>DOĞRU</v>
      </c>
      <c r="D282" s="22" t="s">
        <v>100</v>
      </c>
      <c r="E282" s="11">
        <f>VLOOKUP(A282,import!A:J,5,0)</f>
        <v>19</v>
      </c>
      <c r="F282" s="11">
        <f>VLOOKUP(A282,import!A:J,6,0)</f>
        <v>14</v>
      </c>
      <c r="G282" s="11">
        <f>VLOOKUP(A282,import!A:J,7,0)</f>
        <v>0</v>
      </c>
      <c r="H282" s="11">
        <f>VLOOKUP(A282,import!A:J,8,0)</f>
        <v>20</v>
      </c>
      <c r="I282" s="11">
        <f>VLOOKUP(A282,import!A:J,9,0)</f>
        <v>20</v>
      </c>
      <c r="J282" s="12">
        <f>VLOOKUP(A282,import!A:J,10,0)</f>
        <v>0</v>
      </c>
      <c r="K282" s="22" t="s">
        <v>1436</v>
      </c>
      <c r="L282" s="22">
        <v>5.013331038E9</v>
      </c>
      <c r="M282" s="22" t="s">
        <v>47</v>
      </c>
      <c r="N282" s="22" t="s">
        <v>131</v>
      </c>
      <c r="O282" s="22" t="s">
        <v>1437</v>
      </c>
      <c r="P282" s="11" t="str">
        <f>VLOOKUP(A282,import!A:P,16,0)</f>
        <v>Geleneksel</v>
      </c>
      <c r="Q282" s="13"/>
      <c r="R282" s="13" t="b">
        <v>0</v>
      </c>
      <c r="S282" s="13" t="b">
        <v>0</v>
      </c>
      <c r="T282" s="14"/>
      <c r="U282" s="14"/>
      <c r="V282" s="30"/>
      <c r="W282" s="14"/>
      <c r="X282" s="24"/>
      <c r="Y282" s="24"/>
      <c r="Z282" s="18"/>
      <c r="AA282" s="19"/>
      <c r="AB282" s="20"/>
      <c r="AC282" s="19"/>
      <c r="AD282" s="20"/>
      <c r="AE282" s="19"/>
      <c r="AF282" s="20"/>
      <c r="AG282" s="21"/>
      <c r="AH282" s="18"/>
      <c r="AI282" s="18"/>
      <c r="AJ282" s="18"/>
      <c r="AK282" s="19"/>
      <c r="AL282" s="19"/>
      <c r="AM282" s="19"/>
      <c r="AN282" s="18"/>
      <c r="AO282" s="18"/>
      <c r="AP282" s="22"/>
      <c r="AQ282" s="18"/>
    </row>
    <row r="283">
      <c r="A283" s="11" t="s">
        <v>1438</v>
      </c>
      <c r="B283" s="11" t="s">
        <v>1439</v>
      </c>
      <c r="C283" s="11" t="str">
        <f>VLOOKUP(A283,import!A:C,3,0)</f>
        <v>DOĞRU</v>
      </c>
      <c r="D283" s="11" t="s">
        <v>100</v>
      </c>
      <c r="E283" s="11">
        <f>VLOOKUP(A283,import!A:J,5,0)</f>
        <v>90</v>
      </c>
      <c r="F283" s="11">
        <f>VLOOKUP(A283,import!A:J,6,0)</f>
        <v>6</v>
      </c>
      <c r="G283" s="11">
        <f>VLOOKUP(A283,import!A:J,7,0)</f>
        <v>0</v>
      </c>
      <c r="H283" s="11">
        <f>VLOOKUP(A283,import!A:J,8,0)</f>
        <v>8</v>
      </c>
      <c r="I283" s="11">
        <f>VLOOKUP(A283,import!A:J,9,0)</f>
        <v>8</v>
      </c>
      <c r="J283" s="12">
        <f>VLOOKUP(A283,import!A:J,10,0)</f>
        <v>0</v>
      </c>
      <c r="K283" s="11" t="s">
        <v>1440</v>
      </c>
      <c r="L283" s="11">
        <v>5.066082974E9</v>
      </c>
      <c r="M283" s="11" t="s">
        <v>47</v>
      </c>
      <c r="N283" s="11" t="s">
        <v>1085</v>
      </c>
      <c r="O283" s="11" t="s">
        <v>1441</v>
      </c>
      <c r="P283" s="11" t="str">
        <f>VLOOKUP(A283,import!A:P,16,0)</f>
        <v>Geleneksel</v>
      </c>
      <c r="Q283" s="13"/>
      <c r="R283" s="13" t="b">
        <v>1</v>
      </c>
      <c r="S283" s="13" t="b">
        <v>0</v>
      </c>
      <c r="T283" s="14" t="s">
        <v>1442</v>
      </c>
      <c r="U283" s="14"/>
      <c r="V283" s="14"/>
      <c r="W283" s="14" t="s">
        <v>1443</v>
      </c>
      <c r="X283" s="24"/>
      <c r="Y283" s="24"/>
      <c r="Z283" s="18"/>
      <c r="AA283" s="19"/>
      <c r="AB283" s="20"/>
      <c r="AC283" s="19"/>
      <c r="AD283" s="20"/>
      <c r="AE283" s="21"/>
      <c r="AF283" s="18"/>
      <c r="AG283" s="21"/>
      <c r="AH283" s="18"/>
      <c r="AI283" s="18"/>
      <c r="AJ283" s="18"/>
      <c r="AK283" s="19"/>
      <c r="AL283" s="19"/>
      <c r="AM283" s="18"/>
      <c r="AN283" s="18"/>
      <c r="AO283" s="18"/>
      <c r="AP283" s="22"/>
      <c r="AQ283" s="18"/>
    </row>
    <row r="284">
      <c r="A284" s="11" t="s">
        <v>1444</v>
      </c>
      <c r="B284" s="11" t="s">
        <v>1445</v>
      </c>
      <c r="C284" s="11" t="str">
        <f>VLOOKUP(A284,import!A:C,3,0)</f>
        <v>YANLIŞ</v>
      </c>
      <c r="D284" s="11" t="s">
        <v>100</v>
      </c>
      <c r="E284" s="11">
        <f>VLOOKUP(A284,import!A:J,5,0)</f>
        <v>1</v>
      </c>
      <c r="F284" s="11" t="str">
        <f>VLOOKUP(A284,import!A:J,6,0)</f>
        <v/>
      </c>
      <c r="G284" s="11">
        <f>VLOOKUP(A284,import!A:J,7,0)</f>
        <v>0</v>
      </c>
      <c r="H284" s="11">
        <f>VLOOKUP(A284,import!A:J,8,0)</f>
        <v>25</v>
      </c>
      <c r="I284" s="11">
        <f>VLOOKUP(A284,import!A:J,9,0)</f>
        <v>25</v>
      </c>
      <c r="J284" s="12">
        <f>VLOOKUP(A284,import!A:J,10,0)</f>
        <v>0</v>
      </c>
      <c r="K284" s="11" t="s">
        <v>1446</v>
      </c>
      <c r="L284" s="11">
        <v>5.36352871E9</v>
      </c>
      <c r="M284" s="11" t="s">
        <v>47</v>
      </c>
      <c r="N284" s="11" t="s">
        <v>884</v>
      </c>
      <c r="O284" s="11" t="s">
        <v>1447</v>
      </c>
      <c r="P284" s="11" t="str">
        <f>VLOOKUP(A284,import!A:P,16,0)</f>
        <v>Geleneksel</v>
      </c>
      <c r="Q284" s="13"/>
      <c r="R284" s="13" t="b">
        <v>1</v>
      </c>
      <c r="S284" s="13" t="b">
        <v>0</v>
      </c>
      <c r="T284" s="14" t="s">
        <v>1442</v>
      </c>
      <c r="U284" s="14"/>
      <c r="V284" s="14"/>
      <c r="W284" s="14" t="s">
        <v>1443</v>
      </c>
      <c r="X284" s="24"/>
      <c r="Y284" s="24"/>
      <c r="Z284" s="18"/>
      <c r="AA284" s="19"/>
      <c r="AB284" s="20"/>
      <c r="AC284" s="19"/>
      <c r="AD284" s="20"/>
      <c r="AE284" s="21"/>
      <c r="AF284" s="18"/>
      <c r="AG284" s="21"/>
      <c r="AH284" s="18"/>
      <c r="AI284" s="18"/>
      <c r="AJ284" s="18"/>
      <c r="AK284" s="19"/>
      <c r="AL284" s="19"/>
      <c r="AM284" s="18"/>
      <c r="AN284" s="18"/>
      <c r="AO284" s="18"/>
      <c r="AP284" s="22"/>
      <c r="AQ284" s="18"/>
    </row>
    <row r="285">
      <c r="A285" s="22" t="s">
        <v>1448</v>
      </c>
      <c r="B285" s="22" t="s">
        <v>1449</v>
      </c>
      <c r="C285" s="11" t="str">
        <f>VLOOKUP(A285,import!A:C,3,0)</f>
        <v>DOĞRU</v>
      </c>
      <c r="D285" s="22" t="s">
        <v>100</v>
      </c>
      <c r="E285" s="11">
        <f>VLOOKUP(A285,import!A:J,5,0)</f>
        <v>4</v>
      </c>
      <c r="F285" s="11">
        <f>VLOOKUP(A285,import!A:J,6,0)</f>
        <v>4</v>
      </c>
      <c r="G285" s="11">
        <f>VLOOKUP(A285,import!A:J,7,0)</f>
        <v>0</v>
      </c>
      <c r="H285" s="11">
        <f>VLOOKUP(A285,import!A:J,8,0)</f>
        <v>12</v>
      </c>
      <c r="I285" s="11">
        <f>VLOOKUP(A285,import!A:J,9,0)</f>
        <v>12</v>
      </c>
      <c r="J285" s="12">
        <f>VLOOKUP(A285,import!A:J,10,0)</f>
        <v>0</v>
      </c>
      <c r="K285" s="22" t="s">
        <v>1450</v>
      </c>
      <c r="L285" s="22">
        <v>5.392228359E9</v>
      </c>
      <c r="M285" s="22" t="s">
        <v>47</v>
      </c>
      <c r="N285" s="22" t="s">
        <v>138</v>
      </c>
      <c r="O285" s="22" t="s">
        <v>1451</v>
      </c>
      <c r="P285" s="11" t="str">
        <f>VLOOKUP(A285,import!A:P,16,0)</f>
        <v>Geleneksel</v>
      </c>
      <c r="Q285" s="13"/>
      <c r="R285" s="13" t="b">
        <v>1</v>
      </c>
      <c r="S285" s="13" t="b">
        <v>0</v>
      </c>
      <c r="T285" s="14" t="s">
        <v>74</v>
      </c>
      <c r="U285" s="14" t="s">
        <v>75</v>
      </c>
      <c r="V285" s="30" t="s">
        <v>76</v>
      </c>
      <c r="W285" s="14"/>
      <c r="X285" s="24">
        <v>44678.0</v>
      </c>
      <c r="Y285" s="24">
        <v>44679.0</v>
      </c>
      <c r="Z285" s="18"/>
      <c r="AA285" s="19" t="s">
        <v>54</v>
      </c>
      <c r="AB285" s="24">
        <v>44678.0</v>
      </c>
      <c r="AC285" s="19"/>
      <c r="AD285" s="20"/>
      <c r="AE285" s="19"/>
      <c r="AF285" s="20"/>
      <c r="AG285" s="21"/>
      <c r="AH285" s="18"/>
      <c r="AI285" s="18"/>
      <c r="AJ285" s="18"/>
      <c r="AK285" s="19" t="s">
        <v>75</v>
      </c>
      <c r="AL285" s="19"/>
      <c r="AM285" s="19"/>
      <c r="AN285" s="18"/>
      <c r="AO285" s="18"/>
      <c r="AP285" s="22"/>
      <c r="AQ285" s="18"/>
    </row>
    <row r="286">
      <c r="A286" s="11" t="s">
        <v>1452</v>
      </c>
      <c r="B286" s="11" t="s">
        <v>1453</v>
      </c>
      <c r="C286" s="11" t="str">
        <f>VLOOKUP(A286,import!A:C,3,0)</f>
        <v>DOĞRU</v>
      </c>
      <c r="D286" s="11" t="s">
        <v>100</v>
      </c>
      <c r="E286" s="11">
        <f>VLOOKUP(A286,import!A:J,5,0)</f>
        <v>1</v>
      </c>
      <c r="F286" s="11">
        <f>VLOOKUP(A286,import!A:J,6,0)</f>
        <v>1</v>
      </c>
      <c r="G286" s="11">
        <f>VLOOKUP(A286,import!A:J,7,0)</f>
        <v>0</v>
      </c>
      <c r="H286" s="11">
        <f>VLOOKUP(A286,import!A:J,8,0)</f>
        <v>13</v>
      </c>
      <c r="I286" s="11">
        <f>VLOOKUP(A286,import!A:J,9,0)</f>
        <v>13</v>
      </c>
      <c r="J286" s="12">
        <f>VLOOKUP(A286,import!A:J,10,0)</f>
        <v>0</v>
      </c>
      <c r="K286" s="11" t="s">
        <v>1454</v>
      </c>
      <c r="L286" s="11">
        <v>3.524374647E9</v>
      </c>
      <c r="M286" s="11" t="s">
        <v>61</v>
      </c>
      <c r="N286" s="11" t="s">
        <v>1000</v>
      </c>
      <c r="O286" s="11" t="s">
        <v>1455</v>
      </c>
      <c r="P286" s="11" t="str">
        <f>VLOOKUP(A286,import!A:P,16,0)</f>
        <v>Geleneksel</v>
      </c>
      <c r="Q286" s="13"/>
      <c r="R286" s="13" t="b">
        <v>1</v>
      </c>
      <c r="S286" s="13" t="b">
        <v>0</v>
      </c>
      <c r="T286" s="14" t="s">
        <v>74</v>
      </c>
      <c r="U286" s="14" t="s">
        <v>110</v>
      </c>
      <c r="V286" s="23" t="s">
        <v>76</v>
      </c>
      <c r="W286" s="14"/>
      <c r="X286" s="24">
        <v>44670.0</v>
      </c>
      <c r="Y286" s="24">
        <v>44671.0</v>
      </c>
      <c r="Z286" s="18"/>
      <c r="AA286" s="19" t="s">
        <v>54</v>
      </c>
      <c r="AB286" s="20">
        <v>44670.0</v>
      </c>
      <c r="AC286" s="19"/>
      <c r="AD286" s="20"/>
      <c r="AE286" s="19"/>
      <c r="AF286" s="20"/>
      <c r="AG286" s="21"/>
      <c r="AH286" s="18"/>
      <c r="AI286" s="18"/>
      <c r="AJ286" s="18"/>
      <c r="AK286" s="19" t="s">
        <v>110</v>
      </c>
      <c r="AL286" s="19"/>
      <c r="AM286" s="19"/>
      <c r="AN286" s="18"/>
      <c r="AO286" s="18"/>
      <c r="AP286" s="22"/>
      <c r="AQ286" s="18"/>
    </row>
    <row r="287">
      <c r="A287" s="11" t="s">
        <v>1456</v>
      </c>
      <c r="B287" s="11" t="s">
        <v>1457</v>
      </c>
      <c r="C287" s="11" t="str">
        <f>VLOOKUP(A287,import!A:C,3,0)</f>
        <v>DOĞRU</v>
      </c>
      <c r="D287" s="11" t="s">
        <v>100</v>
      </c>
      <c r="E287" s="11">
        <f>VLOOKUP(A287,import!A:J,5,0)</f>
        <v>511</v>
      </c>
      <c r="F287" s="11">
        <f>VLOOKUP(A287,import!A:J,6,0)</f>
        <v>62</v>
      </c>
      <c r="G287" s="11">
        <f>VLOOKUP(A287,import!A:J,7,0)</f>
        <v>0</v>
      </c>
      <c r="H287" s="11">
        <f>VLOOKUP(A287,import!A:J,8,0)</f>
        <v>33</v>
      </c>
      <c r="I287" s="11">
        <f>VLOOKUP(A287,import!A:J,9,0)</f>
        <v>33</v>
      </c>
      <c r="J287" s="12">
        <f>VLOOKUP(A287,import!A:J,10,0)</f>
        <v>0</v>
      </c>
      <c r="K287" s="11" t="s">
        <v>1458</v>
      </c>
      <c r="L287" s="11">
        <v>5.418573438E9</v>
      </c>
      <c r="M287" s="11" t="s">
        <v>61</v>
      </c>
      <c r="N287" s="11" t="s">
        <v>811</v>
      </c>
      <c r="O287" s="11" t="s">
        <v>1459</v>
      </c>
      <c r="P287" s="11" t="str">
        <f>VLOOKUP(A287,import!A:P,16,0)</f>
        <v>Geleneksel</v>
      </c>
      <c r="Q287" s="13"/>
      <c r="R287" s="13" t="b">
        <v>1</v>
      </c>
      <c r="S287" s="13" t="b">
        <v>0</v>
      </c>
      <c r="T287" s="14" t="s">
        <v>145</v>
      </c>
      <c r="U287" s="14"/>
      <c r="V287" s="14"/>
      <c r="W287" s="14" t="s">
        <v>1460</v>
      </c>
      <c r="X287" s="24"/>
      <c r="Y287" s="24"/>
      <c r="Z287" s="18"/>
      <c r="AA287" s="19"/>
      <c r="AB287" s="20"/>
      <c r="AC287" s="19"/>
      <c r="AD287" s="20"/>
      <c r="AE287" s="21"/>
      <c r="AF287" s="18"/>
      <c r="AG287" s="21"/>
      <c r="AH287" s="18"/>
      <c r="AI287" s="18"/>
      <c r="AJ287" s="18"/>
      <c r="AK287" s="19"/>
      <c r="AL287" s="19"/>
      <c r="AM287" s="18"/>
      <c r="AN287" s="18"/>
      <c r="AO287" s="18"/>
      <c r="AP287" s="22" t="s">
        <v>56</v>
      </c>
      <c r="AQ287" s="18"/>
    </row>
    <row r="288">
      <c r="A288" s="11" t="s">
        <v>1461</v>
      </c>
      <c r="B288" s="11" t="s">
        <v>1462</v>
      </c>
      <c r="C288" s="11" t="str">
        <f>VLOOKUP(A288,import!A:C,3,0)</f>
        <v>DOĞRU</v>
      </c>
      <c r="D288" s="11" t="s">
        <v>100</v>
      </c>
      <c r="E288" s="11">
        <f>VLOOKUP(A288,import!A:J,5,0)</f>
        <v>152</v>
      </c>
      <c r="F288" s="11" t="str">
        <f>VLOOKUP(A288,import!A:J,6,0)</f>
        <v/>
      </c>
      <c r="G288" s="11">
        <f>VLOOKUP(A288,import!A:J,7,0)</f>
        <v>0</v>
      </c>
      <c r="H288" s="11">
        <f>VLOOKUP(A288,import!A:J,8,0)</f>
        <v>14</v>
      </c>
      <c r="I288" s="11">
        <f>VLOOKUP(A288,import!A:J,9,0)</f>
        <v>14</v>
      </c>
      <c r="J288" s="12">
        <f>VLOOKUP(A288,import!A:J,10,0)</f>
        <v>0</v>
      </c>
      <c r="K288" s="11" t="s">
        <v>1463</v>
      </c>
      <c r="L288" s="11">
        <v>5.365137938E9</v>
      </c>
      <c r="M288" s="11" t="s">
        <v>61</v>
      </c>
      <c r="N288" s="11" t="s">
        <v>62</v>
      </c>
      <c r="O288" s="11" t="s">
        <v>1464</v>
      </c>
      <c r="P288" s="11" t="str">
        <f>VLOOKUP(A288,import!A:P,16,0)</f>
        <v>Geleneksel</v>
      </c>
      <c r="Q288" s="13"/>
      <c r="R288" s="13" t="b">
        <v>1</v>
      </c>
      <c r="S288" s="13" t="b">
        <v>0</v>
      </c>
      <c r="T288" s="14" t="s">
        <v>53</v>
      </c>
      <c r="U288" s="14"/>
      <c r="V288" s="14"/>
      <c r="W288" s="14" t="s">
        <v>267</v>
      </c>
      <c r="X288" s="24"/>
      <c r="Y288" s="24"/>
      <c r="Z288" s="18"/>
      <c r="AA288" s="19" t="s">
        <v>53</v>
      </c>
      <c r="AB288" s="20">
        <v>44579.0</v>
      </c>
      <c r="AC288" s="19" t="s">
        <v>53</v>
      </c>
      <c r="AD288" s="20">
        <v>44635.0</v>
      </c>
      <c r="AE288" s="19" t="s">
        <v>53</v>
      </c>
      <c r="AF288" s="20">
        <v>44638.0</v>
      </c>
      <c r="AG288" s="21"/>
      <c r="AH288" s="18"/>
      <c r="AI288" s="18"/>
      <c r="AJ288" s="18"/>
      <c r="AK288" s="19" t="s">
        <v>95</v>
      </c>
      <c r="AL288" s="19" t="s">
        <v>140</v>
      </c>
      <c r="AM288" s="19" t="s">
        <v>140</v>
      </c>
      <c r="AN288" s="18"/>
      <c r="AO288" s="18"/>
      <c r="AP288" s="22" t="s">
        <v>56</v>
      </c>
      <c r="AQ288" s="18"/>
    </row>
    <row r="289">
      <c r="A289" s="11" t="s">
        <v>1465</v>
      </c>
      <c r="B289" s="11" t="s">
        <v>1466</v>
      </c>
      <c r="C289" s="11" t="str">
        <f>VLOOKUP(A289,import!A:C,3,0)</f>
        <v>DOĞRU</v>
      </c>
      <c r="D289" s="11" t="s">
        <v>100</v>
      </c>
      <c r="E289" s="11">
        <f>VLOOKUP(A289,import!A:J,5,0)</f>
        <v>4389</v>
      </c>
      <c r="F289" s="11">
        <f>VLOOKUP(A289,import!A:J,6,0)</f>
        <v>54</v>
      </c>
      <c r="G289" s="11">
        <f>VLOOKUP(A289,import!A:J,7,0)</f>
        <v>4</v>
      </c>
      <c r="H289" s="11">
        <f>VLOOKUP(A289,import!A:J,8,0)</f>
        <v>17</v>
      </c>
      <c r="I289" s="11">
        <f>VLOOKUP(A289,import!A:J,9,0)</f>
        <v>21</v>
      </c>
      <c r="J289" s="12">
        <f>VLOOKUP(A289,import!A:J,10,0)</f>
        <v>0.19</v>
      </c>
      <c r="K289" s="11" t="s">
        <v>1467</v>
      </c>
      <c r="L289" s="11">
        <v>5.418563438E9</v>
      </c>
      <c r="M289" s="11" t="s">
        <v>61</v>
      </c>
      <c r="N289" s="11" t="s">
        <v>62</v>
      </c>
      <c r="O289" s="11" t="s">
        <v>1468</v>
      </c>
      <c r="P289" s="11" t="str">
        <f>VLOOKUP(A289,import!A:P,16,0)</f>
        <v>Geleneksel</v>
      </c>
      <c r="Q289" s="13"/>
      <c r="R289" s="13" t="b">
        <v>1</v>
      </c>
      <c r="S289" s="13" t="b">
        <v>0</v>
      </c>
      <c r="T289" s="25" t="s">
        <v>74</v>
      </c>
      <c r="U289" s="25" t="s">
        <v>55</v>
      </c>
      <c r="V289" s="28" t="s">
        <v>96</v>
      </c>
      <c r="W289" s="25" t="s">
        <v>1469</v>
      </c>
      <c r="X289" s="34">
        <v>44361.0</v>
      </c>
      <c r="Y289" s="34">
        <v>44363.0</v>
      </c>
      <c r="Z289" s="18"/>
      <c r="AA289" s="19" t="s">
        <v>54</v>
      </c>
      <c r="AB289" s="20">
        <v>44361.0</v>
      </c>
      <c r="AC289" s="18"/>
      <c r="AD289" s="18"/>
      <c r="AE289" s="21"/>
      <c r="AF289" s="18"/>
      <c r="AG289" s="21"/>
      <c r="AH289" s="18"/>
      <c r="AI289" s="18"/>
      <c r="AJ289" s="18"/>
      <c r="AK289" s="19" t="s">
        <v>55</v>
      </c>
      <c r="AL289" s="18"/>
      <c r="AM289" s="18"/>
      <c r="AN289" s="18"/>
      <c r="AO289" s="18"/>
      <c r="AP289" s="22" t="s">
        <v>56</v>
      </c>
      <c r="AQ289" s="18"/>
    </row>
    <row r="290">
      <c r="A290" s="11" t="s">
        <v>1470</v>
      </c>
      <c r="B290" s="11" t="s">
        <v>1471</v>
      </c>
      <c r="C290" s="11" t="str">
        <f>VLOOKUP(A290,import!A:C,3,0)</f>
        <v>DOĞRU</v>
      </c>
      <c r="D290" s="11" t="s">
        <v>453</v>
      </c>
      <c r="E290" s="11">
        <f>VLOOKUP(A290,import!A:J,5,0)</f>
        <v>9</v>
      </c>
      <c r="F290" s="11" t="str">
        <f>VLOOKUP(A290,import!A:J,6,0)</f>
        <v/>
      </c>
      <c r="G290" s="11">
        <f>VLOOKUP(A290,import!A:J,7,0)</f>
        <v>0</v>
      </c>
      <c r="H290" s="11">
        <f>VLOOKUP(A290,import!A:J,8,0)</f>
        <v>10</v>
      </c>
      <c r="I290" s="11">
        <f>VLOOKUP(A290,import!A:J,9,0)</f>
        <v>10</v>
      </c>
      <c r="J290" s="12">
        <f>VLOOKUP(A290,import!A:J,10,0)</f>
        <v>0</v>
      </c>
      <c r="K290" s="11" t="s">
        <v>1472</v>
      </c>
      <c r="L290" s="11">
        <v>5.452811234E9</v>
      </c>
      <c r="M290" s="11" t="s">
        <v>47</v>
      </c>
      <c r="N290" s="11" t="s">
        <v>1048</v>
      </c>
      <c r="O290" s="11" t="s">
        <v>1473</v>
      </c>
      <c r="P290" s="11" t="str">
        <f>VLOOKUP(A290,import!A:P,16,0)</f>
        <v>Geleneksel</v>
      </c>
      <c r="Q290" s="13"/>
      <c r="R290" s="13" t="b">
        <v>1</v>
      </c>
      <c r="S290" s="13" t="b">
        <v>0</v>
      </c>
      <c r="T290" s="14" t="s">
        <v>133</v>
      </c>
      <c r="U290" s="14" t="s">
        <v>75</v>
      </c>
      <c r="V290" s="33" t="s">
        <v>76</v>
      </c>
      <c r="W290" s="14" t="s">
        <v>1474</v>
      </c>
      <c r="X290" s="24">
        <v>44634.0</v>
      </c>
      <c r="Y290" s="24">
        <v>44635.0</v>
      </c>
      <c r="Z290" s="18"/>
      <c r="AA290" s="19" t="s">
        <v>54</v>
      </c>
      <c r="AB290" s="24">
        <v>44634.0</v>
      </c>
      <c r="AC290" s="19" t="s">
        <v>54</v>
      </c>
      <c r="AD290" s="20">
        <v>44662.0</v>
      </c>
      <c r="AE290" s="19"/>
      <c r="AF290" s="20"/>
      <c r="AG290" s="21"/>
      <c r="AH290" s="18"/>
      <c r="AI290" s="18"/>
      <c r="AJ290" s="18"/>
      <c r="AK290" s="19" t="s">
        <v>75</v>
      </c>
      <c r="AL290" s="19" t="s">
        <v>110</v>
      </c>
      <c r="AM290" s="19"/>
      <c r="AN290" s="18"/>
      <c r="AO290" s="18"/>
      <c r="AP290" s="22"/>
      <c r="AQ290" s="18"/>
    </row>
    <row r="291">
      <c r="A291" s="11" t="s">
        <v>1475</v>
      </c>
      <c r="B291" s="11" t="s">
        <v>1476</v>
      </c>
      <c r="C291" s="11" t="str">
        <f>VLOOKUP(A291,import!A:C,3,0)</f>
        <v>DOĞRU</v>
      </c>
      <c r="D291" s="11" t="s">
        <v>845</v>
      </c>
      <c r="E291" s="11">
        <f>VLOOKUP(A291,import!A:J,5,0)</f>
        <v>6</v>
      </c>
      <c r="F291" s="11" t="str">
        <f>VLOOKUP(A291,import!A:J,6,0)</f>
        <v/>
      </c>
      <c r="G291" s="11">
        <f>VLOOKUP(A291,import!A:J,7,0)</f>
        <v>9</v>
      </c>
      <c r="H291" s="11">
        <f>VLOOKUP(A291,import!A:J,8,0)</f>
        <v>63</v>
      </c>
      <c r="I291" s="11">
        <f>VLOOKUP(A291,import!A:J,9,0)</f>
        <v>72</v>
      </c>
      <c r="J291" s="12">
        <f>VLOOKUP(A291,import!A:J,10,0)</f>
        <v>0.13</v>
      </c>
      <c r="K291" s="11" t="s">
        <v>1477</v>
      </c>
      <c r="L291" s="11">
        <v>3.52333305E9</v>
      </c>
      <c r="M291" s="11" t="s">
        <v>47</v>
      </c>
      <c r="N291" s="11" t="s">
        <v>47</v>
      </c>
      <c r="O291" s="11" t="s">
        <v>1478</v>
      </c>
      <c r="P291" s="11" t="str">
        <f>VLOOKUP(A291,import!A:P,16,0)</f>
        <v>Geleneksel</v>
      </c>
      <c r="Q291" s="13"/>
      <c r="R291" s="13" t="b">
        <v>1</v>
      </c>
      <c r="S291" s="13" t="b">
        <v>0</v>
      </c>
      <c r="T291" s="14" t="s">
        <v>74</v>
      </c>
      <c r="U291" s="14" t="s">
        <v>110</v>
      </c>
      <c r="V291" s="30" t="s">
        <v>76</v>
      </c>
      <c r="W291" s="14">
        <v>5.352380553E9</v>
      </c>
      <c r="X291" s="24">
        <v>44636.0</v>
      </c>
      <c r="Y291" s="24">
        <v>44637.0</v>
      </c>
      <c r="Z291" s="18"/>
      <c r="AA291" s="19" t="s">
        <v>54</v>
      </c>
      <c r="AB291" s="24">
        <v>44634.0</v>
      </c>
      <c r="AC291" s="19" t="s">
        <v>347</v>
      </c>
      <c r="AD291" s="20">
        <v>44635.0</v>
      </c>
      <c r="AE291" s="19" t="s">
        <v>54</v>
      </c>
      <c r="AF291" s="20">
        <v>44636.0</v>
      </c>
      <c r="AG291" s="21"/>
      <c r="AH291" s="18"/>
      <c r="AI291" s="18"/>
      <c r="AJ291" s="18"/>
      <c r="AK291" s="19" t="s">
        <v>75</v>
      </c>
      <c r="AL291" s="19" t="s">
        <v>110</v>
      </c>
      <c r="AM291" s="19" t="s">
        <v>110</v>
      </c>
      <c r="AN291" s="18"/>
      <c r="AO291" s="18"/>
      <c r="AP291" s="22"/>
      <c r="AQ291" s="18"/>
    </row>
    <row r="292">
      <c r="A292" s="11" t="s">
        <v>1479</v>
      </c>
      <c r="B292" s="11" t="s">
        <v>1480</v>
      </c>
      <c r="C292" s="11" t="str">
        <f>VLOOKUP(A292,import!A:C,3,0)</f>
        <v>DOĞRU</v>
      </c>
      <c r="D292" s="11" t="s">
        <v>69</v>
      </c>
      <c r="E292" s="11">
        <f>VLOOKUP(A292,import!A:J,5,0)</f>
        <v>766</v>
      </c>
      <c r="F292" s="11">
        <f>VLOOKUP(A292,import!A:J,6,0)</f>
        <v>119</v>
      </c>
      <c r="G292" s="11">
        <f>VLOOKUP(A292,import!A:J,7,0)</f>
        <v>0</v>
      </c>
      <c r="H292" s="11">
        <f>VLOOKUP(A292,import!A:J,8,0)</f>
        <v>31</v>
      </c>
      <c r="I292" s="11">
        <f>VLOOKUP(A292,import!A:J,9,0)</f>
        <v>31</v>
      </c>
      <c r="J292" s="12">
        <f>VLOOKUP(A292,import!A:J,10,0)</f>
        <v>0</v>
      </c>
      <c r="K292" s="11" t="s">
        <v>1481</v>
      </c>
      <c r="L292" s="11">
        <v>5.424328119E9</v>
      </c>
      <c r="M292" s="11" t="s">
        <v>71</v>
      </c>
      <c r="N292" s="11" t="s">
        <v>1116</v>
      </c>
      <c r="O292" s="11" t="s">
        <v>1482</v>
      </c>
      <c r="P292" s="11" t="str">
        <f>VLOOKUP(A292,import!A:P,16,0)</f>
        <v>Geleneksel</v>
      </c>
      <c r="Q292" s="13"/>
      <c r="R292" s="13" t="b">
        <v>1</v>
      </c>
      <c r="S292" s="13" t="b">
        <v>0</v>
      </c>
      <c r="T292" s="14" t="s">
        <v>74</v>
      </c>
      <c r="U292" s="14" t="s">
        <v>75</v>
      </c>
      <c r="V292" s="30" t="s">
        <v>76</v>
      </c>
      <c r="W292" s="14"/>
      <c r="X292" s="24">
        <v>44624.0</v>
      </c>
      <c r="Y292" s="24">
        <v>44627.0</v>
      </c>
      <c r="Z292" s="18"/>
      <c r="AA292" s="19" t="s">
        <v>54</v>
      </c>
      <c r="AB292" s="24">
        <v>44624.0</v>
      </c>
      <c r="AC292" s="19"/>
      <c r="AD292" s="20"/>
      <c r="AE292" s="21"/>
      <c r="AF292" s="18"/>
      <c r="AG292" s="21"/>
      <c r="AH292" s="18"/>
      <c r="AI292" s="18"/>
      <c r="AJ292" s="18"/>
      <c r="AK292" s="19" t="s">
        <v>75</v>
      </c>
      <c r="AL292" s="19"/>
      <c r="AM292" s="18"/>
      <c r="AN292" s="18"/>
      <c r="AO292" s="18"/>
      <c r="AP292" s="22"/>
      <c r="AQ292" s="18"/>
    </row>
    <row r="293">
      <c r="A293" s="22" t="s">
        <v>1483</v>
      </c>
      <c r="B293" s="22" t="s">
        <v>1484</v>
      </c>
      <c r="C293" s="11" t="str">
        <f>VLOOKUP(A293,import!A:C,3,0)</f>
        <v>DOĞRU</v>
      </c>
      <c r="D293" s="22" t="s">
        <v>59</v>
      </c>
      <c r="E293" s="11" t="str">
        <f>VLOOKUP(A293,import!A:J,5,0)</f>
        <v/>
      </c>
      <c r="F293" s="11" t="str">
        <f>VLOOKUP(A293,import!A:J,6,0)</f>
        <v/>
      </c>
      <c r="G293" s="11">
        <f>VLOOKUP(A293,import!A:J,7,0)</f>
        <v>0</v>
      </c>
      <c r="H293" s="11">
        <f>VLOOKUP(A293,import!A:J,8,0)</f>
        <v>145</v>
      </c>
      <c r="I293" s="11">
        <f>VLOOKUP(A293,import!A:J,9,0)</f>
        <v>145</v>
      </c>
      <c r="J293" s="12">
        <f>VLOOKUP(A293,import!A:J,10,0)</f>
        <v>0</v>
      </c>
      <c r="K293" s="22" t="s">
        <v>1485</v>
      </c>
      <c r="L293" s="22">
        <v>5.333843383E9</v>
      </c>
      <c r="M293" s="22" t="s">
        <v>47</v>
      </c>
      <c r="N293" s="22" t="s">
        <v>307</v>
      </c>
      <c r="O293" s="22" t="s">
        <v>1486</v>
      </c>
      <c r="P293" s="11" t="str">
        <f>VLOOKUP(A293,import!A:P,16,0)</f>
        <v>Geleneksel</v>
      </c>
      <c r="Q293" s="13"/>
      <c r="R293" s="13" t="b">
        <v>1</v>
      </c>
      <c r="S293" s="13" t="b">
        <v>0</v>
      </c>
      <c r="T293" s="14" t="s">
        <v>133</v>
      </c>
      <c r="U293" s="14" t="s">
        <v>110</v>
      </c>
      <c r="V293" s="35" t="s">
        <v>76</v>
      </c>
      <c r="W293" s="14"/>
      <c r="X293" s="24">
        <v>44673.0</v>
      </c>
      <c r="Y293" s="24">
        <v>44676.0</v>
      </c>
      <c r="Z293" s="18"/>
      <c r="AA293" s="19" t="s">
        <v>54</v>
      </c>
      <c r="AB293" s="20">
        <v>44673.0</v>
      </c>
      <c r="AC293" s="19"/>
      <c r="AD293" s="20"/>
      <c r="AE293" s="19"/>
      <c r="AF293" s="20"/>
      <c r="AG293" s="21"/>
      <c r="AH293" s="18"/>
      <c r="AI293" s="18"/>
      <c r="AJ293" s="18"/>
      <c r="AK293" s="19" t="s">
        <v>110</v>
      </c>
      <c r="AL293" s="19"/>
      <c r="AM293" s="19"/>
      <c r="AN293" s="18"/>
      <c r="AO293" s="18"/>
      <c r="AP293" s="22"/>
      <c r="AQ293" s="18"/>
    </row>
    <row r="294">
      <c r="A294" s="11" t="s">
        <v>1487</v>
      </c>
      <c r="B294" s="11" t="s">
        <v>1488</v>
      </c>
      <c r="C294" s="11" t="str">
        <f>VLOOKUP(A294,import!A:C,3,0)</f>
        <v>YANLIŞ</v>
      </c>
      <c r="D294" s="11" t="s">
        <v>855</v>
      </c>
      <c r="E294" s="11">
        <f>VLOOKUP(A294,import!A:J,5,0)</f>
        <v>13</v>
      </c>
      <c r="F294" s="11" t="str">
        <f>VLOOKUP(A294,import!A:J,6,0)</f>
        <v/>
      </c>
      <c r="G294" s="11">
        <f>VLOOKUP(A294,import!A:J,7,0)</f>
        <v>0</v>
      </c>
      <c r="H294" s="11">
        <f>VLOOKUP(A294,import!A:J,8,0)</f>
        <v>29</v>
      </c>
      <c r="I294" s="11">
        <f>VLOOKUP(A294,import!A:J,9,0)</f>
        <v>29</v>
      </c>
      <c r="J294" s="12">
        <f>VLOOKUP(A294,import!A:J,10,0)</f>
        <v>0</v>
      </c>
      <c r="K294" s="11" t="s">
        <v>1489</v>
      </c>
      <c r="L294" s="11">
        <v>5.527997171E9</v>
      </c>
      <c r="M294" s="11" t="s">
        <v>47</v>
      </c>
      <c r="N294" s="11" t="s">
        <v>1085</v>
      </c>
      <c r="O294" s="11" t="s">
        <v>1490</v>
      </c>
      <c r="P294" s="11" t="str">
        <f>VLOOKUP(A294,import!A:P,16,0)</f>
        <v>Geleneksel</v>
      </c>
      <c r="Q294" s="13"/>
      <c r="R294" s="13" t="b">
        <v>0</v>
      </c>
      <c r="S294" s="13" t="b">
        <v>0</v>
      </c>
      <c r="T294" s="14"/>
      <c r="U294" s="14"/>
      <c r="V294" s="14"/>
      <c r="W294" s="14"/>
      <c r="X294" s="24"/>
      <c r="Y294" s="24"/>
      <c r="Z294" s="18"/>
      <c r="AA294" s="19"/>
      <c r="AB294" s="20"/>
      <c r="AC294" s="19"/>
      <c r="AD294" s="20"/>
      <c r="AE294" s="21"/>
      <c r="AF294" s="18"/>
      <c r="AG294" s="21"/>
      <c r="AH294" s="18"/>
      <c r="AI294" s="18"/>
      <c r="AJ294" s="18"/>
      <c r="AK294" s="19"/>
      <c r="AL294" s="19"/>
      <c r="AM294" s="18"/>
      <c r="AN294" s="18"/>
      <c r="AO294" s="18"/>
      <c r="AP294" s="22" t="s">
        <v>56</v>
      </c>
      <c r="AQ294" s="18"/>
    </row>
    <row r="295">
      <c r="A295" s="11" t="s">
        <v>1491</v>
      </c>
      <c r="B295" s="11" t="s">
        <v>1492</v>
      </c>
      <c r="C295" s="11" t="str">
        <f>VLOOKUP(A295,import!A:C,3,0)</f>
        <v>DOĞRU</v>
      </c>
      <c r="D295" s="11" t="s">
        <v>59</v>
      </c>
      <c r="E295" s="11">
        <f>VLOOKUP(A295,import!A:J,5,0)</f>
        <v>676</v>
      </c>
      <c r="F295" s="11">
        <f>VLOOKUP(A295,import!A:J,6,0)</f>
        <v>7</v>
      </c>
      <c r="G295" s="11">
        <f>VLOOKUP(A295,import!A:J,7,0)</f>
        <v>0</v>
      </c>
      <c r="H295" s="11">
        <f>VLOOKUP(A295,import!A:J,8,0)</f>
        <v>16</v>
      </c>
      <c r="I295" s="11">
        <f>VLOOKUP(A295,import!A:J,9,0)</f>
        <v>16</v>
      </c>
      <c r="J295" s="12">
        <f>VLOOKUP(A295,import!A:J,10,0)</f>
        <v>0</v>
      </c>
      <c r="K295" s="11" t="s">
        <v>1493</v>
      </c>
      <c r="L295" s="11">
        <v>5.533629482E9</v>
      </c>
      <c r="M295" s="11" t="s">
        <v>71</v>
      </c>
      <c r="N295" s="11" t="s">
        <v>1494</v>
      </c>
      <c r="O295" s="11" t="s">
        <v>1495</v>
      </c>
      <c r="P295" s="11" t="str">
        <f>VLOOKUP(A295,import!A:P,16,0)</f>
        <v>Geleneksel</v>
      </c>
      <c r="Q295" s="13"/>
      <c r="R295" s="13" t="b">
        <v>1</v>
      </c>
      <c r="S295" s="13" t="b">
        <v>0</v>
      </c>
      <c r="T295" s="14"/>
      <c r="U295" s="14"/>
      <c r="V295" s="15"/>
      <c r="W295" s="14" t="s">
        <v>1496</v>
      </c>
      <c r="X295" s="24"/>
      <c r="Y295" s="24"/>
      <c r="Z295" s="18"/>
      <c r="AA295" s="18"/>
      <c r="AB295" s="18"/>
      <c r="AC295" s="18"/>
      <c r="AD295" s="18"/>
      <c r="AE295" s="21"/>
      <c r="AF295" s="18"/>
      <c r="AG295" s="21"/>
      <c r="AH295" s="18"/>
      <c r="AI295" s="18"/>
      <c r="AJ295" s="18"/>
      <c r="AK295" s="18"/>
      <c r="AL295" s="18"/>
      <c r="AM295" s="18"/>
      <c r="AN295" s="18"/>
      <c r="AO295" s="18"/>
      <c r="AP295" s="22" t="s">
        <v>56</v>
      </c>
      <c r="AQ295" s="18"/>
    </row>
    <row r="296">
      <c r="A296" s="11" t="s">
        <v>1497</v>
      </c>
      <c r="B296" s="11" t="s">
        <v>1498</v>
      </c>
      <c r="C296" s="11" t="str">
        <f>VLOOKUP(A296,import!A:C,3,0)</f>
        <v>DOĞRU</v>
      </c>
      <c r="D296" s="11" t="s">
        <v>453</v>
      </c>
      <c r="E296" s="11">
        <f>VLOOKUP(A296,import!A:J,5,0)</f>
        <v>1597</v>
      </c>
      <c r="F296" s="11">
        <f>VLOOKUP(A296,import!A:J,6,0)</f>
        <v>38</v>
      </c>
      <c r="G296" s="11">
        <f>VLOOKUP(A296,import!A:J,7,0)</f>
        <v>0</v>
      </c>
      <c r="H296" s="11">
        <f>VLOOKUP(A296,import!A:J,8,0)</f>
        <v>36</v>
      </c>
      <c r="I296" s="11">
        <f>VLOOKUP(A296,import!A:J,9,0)</f>
        <v>36</v>
      </c>
      <c r="J296" s="12">
        <f>VLOOKUP(A296,import!A:J,10,0)</f>
        <v>0</v>
      </c>
      <c r="K296" s="11" t="s">
        <v>1499</v>
      </c>
      <c r="L296" s="11">
        <v>3.522312255E9</v>
      </c>
      <c r="M296" s="11" t="s">
        <v>71</v>
      </c>
      <c r="N296" s="11" t="s">
        <v>684</v>
      </c>
      <c r="O296" s="11" t="s">
        <v>1500</v>
      </c>
      <c r="P296" s="11" t="str">
        <f>VLOOKUP(A296,import!A:P,16,0)</f>
        <v>Geleneksel</v>
      </c>
      <c r="Q296" s="13"/>
      <c r="R296" s="13" t="b">
        <v>1</v>
      </c>
      <c r="S296" s="13" t="b">
        <v>0</v>
      </c>
      <c r="T296" s="14" t="s">
        <v>74</v>
      </c>
      <c r="U296" s="14" t="s">
        <v>75</v>
      </c>
      <c r="V296" s="33" t="s">
        <v>76</v>
      </c>
      <c r="W296" s="14" t="s">
        <v>1501</v>
      </c>
      <c r="X296" s="24">
        <v>44629.0</v>
      </c>
      <c r="Y296" s="24">
        <v>44630.0</v>
      </c>
      <c r="Z296" s="18"/>
      <c r="AA296" s="19" t="s">
        <v>54</v>
      </c>
      <c r="AB296" s="24">
        <v>44629.0</v>
      </c>
      <c r="AC296" s="18"/>
      <c r="AD296" s="18"/>
      <c r="AE296" s="21"/>
      <c r="AF296" s="18"/>
      <c r="AG296" s="21"/>
      <c r="AH296" s="18"/>
      <c r="AI296" s="18"/>
      <c r="AJ296" s="18"/>
      <c r="AK296" s="19" t="s">
        <v>75</v>
      </c>
      <c r="AL296" s="18"/>
      <c r="AM296" s="18"/>
      <c r="AN296" s="18"/>
      <c r="AO296" s="18"/>
      <c r="AP296" s="22" t="s">
        <v>56</v>
      </c>
      <c r="AQ296" s="18"/>
    </row>
    <row r="297">
      <c r="A297" s="11" t="s">
        <v>1502</v>
      </c>
      <c r="B297" s="11" t="s">
        <v>1503</v>
      </c>
      <c r="C297" s="11" t="str">
        <f>VLOOKUP(A297,import!A:C,3,0)</f>
        <v>DOĞRU</v>
      </c>
      <c r="D297" s="11" t="s">
        <v>100</v>
      </c>
      <c r="E297" s="11">
        <f>VLOOKUP(A297,import!A:J,5,0)</f>
        <v>183</v>
      </c>
      <c r="F297" s="11">
        <f>VLOOKUP(A297,import!A:J,6,0)</f>
        <v>4</v>
      </c>
      <c r="G297" s="11">
        <f>VLOOKUP(A297,import!A:J,7,0)</f>
        <v>0</v>
      </c>
      <c r="H297" s="11">
        <f>VLOOKUP(A297,import!A:J,8,0)</f>
        <v>17</v>
      </c>
      <c r="I297" s="11">
        <f>VLOOKUP(A297,import!A:J,9,0)</f>
        <v>17</v>
      </c>
      <c r="J297" s="12">
        <f>VLOOKUP(A297,import!A:J,10,0)</f>
        <v>0</v>
      </c>
      <c r="K297" s="11" t="s">
        <v>1504</v>
      </c>
      <c r="L297" s="11">
        <v>5.516443288E9</v>
      </c>
      <c r="M297" s="11" t="s">
        <v>61</v>
      </c>
      <c r="N297" s="11" t="s">
        <v>250</v>
      </c>
      <c r="O297" s="11" t="s">
        <v>1505</v>
      </c>
      <c r="P297" s="11" t="str">
        <f>VLOOKUP(A297,import!A:P,16,0)</f>
        <v>Geleneksel</v>
      </c>
      <c r="Q297" s="13"/>
      <c r="R297" s="13" t="b">
        <v>1</v>
      </c>
      <c r="S297" s="13" t="b">
        <v>0</v>
      </c>
      <c r="T297" s="14" t="s">
        <v>50</v>
      </c>
      <c r="U297" s="14"/>
      <c r="V297" s="14"/>
      <c r="W297" s="14"/>
      <c r="X297" s="24"/>
      <c r="Y297" s="24"/>
      <c r="Z297" s="18"/>
      <c r="AA297" s="19"/>
      <c r="AB297" s="20"/>
      <c r="AC297" s="19"/>
      <c r="AD297" s="20"/>
      <c r="AE297" s="21"/>
      <c r="AF297" s="18"/>
      <c r="AG297" s="21"/>
      <c r="AH297" s="18"/>
      <c r="AI297" s="18"/>
      <c r="AJ297" s="18"/>
      <c r="AK297" s="19"/>
      <c r="AL297" s="19"/>
      <c r="AM297" s="18"/>
      <c r="AN297" s="18"/>
      <c r="AO297" s="18"/>
      <c r="AP297" s="22" t="s">
        <v>56</v>
      </c>
      <c r="AQ297" s="18"/>
    </row>
    <row r="298">
      <c r="A298" s="11" t="s">
        <v>1506</v>
      </c>
      <c r="B298" s="11" t="s">
        <v>1507</v>
      </c>
      <c r="C298" s="11" t="str">
        <f>VLOOKUP(A298,import!A:C,3,0)</f>
        <v>YANLIŞ</v>
      </c>
      <c r="D298" s="11" t="s">
        <v>172</v>
      </c>
      <c r="E298" s="11">
        <f>VLOOKUP(A298,import!A:J,5,0)</f>
        <v>3</v>
      </c>
      <c r="F298" s="11" t="str">
        <f>VLOOKUP(A298,import!A:J,6,0)</f>
        <v/>
      </c>
      <c r="G298" s="11">
        <f>VLOOKUP(A298,import!A:J,7,0)</f>
        <v>0</v>
      </c>
      <c r="H298" s="11">
        <f>VLOOKUP(A298,import!A:J,8,0)</f>
        <v>6</v>
      </c>
      <c r="I298" s="11">
        <f>VLOOKUP(A298,import!A:J,9,0)</f>
        <v>6</v>
      </c>
      <c r="J298" s="12">
        <f>VLOOKUP(A298,import!A:J,10,0)</f>
        <v>0</v>
      </c>
      <c r="K298" s="11" t="s">
        <v>1508</v>
      </c>
      <c r="L298" s="11">
        <v>5.357024738E9</v>
      </c>
      <c r="M298" s="11" t="s">
        <v>61</v>
      </c>
      <c r="N298" s="11" t="s">
        <v>62</v>
      </c>
      <c r="O298" s="11" t="s">
        <v>1509</v>
      </c>
      <c r="P298" s="11" t="str">
        <f>VLOOKUP(A298,import!A:P,16,0)</f>
        <v>Geleneksel</v>
      </c>
      <c r="Q298" s="13"/>
      <c r="R298" s="13" t="b">
        <v>1</v>
      </c>
      <c r="S298" s="13" t="b">
        <v>1</v>
      </c>
      <c r="T298" s="14"/>
      <c r="U298" s="14"/>
      <c r="V298" s="14"/>
      <c r="W298" s="14" t="s">
        <v>1510</v>
      </c>
      <c r="X298" s="24"/>
      <c r="Y298" s="24"/>
      <c r="Z298" s="18"/>
      <c r="AA298" s="19" t="s">
        <v>53</v>
      </c>
      <c r="AB298" s="20">
        <v>44361.0</v>
      </c>
      <c r="AC298" s="19" t="s">
        <v>54</v>
      </c>
      <c r="AD298" s="20">
        <v>44361.0</v>
      </c>
      <c r="AE298" s="21"/>
      <c r="AF298" s="18"/>
      <c r="AG298" s="21"/>
      <c r="AH298" s="18"/>
      <c r="AI298" s="18"/>
      <c r="AJ298" s="18"/>
      <c r="AK298" s="19" t="s">
        <v>88</v>
      </c>
      <c r="AL298" s="19" t="s">
        <v>88</v>
      </c>
      <c r="AM298" s="18"/>
      <c r="AN298" s="18"/>
      <c r="AO298" s="18"/>
      <c r="AP298" s="22" t="s">
        <v>56</v>
      </c>
      <c r="AQ298" s="18"/>
    </row>
    <row r="299">
      <c r="A299" s="11" t="s">
        <v>1511</v>
      </c>
      <c r="B299" s="11" t="s">
        <v>1512</v>
      </c>
      <c r="C299" s="11" t="str">
        <f>VLOOKUP(A299,import!A:C,3,0)</f>
        <v>DOĞRU</v>
      </c>
      <c r="D299" s="11" t="s">
        <v>406</v>
      </c>
      <c r="E299" s="11">
        <f>VLOOKUP(A299,import!A:J,5,0)</f>
        <v>1239</v>
      </c>
      <c r="F299" s="11">
        <f>VLOOKUP(A299,import!A:J,6,0)</f>
        <v>13</v>
      </c>
      <c r="G299" s="11">
        <f>VLOOKUP(A299,import!A:J,7,0)</f>
        <v>32</v>
      </c>
      <c r="H299" s="11">
        <f>VLOOKUP(A299,import!A:J,8,0)</f>
        <v>21</v>
      </c>
      <c r="I299" s="11">
        <f>VLOOKUP(A299,import!A:J,9,0)</f>
        <v>53</v>
      </c>
      <c r="J299" s="12">
        <f>VLOOKUP(A299,import!A:J,10,0)</f>
        <v>0.6</v>
      </c>
      <c r="K299" s="11" t="s">
        <v>1513</v>
      </c>
      <c r="L299" s="11">
        <v>3.522204141E9</v>
      </c>
      <c r="M299" s="11" t="s">
        <v>61</v>
      </c>
      <c r="N299" s="11" t="s">
        <v>62</v>
      </c>
      <c r="O299" s="11" t="s">
        <v>1514</v>
      </c>
      <c r="P299" s="11" t="str">
        <f>VLOOKUP(A299,import!A:P,16,0)</f>
        <v>Geleneksel</v>
      </c>
      <c r="Q299" s="13"/>
      <c r="R299" s="13" t="b">
        <v>1</v>
      </c>
      <c r="S299" s="13" t="b">
        <v>0</v>
      </c>
      <c r="T299" s="14" t="s">
        <v>133</v>
      </c>
      <c r="U299" s="14" t="s">
        <v>568</v>
      </c>
      <c r="V299" s="14" t="s">
        <v>96</v>
      </c>
      <c r="W299" s="14" t="s">
        <v>1515</v>
      </c>
      <c r="X299" s="24">
        <v>44302.0</v>
      </c>
      <c r="Y299" s="24">
        <v>44308.0</v>
      </c>
      <c r="Z299" s="18"/>
      <c r="AA299" s="19" t="s">
        <v>64</v>
      </c>
      <c r="AB299" s="20">
        <v>44608.0</v>
      </c>
      <c r="AC299" s="18"/>
      <c r="AD299" s="18"/>
      <c r="AE299" s="21"/>
      <c r="AF299" s="18"/>
      <c r="AG299" s="21"/>
      <c r="AH299" s="18"/>
      <c r="AI299" s="18"/>
      <c r="AJ299" s="18"/>
      <c r="AK299" s="19" t="s">
        <v>66</v>
      </c>
      <c r="AL299" s="18"/>
      <c r="AM299" s="18"/>
      <c r="AN299" s="18"/>
      <c r="AO299" s="18"/>
      <c r="AP299" s="22" t="s">
        <v>56</v>
      </c>
      <c r="AQ299" s="18"/>
    </row>
    <row r="300">
      <c r="A300" s="11" t="s">
        <v>1516</v>
      </c>
      <c r="B300" s="11" t="s">
        <v>1517</v>
      </c>
      <c r="C300" s="11" t="str">
        <f>VLOOKUP(A300,import!A:C,3,0)</f>
        <v>DOĞRU</v>
      </c>
      <c r="D300" s="11" t="s">
        <v>653</v>
      </c>
      <c r="E300" s="11">
        <f>VLOOKUP(A300,import!A:J,5,0)</f>
        <v>431</v>
      </c>
      <c r="F300" s="11" t="str">
        <f>VLOOKUP(A300,import!A:J,6,0)</f>
        <v/>
      </c>
      <c r="G300" s="11">
        <f>VLOOKUP(A300,import!A:J,7,0)</f>
        <v>0</v>
      </c>
      <c r="H300" s="11">
        <f>VLOOKUP(A300,import!A:J,8,0)</f>
        <v>10</v>
      </c>
      <c r="I300" s="11">
        <f>VLOOKUP(A300,import!A:J,9,0)</f>
        <v>10</v>
      </c>
      <c r="J300" s="12">
        <f>VLOOKUP(A300,import!A:J,10,0)</f>
        <v>0</v>
      </c>
      <c r="K300" s="11" t="s">
        <v>1518</v>
      </c>
      <c r="L300" s="11">
        <v>3.522233433E9</v>
      </c>
      <c r="M300" s="11" t="s">
        <v>71</v>
      </c>
      <c r="N300" s="11" t="s">
        <v>797</v>
      </c>
      <c r="O300" s="11" t="s">
        <v>1519</v>
      </c>
      <c r="P300" s="11" t="str">
        <f>VLOOKUP(A300,import!A:P,16,0)</f>
        <v>Geleneksel</v>
      </c>
      <c r="Q300" s="13"/>
      <c r="R300" s="13" t="b">
        <v>1</v>
      </c>
      <c r="S300" s="13" t="b">
        <v>0</v>
      </c>
      <c r="T300" s="15"/>
      <c r="U300" s="15"/>
      <c r="V300" s="40"/>
      <c r="W300" s="14" t="s">
        <v>1520</v>
      </c>
      <c r="X300" s="17"/>
      <c r="Y300" s="17"/>
      <c r="Z300" s="18"/>
      <c r="AA300" s="19" t="s">
        <v>54</v>
      </c>
      <c r="AB300" s="20">
        <v>44362.0</v>
      </c>
      <c r="AC300" s="19" t="s">
        <v>54</v>
      </c>
      <c r="AD300" s="20">
        <v>44627.0</v>
      </c>
      <c r="AE300" s="21"/>
      <c r="AF300" s="18"/>
      <c r="AG300" s="21"/>
      <c r="AH300" s="18"/>
      <c r="AI300" s="18"/>
      <c r="AJ300" s="18"/>
      <c r="AK300" s="19" t="s">
        <v>88</v>
      </c>
      <c r="AL300" s="19" t="s">
        <v>75</v>
      </c>
      <c r="AM300" s="18"/>
      <c r="AN300" s="18"/>
      <c r="AO300" s="18"/>
      <c r="AP300" s="22" t="s">
        <v>56</v>
      </c>
      <c r="AQ300" s="18"/>
    </row>
    <row r="301">
      <c r="A301" s="11" t="s">
        <v>1521</v>
      </c>
      <c r="B301" s="11" t="s">
        <v>1522</v>
      </c>
      <c r="C301" s="11" t="str">
        <f>VLOOKUP(A301,import!A:C,3,0)</f>
        <v>DOĞRU</v>
      </c>
      <c r="D301" s="11" t="s">
        <v>172</v>
      </c>
      <c r="E301" s="11">
        <f>VLOOKUP(A301,import!A:J,5,0)</f>
        <v>1602</v>
      </c>
      <c r="F301" s="11">
        <f>VLOOKUP(A301,import!A:J,6,0)</f>
        <v>79</v>
      </c>
      <c r="G301" s="11">
        <f>VLOOKUP(A301,import!A:J,7,0)</f>
        <v>3</v>
      </c>
      <c r="H301" s="11">
        <f>VLOOKUP(A301,import!A:J,8,0)</f>
        <v>7</v>
      </c>
      <c r="I301" s="11">
        <f>VLOOKUP(A301,import!A:J,9,0)</f>
        <v>10</v>
      </c>
      <c r="J301" s="12">
        <f>VLOOKUP(A301,import!A:J,10,0)</f>
        <v>0.3</v>
      </c>
      <c r="K301" s="11" t="s">
        <v>1523</v>
      </c>
      <c r="L301" s="11">
        <v>5.44640084E9</v>
      </c>
      <c r="M301" s="11" t="s">
        <v>47</v>
      </c>
      <c r="N301" s="11" t="s">
        <v>1524</v>
      </c>
      <c r="O301" s="11" t="s">
        <v>1525</v>
      </c>
      <c r="P301" s="11" t="str">
        <f>VLOOKUP(A301,import!A:P,16,0)</f>
        <v>Geleneksel</v>
      </c>
      <c r="Q301" s="13"/>
      <c r="R301" s="13" t="b">
        <v>1</v>
      </c>
      <c r="S301" s="13" t="b">
        <v>0</v>
      </c>
      <c r="T301" s="14" t="s">
        <v>74</v>
      </c>
      <c r="U301" s="14" t="s">
        <v>110</v>
      </c>
      <c r="V301" s="23" t="s">
        <v>76</v>
      </c>
      <c r="W301" s="14"/>
      <c r="X301" s="24">
        <v>44599.0</v>
      </c>
      <c r="Y301" s="24">
        <v>44600.0</v>
      </c>
      <c r="Z301" s="18"/>
      <c r="AA301" s="19" t="s">
        <v>54</v>
      </c>
      <c r="AB301" s="20">
        <v>44599.0</v>
      </c>
      <c r="AC301" s="19"/>
      <c r="AD301" s="20"/>
      <c r="AE301" s="21"/>
      <c r="AF301" s="18"/>
      <c r="AG301" s="21"/>
      <c r="AH301" s="18"/>
      <c r="AI301" s="18"/>
      <c r="AJ301" s="18"/>
      <c r="AK301" s="19" t="s">
        <v>110</v>
      </c>
      <c r="AL301" s="19"/>
      <c r="AM301" s="18"/>
      <c r="AN301" s="18"/>
      <c r="AO301" s="18"/>
      <c r="AP301" s="22" t="s">
        <v>56</v>
      </c>
      <c r="AQ301" s="18"/>
    </row>
    <row r="302">
      <c r="A302" s="11" t="s">
        <v>1526</v>
      </c>
      <c r="B302" s="11" t="s">
        <v>1527</v>
      </c>
      <c r="C302" s="11" t="str">
        <f>VLOOKUP(A302,import!A:C,3,0)</f>
        <v>DOĞRU</v>
      </c>
      <c r="D302" s="11" t="s">
        <v>172</v>
      </c>
      <c r="E302" s="11">
        <f>VLOOKUP(A302,import!A:J,5,0)</f>
        <v>619</v>
      </c>
      <c r="F302" s="11" t="str">
        <f>VLOOKUP(A302,import!A:J,6,0)</f>
        <v/>
      </c>
      <c r="G302" s="11">
        <f>VLOOKUP(A302,import!A:J,7,0)</f>
        <v>4</v>
      </c>
      <c r="H302" s="11">
        <f>VLOOKUP(A302,import!A:J,8,0)</f>
        <v>3</v>
      </c>
      <c r="I302" s="11">
        <f>VLOOKUP(A302,import!A:J,9,0)</f>
        <v>7</v>
      </c>
      <c r="J302" s="12">
        <f>VLOOKUP(A302,import!A:J,10,0)</f>
        <v>0.57</v>
      </c>
      <c r="K302" s="11" t="s">
        <v>1528</v>
      </c>
      <c r="L302" s="11">
        <v>3.525040504E9</v>
      </c>
      <c r="M302" s="11" t="s">
        <v>61</v>
      </c>
      <c r="N302" s="11" t="s">
        <v>62</v>
      </c>
      <c r="O302" s="11" t="s">
        <v>1529</v>
      </c>
      <c r="P302" s="11" t="str">
        <f>VLOOKUP(A302,import!A:P,16,0)</f>
        <v>Geleneksel</v>
      </c>
      <c r="Q302" s="13"/>
      <c r="R302" s="13" t="b">
        <v>1</v>
      </c>
      <c r="S302" s="13" t="b">
        <v>0</v>
      </c>
      <c r="T302" s="14" t="s">
        <v>74</v>
      </c>
      <c r="U302" s="14" t="s">
        <v>75</v>
      </c>
      <c r="V302" s="38" t="s">
        <v>76</v>
      </c>
      <c r="W302" s="14" t="s">
        <v>1530</v>
      </c>
      <c r="X302" s="24">
        <v>44622.0</v>
      </c>
      <c r="Y302" s="24">
        <v>44623.0</v>
      </c>
      <c r="Z302" s="18"/>
      <c r="AA302" s="19" t="s">
        <v>347</v>
      </c>
      <c r="AB302" s="20">
        <v>44579.0</v>
      </c>
      <c r="AC302" s="19" t="s">
        <v>54</v>
      </c>
      <c r="AD302" s="24">
        <v>44622.0</v>
      </c>
      <c r="AE302" s="21"/>
      <c r="AF302" s="18"/>
      <c r="AG302" s="21"/>
      <c r="AH302" s="18"/>
      <c r="AI302" s="18"/>
      <c r="AJ302" s="18"/>
      <c r="AK302" s="19" t="s">
        <v>1531</v>
      </c>
      <c r="AL302" s="19" t="s">
        <v>75</v>
      </c>
      <c r="AM302" s="18"/>
      <c r="AN302" s="18"/>
      <c r="AO302" s="18"/>
      <c r="AP302" s="22" t="s">
        <v>56</v>
      </c>
      <c r="AQ302" s="18"/>
    </row>
    <row r="303">
      <c r="A303" s="11" t="s">
        <v>1532</v>
      </c>
      <c r="B303" s="11" t="s">
        <v>1533</v>
      </c>
      <c r="C303" s="11" t="str">
        <f>VLOOKUP(A303,import!A:C,3,0)</f>
        <v>DOĞRU</v>
      </c>
      <c r="D303" s="11" t="s">
        <v>172</v>
      </c>
      <c r="E303" s="11">
        <f>VLOOKUP(A303,import!A:J,5,0)</f>
        <v>4739</v>
      </c>
      <c r="F303" s="11" t="str">
        <f>VLOOKUP(A303,import!A:J,6,0)</f>
        <v/>
      </c>
      <c r="G303" s="11">
        <f>VLOOKUP(A303,import!A:J,7,0)</f>
        <v>0</v>
      </c>
      <c r="H303" s="11">
        <f>VLOOKUP(A303,import!A:J,8,0)</f>
        <v>11</v>
      </c>
      <c r="I303" s="11">
        <f>VLOOKUP(A303,import!A:J,9,0)</f>
        <v>11</v>
      </c>
      <c r="J303" s="12">
        <f>VLOOKUP(A303,import!A:J,10,0)</f>
        <v>0</v>
      </c>
      <c r="K303" s="11" t="s">
        <v>1534</v>
      </c>
      <c r="L303" s="11">
        <v>5.070143414E9</v>
      </c>
      <c r="M303" s="11" t="s">
        <v>47</v>
      </c>
      <c r="N303" s="11" t="s">
        <v>107</v>
      </c>
      <c r="O303" s="11" t="s">
        <v>1535</v>
      </c>
      <c r="P303" s="11" t="str">
        <f>VLOOKUP(A303,import!A:P,16,0)</f>
        <v>Geleneksel</v>
      </c>
      <c r="Q303" s="13"/>
      <c r="R303" s="13" t="b">
        <v>1</v>
      </c>
      <c r="S303" s="13" t="b">
        <v>0</v>
      </c>
      <c r="T303" s="14" t="s">
        <v>168</v>
      </c>
      <c r="U303" s="14"/>
      <c r="V303" s="14"/>
      <c r="W303" s="14" t="s">
        <v>1536</v>
      </c>
      <c r="X303" s="24"/>
      <c r="Y303" s="24"/>
      <c r="Z303" s="18"/>
      <c r="AA303" s="19" t="s">
        <v>54</v>
      </c>
      <c r="AB303" s="20">
        <v>44523.0</v>
      </c>
      <c r="AC303" s="19"/>
      <c r="AD303" s="20"/>
      <c r="AE303" s="21"/>
      <c r="AF303" s="18"/>
      <c r="AG303" s="21"/>
      <c r="AH303" s="18"/>
      <c r="AI303" s="18"/>
      <c r="AJ303" s="18"/>
      <c r="AK303" s="19" t="s">
        <v>95</v>
      </c>
      <c r="AL303" s="19"/>
      <c r="AM303" s="18"/>
      <c r="AN303" s="18"/>
      <c r="AO303" s="18"/>
      <c r="AP303" s="22" t="s">
        <v>56</v>
      </c>
      <c r="AQ303" s="18"/>
    </row>
    <row r="304">
      <c r="A304" s="11" t="s">
        <v>1537</v>
      </c>
      <c r="B304" s="11" t="s">
        <v>1538</v>
      </c>
      <c r="C304" s="11" t="str">
        <f>VLOOKUP(A304,import!A:C,3,0)</f>
        <v>DOĞRU</v>
      </c>
      <c r="D304" s="11" t="s">
        <v>172</v>
      </c>
      <c r="E304" s="11">
        <f>VLOOKUP(A304,import!A:J,5,0)</f>
        <v>46</v>
      </c>
      <c r="F304" s="11">
        <f>VLOOKUP(A304,import!A:J,6,0)</f>
        <v>10</v>
      </c>
      <c r="G304" s="11">
        <f>VLOOKUP(A304,import!A:J,7,0)</f>
        <v>0</v>
      </c>
      <c r="H304" s="11">
        <f>VLOOKUP(A304,import!A:J,8,0)</f>
        <v>11</v>
      </c>
      <c r="I304" s="11">
        <f>VLOOKUP(A304,import!A:J,9,0)</f>
        <v>11</v>
      </c>
      <c r="J304" s="12">
        <f>VLOOKUP(A304,import!A:J,10,0)</f>
        <v>0</v>
      </c>
      <c r="K304" s="11" t="s">
        <v>1534</v>
      </c>
      <c r="L304" s="11">
        <v>3.523441334E9</v>
      </c>
      <c r="M304" s="11" t="s">
        <v>71</v>
      </c>
      <c r="N304" s="11" t="s">
        <v>548</v>
      </c>
      <c r="O304" s="11" t="s">
        <v>1539</v>
      </c>
      <c r="P304" s="11" t="str">
        <f>VLOOKUP(A304,import!A:P,16,0)</f>
        <v>Geleneksel</v>
      </c>
      <c r="Q304" s="13"/>
      <c r="R304" s="13" t="b">
        <v>1</v>
      </c>
      <c r="S304" s="13" t="b">
        <v>0</v>
      </c>
      <c r="T304" s="14" t="s">
        <v>74</v>
      </c>
      <c r="U304" s="14" t="s">
        <v>75</v>
      </c>
      <c r="V304" s="30" t="s">
        <v>76</v>
      </c>
      <c r="W304" s="14">
        <v>5.387603683E9</v>
      </c>
      <c r="X304" s="24">
        <v>44642.0</v>
      </c>
      <c r="Y304" s="24">
        <v>44644.0</v>
      </c>
      <c r="Z304" s="18"/>
      <c r="AA304" s="19" t="s">
        <v>54</v>
      </c>
      <c r="AB304" s="24">
        <v>44642.0</v>
      </c>
      <c r="AC304" s="19"/>
      <c r="AD304" s="20"/>
      <c r="AE304" s="19"/>
      <c r="AF304" s="20"/>
      <c r="AG304" s="21"/>
      <c r="AH304" s="18"/>
      <c r="AI304" s="18"/>
      <c r="AJ304" s="18"/>
      <c r="AK304" s="19" t="s">
        <v>75</v>
      </c>
      <c r="AL304" s="19"/>
      <c r="AM304" s="19"/>
      <c r="AN304" s="18"/>
      <c r="AO304" s="18"/>
      <c r="AP304" s="22"/>
      <c r="AQ304" s="18"/>
    </row>
    <row r="305">
      <c r="A305" s="11" t="s">
        <v>1540</v>
      </c>
      <c r="B305" s="11" t="s">
        <v>1541</v>
      </c>
      <c r="C305" s="11" t="str">
        <f>VLOOKUP(A305,import!A:C,3,0)</f>
        <v>DOĞRU</v>
      </c>
      <c r="D305" s="11" t="s">
        <v>406</v>
      </c>
      <c r="E305" s="11">
        <f>VLOOKUP(A305,import!A:J,5,0)</f>
        <v>6045</v>
      </c>
      <c r="F305" s="11" t="str">
        <f>VLOOKUP(A305,import!A:J,6,0)</f>
        <v/>
      </c>
      <c r="G305" s="11">
        <f>VLOOKUP(A305,import!A:J,7,0)</f>
        <v>0</v>
      </c>
      <c r="H305" s="11">
        <f>VLOOKUP(A305,import!A:J,8,0)</f>
        <v>8</v>
      </c>
      <c r="I305" s="11">
        <f>VLOOKUP(A305,import!A:J,9,0)</f>
        <v>8</v>
      </c>
      <c r="J305" s="12">
        <f>VLOOKUP(A305,import!A:J,10,0)</f>
        <v>0</v>
      </c>
      <c r="K305" s="11" t="s">
        <v>1542</v>
      </c>
      <c r="L305" s="11">
        <v>3.522310106E9</v>
      </c>
      <c r="M305" s="11" t="s">
        <v>71</v>
      </c>
      <c r="N305" s="11" t="s">
        <v>420</v>
      </c>
      <c r="O305" s="11" t="s">
        <v>1543</v>
      </c>
      <c r="P305" s="11" t="str">
        <f>VLOOKUP(A305,import!A:P,16,0)</f>
        <v>Geleneksel</v>
      </c>
      <c r="Q305" s="13"/>
      <c r="R305" s="13" t="b">
        <v>1</v>
      </c>
      <c r="S305" s="13" t="b">
        <v>0</v>
      </c>
      <c r="T305" s="14"/>
      <c r="U305" s="14"/>
      <c r="V305" s="16"/>
      <c r="W305" s="14" t="s">
        <v>1544</v>
      </c>
      <c r="X305" s="24"/>
      <c r="Y305" s="24"/>
      <c r="Z305" s="18"/>
      <c r="AA305" s="18"/>
      <c r="AB305" s="18"/>
      <c r="AC305" s="18"/>
      <c r="AD305" s="18"/>
      <c r="AE305" s="21"/>
      <c r="AF305" s="18"/>
      <c r="AG305" s="21"/>
      <c r="AH305" s="18"/>
      <c r="AI305" s="18"/>
      <c r="AJ305" s="18"/>
      <c r="AK305" s="18"/>
      <c r="AL305" s="18"/>
      <c r="AM305" s="18"/>
      <c r="AN305" s="18"/>
      <c r="AO305" s="18"/>
      <c r="AP305" s="22" t="s">
        <v>56</v>
      </c>
      <c r="AQ305" s="18"/>
    </row>
    <row r="306">
      <c r="A306" s="11" t="s">
        <v>1545</v>
      </c>
      <c r="B306" s="11" t="s">
        <v>1546</v>
      </c>
      <c r="C306" s="11" t="str">
        <f>VLOOKUP(A306,import!A:C,3,0)</f>
        <v>DOĞRU</v>
      </c>
      <c r="D306" s="11" t="s">
        <v>406</v>
      </c>
      <c r="E306" s="11">
        <f>VLOOKUP(A306,import!A:J,5,0)</f>
        <v>5</v>
      </c>
      <c r="F306" s="11" t="str">
        <f>VLOOKUP(A306,import!A:J,6,0)</f>
        <v/>
      </c>
      <c r="G306" s="11">
        <f>VLOOKUP(A306,import!A:J,7,0)</f>
        <v>0</v>
      </c>
      <c r="H306" s="11">
        <f>VLOOKUP(A306,import!A:J,8,0)</f>
        <v>12</v>
      </c>
      <c r="I306" s="11">
        <f>VLOOKUP(A306,import!A:J,9,0)</f>
        <v>12</v>
      </c>
      <c r="J306" s="12">
        <f>VLOOKUP(A306,import!A:J,10,0)</f>
        <v>0</v>
      </c>
      <c r="K306" s="11" t="s">
        <v>1547</v>
      </c>
      <c r="L306" s="11">
        <v>3.522220646E9</v>
      </c>
      <c r="M306" s="11" t="s">
        <v>71</v>
      </c>
      <c r="N306" s="11" t="s">
        <v>420</v>
      </c>
      <c r="O306" s="11" t="s">
        <v>1548</v>
      </c>
      <c r="P306" s="11" t="str">
        <f>VLOOKUP(A306,import!A:P,16,0)</f>
        <v>Geleneksel</v>
      </c>
      <c r="Q306" s="13"/>
      <c r="R306" s="13" t="b">
        <v>0</v>
      </c>
      <c r="S306" s="13" t="b">
        <v>0</v>
      </c>
      <c r="T306" s="14"/>
      <c r="U306" s="14"/>
      <c r="V306" s="31"/>
      <c r="W306" s="14"/>
      <c r="X306" s="24"/>
      <c r="Y306" s="24"/>
      <c r="Z306" s="18"/>
      <c r="AA306" s="19"/>
      <c r="AB306" s="20"/>
      <c r="AC306" s="19"/>
      <c r="AD306" s="20"/>
      <c r="AE306" s="19"/>
      <c r="AF306" s="20"/>
      <c r="AG306" s="21"/>
      <c r="AH306" s="18"/>
      <c r="AI306" s="18"/>
      <c r="AJ306" s="18"/>
      <c r="AK306" s="19"/>
      <c r="AL306" s="19"/>
      <c r="AM306" s="19"/>
      <c r="AN306" s="18"/>
      <c r="AO306" s="18"/>
      <c r="AP306" s="22"/>
      <c r="AQ306" s="18"/>
    </row>
    <row r="307">
      <c r="A307" s="11" t="s">
        <v>1549</v>
      </c>
      <c r="B307" s="11" t="s">
        <v>1550</v>
      </c>
      <c r="C307" s="11" t="str">
        <f>VLOOKUP(A307,import!A:C,3,0)</f>
        <v>DOĞRU</v>
      </c>
      <c r="D307" s="11" t="s">
        <v>172</v>
      </c>
      <c r="E307" s="11">
        <f>VLOOKUP(A307,import!A:J,5,0)</f>
        <v>1225</v>
      </c>
      <c r="F307" s="11">
        <f>VLOOKUP(A307,import!A:J,6,0)</f>
        <v>92</v>
      </c>
      <c r="G307" s="11">
        <f>VLOOKUP(A307,import!A:J,7,0)</f>
        <v>0</v>
      </c>
      <c r="H307" s="11">
        <f>VLOOKUP(A307,import!A:J,8,0)</f>
        <v>56</v>
      </c>
      <c r="I307" s="11">
        <f>VLOOKUP(A307,import!A:J,9,0)</f>
        <v>56</v>
      </c>
      <c r="J307" s="12">
        <f>VLOOKUP(A307,import!A:J,10,0)</f>
        <v>0</v>
      </c>
      <c r="K307" s="11" t="s">
        <v>1551</v>
      </c>
      <c r="L307" s="11">
        <v>3.522244418E9</v>
      </c>
      <c r="M307" s="11" t="s">
        <v>47</v>
      </c>
      <c r="N307" s="11" t="s">
        <v>1552</v>
      </c>
      <c r="O307" s="11" t="s">
        <v>1553</v>
      </c>
      <c r="P307" s="11" t="str">
        <f>VLOOKUP(A307,import!A:P,16,0)</f>
        <v>Geleneksel</v>
      </c>
      <c r="Q307" s="13"/>
      <c r="R307" s="13" t="b">
        <v>1</v>
      </c>
      <c r="S307" s="13" t="b">
        <v>0</v>
      </c>
      <c r="T307" s="14" t="s">
        <v>74</v>
      </c>
      <c r="U307" s="14" t="s">
        <v>80</v>
      </c>
      <c r="V307" s="14"/>
      <c r="W307" s="14" t="s">
        <v>1554</v>
      </c>
      <c r="X307" s="24">
        <v>44267.0</v>
      </c>
      <c r="Y307" s="24">
        <v>44634.0</v>
      </c>
      <c r="Z307" s="18"/>
      <c r="AA307" s="19" t="s">
        <v>54</v>
      </c>
      <c r="AB307" s="20">
        <v>44587.0</v>
      </c>
      <c r="AC307" s="19" t="s">
        <v>347</v>
      </c>
      <c r="AD307" s="20">
        <v>44601.0</v>
      </c>
      <c r="AE307" s="19" t="s">
        <v>64</v>
      </c>
      <c r="AF307" s="20">
        <v>44614.0</v>
      </c>
      <c r="AG307" s="19" t="s">
        <v>54</v>
      </c>
      <c r="AH307" s="20">
        <v>44630.0</v>
      </c>
      <c r="AI307" s="18"/>
      <c r="AJ307" s="18"/>
      <c r="AK307" s="19" t="s">
        <v>86</v>
      </c>
      <c r="AL307" s="19" t="s">
        <v>110</v>
      </c>
      <c r="AM307" s="19" t="s">
        <v>110</v>
      </c>
      <c r="AN307" s="19" t="s">
        <v>80</v>
      </c>
      <c r="AO307" s="18"/>
      <c r="AP307" s="22" t="s">
        <v>56</v>
      </c>
      <c r="AQ307" s="18"/>
    </row>
    <row r="308">
      <c r="A308" s="11" t="s">
        <v>1555</v>
      </c>
      <c r="B308" s="11" t="s">
        <v>1556</v>
      </c>
      <c r="C308" s="11" t="str">
        <f>VLOOKUP(A308,import!A:C,3,0)</f>
        <v>DOĞRU</v>
      </c>
      <c r="D308" s="11" t="s">
        <v>172</v>
      </c>
      <c r="E308" s="11">
        <f>VLOOKUP(A308,import!A:J,5,0)</f>
        <v>3679</v>
      </c>
      <c r="F308" s="11">
        <f>VLOOKUP(A308,import!A:J,6,0)</f>
        <v>61</v>
      </c>
      <c r="G308" s="11">
        <f>VLOOKUP(A308,import!A:J,7,0)</f>
        <v>1</v>
      </c>
      <c r="H308" s="11">
        <f>VLOOKUP(A308,import!A:J,8,0)</f>
        <v>15</v>
      </c>
      <c r="I308" s="11">
        <f>VLOOKUP(A308,import!A:J,9,0)</f>
        <v>16</v>
      </c>
      <c r="J308" s="12">
        <f>VLOOKUP(A308,import!A:J,10,0)</f>
        <v>0.06</v>
      </c>
      <c r="K308" s="11" t="s">
        <v>1557</v>
      </c>
      <c r="L308" s="11">
        <v>3.522220614E9</v>
      </c>
      <c r="M308" s="11" t="s">
        <v>47</v>
      </c>
      <c r="N308" s="11" t="s">
        <v>48</v>
      </c>
      <c r="O308" s="11" t="s">
        <v>1558</v>
      </c>
      <c r="P308" s="11" t="str">
        <f>VLOOKUP(A308,import!A:P,16,0)</f>
        <v>Geleneksel</v>
      </c>
      <c r="Q308" s="13"/>
      <c r="R308" s="13" t="b">
        <v>1</v>
      </c>
      <c r="S308" s="13" t="b">
        <v>0</v>
      </c>
      <c r="T308" s="14" t="s">
        <v>74</v>
      </c>
      <c r="U308" s="14" t="s">
        <v>110</v>
      </c>
      <c r="V308" s="39" t="s">
        <v>76</v>
      </c>
      <c r="W308" s="14" t="s">
        <v>1559</v>
      </c>
      <c r="X308" s="24">
        <v>44601.0</v>
      </c>
      <c r="Y308" s="24">
        <v>44602.0</v>
      </c>
      <c r="Z308" s="18"/>
      <c r="AA308" s="19" t="s">
        <v>54</v>
      </c>
      <c r="AB308" s="20">
        <v>44365.0</v>
      </c>
      <c r="AC308" s="19" t="s">
        <v>54</v>
      </c>
      <c r="AD308" s="20">
        <v>44601.0</v>
      </c>
      <c r="AE308" s="21"/>
      <c r="AF308" s="18"/>
      <c r="AG308" s="21"/>
      <c r="AH308" s="18"/>
      <c r="AI308" s="18"/>
      <c r="AJ308" s="18"/>
      <c r="AK308" s="19" t="s">
        <v>55</v>
      </c>
      <c r="AL308" s="19" t="s">
        <v>110</v>
      </c>
      <c r="AM308" s="18"/>
      <c r="AN308" s="18"/>
      <c r="AO308" s="18"/>
      <c r="AP308" s="22" t="s">
        <v>56</v>
      </c>
      <c r="AQ308" s="18"/>
    </row>
    <row r="309">
      <c r="A309" s="11" t="s">
        <v>1560</v>
      </c>
      <c r="B309" s="11" t="s">
        <v>1561</v>
      </c>
      <c r="C309" s="11" t="str">
        <f>VLOOKUP(A309,import!A:C,3,0)</f>
        <v>DOĞRU</v>
      </c>
      <c r="D309" s="11" t="s">
        <v>406</v>
      </c>
      <c r="E309" s="11">
        <f>VLOOKUP(A309,import!A:J,5,0)</f>
        <v>260</v>
      </c>
      <c r="F309" s="11">
        <f>VLOOKUP(A309,import!A:J,6,0)</f>
        <v>14</v>
      </c>
      <c r="G309" s="11">
        <f>VLOOKUP(A309,import!A:J,7,0)</f>
        <v>6</v>
      </c>
      <c r="H309" s="11">
        <f>VLOOKUP(A309,import!A:J,8,0)</f>
        <v>1</v>
      </c>
      <c r="I309" s="11">
        <f>VLOOKUP(A309,import!A:J,9,0)</f>
        <v>7</v>
      </c>
      <c r="J309" s="12">
        <f>VLOOKUP(A309,import!A:J,10,0)</f>
        <v>0.86</v>
      </c>
      <c r="K309" s="11" t="s">
        <v>1562</v>
      </c>
      <c r="L309" s="11">
        <v>3.522229157E9</v>
      </c>
      <c r="M309" s="11" t="s">
        <v>47</v>
      </c>
      <c r="N309" s="11" t="s">
        <v>884</v>
      </c>
      <c r="O309" s="11" t="s">
        <v>1563</v>
      </c>
      <c r="P309" s="11" t="str">
        <f>VLOOKUP(A309,import!A:P,16,0)</f>
        <v>Geleneksel</v>
      </c>
      <c r="Q309" s="13"/>
      <c r="R309" s="13" t="b">
        <v>1</v>
      </c>
      <c r="S309" s="13" t="b">
        <v>0</v>
      </c>
      <c r="T309" s="14" t="s">
        <v>74</v>
      </c>
      <c r="U309" s="14" t="s">
        <v>110</v>
      </c>
      <c r="V309" s="23" t="s">
        <v>76</v>
      </c>
      <c r="W309" s="14"/>
      <c r="X309" s="24">
        <v>44587.0</v>
      </c>
      <c r="Y309" s="24">
        <v>44588.0</v>
      </c>
      <c r="Z309" s="18"/>
      <c r="AA309" s="19" t="s">
        <v>54</v>
      </c>
      <c r="AB309" s="20">
        <v>44587.0</v>
      </c>
      <c r="AC309" s="19"/>
      <c r="AD309" s="20"/>
      <c r="AE309" s="21"/>
      <c r="AF309" s="18"/>
      <c r="AG309" s="21"/>
      <c r="AH309" s="18"/>
      <c r="AI309" s="18"/>
      <c r="AJ309" s="18"/>
      <c r="AK309" s="19" t="s">
        <v>110</v>
      </c>
      <c r="AL309" s="19"/>
      <c r="AM309" s="18"/>
      <c r="AN309" s="18"/>
      <c r="AO309" s="18"/>
      <c r="AP309" s="22" t="s">
        <v>56</v>
      </c>
      <c r="AQ309" s="18"/>
    </row>
    <row r="310">
      <c r="A310" s="11" t="s">
        <v>1564</v>
      </c>
      <c r="B310" s="11" t="s">
        <v>1565</v>
      </c>
      <c r="C310" s="11" t="str">
        <f>VLOOKUP(A310,import!A:C,3,0)</f>
        <v>DOĞRU</v>
      </c>
      <c r="D310" s="11" t="s">
        <v>406</v>
      </c>
      <c r="E310" s="11">
        <f>VLOOKUP(A310,import!A:J,5,0)</f>
        <v>315</v>
      </c>
      <c r="F310" s="11">
        <f>VLOOKUP(A310,import!A:J,6,0)</f>
        <v>2</v>
      </c>
      <c r="G310" s="11">
        <f>VLOOKUP(A310,import!A:J,7,0)</f>
        <v>11</v>
      </c>
      <c r="H310" s="11">
        <f>VLOOKUP(A310,import!A:J,8,0)</f>
        <v>30</v>
      </c>
      <c r="I310" s="11">
        <f>VLOOKUP(A310,import!A:J,9,0)</f>
        <v>41</v>
      </c>
      <c r="J310" s="12">
        <f>VLOOKUP(A310,import!A:J,10,0)</f>
        <v>0.27</v>
      </c>
      <c r="K310" s="11" t="s">
        <v>1566</v>
      </c>
      <c r="L310" s="11">
        <v>5.528421222E9</v>
      </c>
      <c r="M310" s="11" t="s">
        <v>71</v>
      </c>
      <c r="N310" s="11" t="s">
        <v>339</v>
      </c>
      <c r="O310" s="11" t="s">
        <v>1567</v>
      </c>
      <c r="P310" s="11" t="str">
        <f>VLOOKUP(A310,import!A:P,16,0)</f>
        <v>Geleneksel</v>
      </c>
      <c r="Q310" s="13"/>
      <c r="R310" s="13" t="b">
        <v>1</v>
      </c>
      <c r="S310" s="13" t="b">
        <v>0</v>
      </c>
      <c r="T310" s="14" t="s">
        <v>74</v>
      </c>
      <c r="U310" s="14" t="s">
        <v>75</v>
      </c>
      <c r="V310" s="35" t="s">
        <v>76</v>
      </c>
      <c r="W310" s="14"/>
      <c r="X310" s="24">
        <v>44624.0</v>
      </c>
      <c r="Y310" s="24">
        <v>44627.0</v>
      </c>
      <c r="Z310" s="18"/>
      <c r="AA310" s="19" t="s">
        <v>54</v>
      </c>
      <c r="AB310" s="24">
        <v>44624.0</v>
      </c>
      <c r="AC310" s="19"/>
      <c r="AD310" s="20"/>
      <c r="AE310" s="21"/>
      <c r="AF310" s="18"/>
      <c r="AG310" s="21"/>
      <c r="AH310" s="18"/>
      <c r="AI310" s="18"/>
      <c r="AJ310" s="18"/>
      <c r="AK310" s="19" t="s">
        <v>75</v>
      </c>
      <c r="AL310" s="19"/>
      <c r="AM310" s="18"/>
      <c r="AN310" s="18"/>
      <c r="AO310" s="18"/>
      <c r="AP310" s="22"/>
      <c r="AQ310" s="18"/>
    </row>
    <row r="311">
      <c r="A311" s="11" t="s">
        <v>1568</v>
      </c>
      <c r="B311" s="11" t="s">
        <v>1569</v>
      </c>
      <c r="C311" s="11" t="str">
        <f>VLOOKUP(A311,import!A:C,3,0)</f>
        <v>DOĞRU</v>
      </c>
      <c r="D311" s="11" t="s">
        <v>406</v>
      </c>
      <c r="E311" s="11">
        <f>VLOOKUP(A311,import!A:J,5,0)</f>
        <v>2727</v>
      </c>
      <c r="F311" s="11">
        <f>VLOOKUP(A311,import!A:J,6,0)</f>
        <v>8</v>
      </c>
      <c r="G311" s="11">
        <f>VLOOKUP(A311,import!A:J,7,0)</f>
        <v>0</v>
      </c>
      <c r="H311" s="11">
        <f>VLOOKUP(A311,import!A:J,8,0)</f>
        <v>12</v>
      </c>
      <c r="I311" s="11">
        <f>VLOOKUP(A311,import!A:J,9,0)</f>
        <v>12</v>
      </c>
      <c r="J311" s="12">
        <f>VLOOKUP(A311,import!A:J,10,0)</f>
        <v>0</v>
      </c>
      <c r="K311" s="11" t="s">
        <v>1570</v>
      </c>
      <c r="L311" s="11">
        <v>5.541874348E9</v>
      </c>
      <c r="M311" s="11" t="s">
        <v>71</v>
      </c>
      <c r="N311" s="11" t="s">
        <v>1406</v>
      </c>
      <c r="O311" s="11" t="s">
        <v>1571</v>
      </c>
      <c r="P311" s="11" t="str">
        <f>VLOOKUP(A311,import!A:P,16,0)</f>
        <v>Geleneksel</v>
      </c>
      <c r="Q311" s="13"/>
      <c r="R311" s="13" t="b">
        <v>1</v>
      </c>
      <c r="S311" s="13" t="b">
        <v>1</v>
      </c>
      <c r="T311" s="14"/>
      <c r="U311" s="14"/>
      <c r="V311" s="14"/>
      <c r="W311" s="14" t="s">
        <v>1572</v>
      </c>
      <c r="X311" s="24"/>
      <c r="Y311" s="24"/>
      <c r="Z311" s="18"/>
      <c r="AA311" s="19" t="s">
        <v>54</v>
      </c>
      <c r="AB311" s="20">
        <v>44621.0</v>
      </c>
      <c r="AC311" s="19" t="s">
        <v>54</v>
      </c>
      <c r="AD311" s="20">
        <v>44629.0</v>
      </c>
      <c r="AE311" s="21"/>
      <c r="AF311" s="18"/>
      <c r="AG311" s="21"/>
      <c r="AH311" s="18"/>
      <c r="AI311" s="18"/>
      <c r="AJ311" s="18"/>
      <c r="AK311" s="19" t="s">
        <v>110</v>
      </c>
      <c r="AL311" s="19" t="s">
        <v>75</v>
      </c>
      <c r="AM311" s="18"/>
      <c r="AN311" s="18"/>
      <c r="AO311" s="18"/>
      <c r="AP311" s="22" t="s">
        <v>56</v>
      </c>
      <c r="AQ311" s="18"/>
    </row>
    <row r="312">
      <c r="A312" s="11" t="s">
        <v>1573</v>
      </c>
      <c r="B312" s="11" t="s">
        <v>1574</v>
      </c>
      <c r="C312" s="11" t="str">
        <f>VLOOKUP(A312,import!A:C,3,0)</f>
        <v>DOĞRU</v>
      </c>
      <c r="D312" s="11" t="s">
        <v>406</v>
      </c>
      <c r="E312" s="11">
        <f>VLOOKUP(A312,import!A:J,5,0)</f>
        <v>58</v>
      </c>
      <c r="F312" s="11" t="str">
        <f>VLOOKUP(A312,import!A:J,6,0)</f>
        <v/>
      </c>
      <c r="G312" s="11">
        <f>VLOOKUP(A312,import!A:J,7,0)</f>
        <v>0</v>
      </c>
      <c r="H312" s="11">
        <f>VLOOKUP(A312,import!A:J,8,0)</f>
        <v>10</v>
      </c>
      <c r="I312" s="11">
        <f>VLOOKUP(A312,import!A:J,9,0)</f>
        <v>10</v>
      </c>
      <c r="J312" s="12">
        <f>VLOOKUP(A312,import!A:J,10,0)</f>
        <v>0</v>
      </c>
      <c r="K312" s="11" t="s">
        <v>1575</v>
      </c>
      <c r="L312" s="11">
        <v>5.467385038E9</v>
      </c>
      <c r="M312" s="11" t="s">
        <v>47</v>
      </c>
      <c r="N312" s="11" t="s">
        <v>1576</v>
      </c>
      <c r="O312" s="11" t="s">
        <v>1577</v>
      </c>
      <c r="P312" s="11" t="str">
        <f>VLOOKUP(A312,import!A:P,16,0)</f>
        <v>Geleneksel</v>
      </c>
      <c r="Q312" s="13"/>
      <c r="R312" s="13" t="b">
        <v>1</v>
      </c>
      <c r="S312" s="13" t="b">
        <v>0</v>
      </c>
      <c r="T312" s="14" t="s">
        <v>168</v>
      </c>
      <c r="U312" s="14"/>
      <c r="V312" s="14"/>
      <c r="W312" s="14" t="s">
        <v>1578</v>
      </c>
      <c r="X312" s="24"/>
      <c r="Y312" s="24"/>
      <c r="Z312" s="18"/>
      <c r="AA312" s="19" t="s">
        <v>78</v>
      </c>
      <c r="AB312" s="20">
        <v>44589.0</v>
      </c>
      <c r="AC312" s="19" t="s">
        <v>54</v>
      </c>
      <c r="AD312" s="20">
        <v>44601.0</v>
      </c>
      <c r="AE312" s="21"/>
      <c r="AF312" s="18"/>
      <c r="AG312" s="21"/>
      <c r="AH312" s="18"/>
      <c r="AI312" s="18"/>
      <c r="AJ312" s="18"/>
      <c r="AK312" s="19" t="s">
        <v>110</v>
      </c>
      <c r="AL312" s="19" t="s">
        <v>110</v>
      </c>
      <c r="AM312" s="18"/>
      <c r="AN312" s="18"/>
      <c r="AO312" s="18"/>
      <c r="AP312" s="22" t="s">
        <v>56</v>
      </c>
      <c r="AQ312" s="18"/>
    </row>
    <row r="313">
      <c r="A313" s="11" t="s">
        <v>1579</v>
      </c>
      <c r="B313" s="11" t="s">
        <v>1580</v>
      </c>
      <c r="C313" s="11" t="str">
        <f>VLOOKUP(A313,import!A:C,3,0)</f>
        <v>DOĞRU</v>
      </c>
      <c r="D313" s="11" t="s">
        <v>406</v>
      </c>
      <c r="E313" s="11">
        <f>VLOOKUP(A313,import!A:J,5,0)</f>
        <v>63</v>
      </c>
      <c r="F313" s="11" t="str">
        <f>VLOOKUP(A313,import!A:J,6,0)</f>
        <v/>
      </c>
      <c r="G313" s="11">
        <f>VLOOKUP(A313,import!A:J,7,0)</f>
        <v>0</v>
      </c>
      <c r="H313" s="11">
        <f>VLOOKUP(A313,import!A:J,8,0)</f>
        <v>9</v>
      </c>
      <c r="I313" s="11">
        <f>VLOOKUP(A313,import!A:J,9,0)</f>
        <v>9</v>
      </c>
      <c r="J313" s="12">
        <f>VLOOKUP(A313,import!A:J,10,0)</f>
        <v>0</v>
      </c>
      <c r="K313" s="11" t="s">
        <v>1581</v>
      </c>
      <c r="L313" s="11">
        <v>3.52339707E9</v>
      </c>
      <c r="M313" s="11" t="s">
        <v>71</v>
      </c>
      <c r="N313" s="11" t="s">
        <v>1582</v>
      </c>
      <c r="O313" s="11" t="s">
        <v>1583</v>
      </c>
      <c r="P313" s="11" t="str">
        <f>VLOOKUP(A313,import!A:P,16,0)</f>
        <v>Geleneksel</v>
      </c>
      <c r="Q313" s="13"/>
      <c r="R313" s="13" t="b">
        <v>0</v>
      </c>
      <c r="S313" s="13" t="b">
        <v>0</v>
      </c>
      <c r="T313" s="14"/>
      <c r="U313" s="14"/>
      <c r="V313" s="14"/>
      <c r="W313" s="14" t="s">
        <v>1584</v>
      </c>
      <c r="X313" s="24"/>
      <c r="Y313" s="24"/>
      <c r="Z313" s="18"/>
      <c r="AA313" s="19"/>
      <c r="AB313" s="20"/>
      <c r="AC313" s="19"/>
      <c r="AD313" s="20"/>
      <c r="AE313" s="21"/>
      <c r="AF313" s="18"/>
      <c r="AG313" s="21"/>
      <c r="AH313" s="18"/>
      <c r="AI313" s="18"/>
      <c r="AJ313" s="18"/>
      <c r="AK313" s="19"/>
      <c r="AL313" s="19"/>
      <c r="AM313" s="18"/>
      <c r="AN313" s="18"/>
      <c r="AO313" s="18"/>
      <c r="AP313" s="22" t="s">
        <v>56</v>
      </c>
      <c r="AQ313" s="18"/>
    </row>
    <row r="314">
      <c r="A314" s="11" t="s">
        <v>1585</v>
      </c>
      <c r="B314" s="11" t="s">
        <v>1586</v>
      </c>
      <c r="C314" s="11" t="str">
        <f>VLOOKUP(A314,import!A:C,3,0)</f>
        <v>DOĞRU</v>
      </c>
      <c r="D314" s="11" t="s">
        <v>406</v>
      </c>
      <c r="E314" s="11">
        <f>VLOOKUP(A314,import!A:J,5,0)</f>
        <v>316</v>
      </c>
      <c r="F314" s="11">
        <f>VLOOKUP(A314,import!A:J,6,0)</f>
        <v>10</v>
      </c>
      <c r="G314" s="11">
        <f>VLOOKUP(A314,import!A:J,7,0)</f>
        <v>8</v>
      </c>
      <c r="H314" s="11">
        <f>VLOOKUP(A314,import!A:J,8,0)</f>
        <v>1</v>
      </c>
      <c r="I314" s="11">
        <f>VLOOKUP(A314,import!A:J,9,0)</f>
        <v>9</v>
      </c>
      <c r="J314" s="12">
        <f>VLOOKUP(A314,import!A:J,10,0)</f>
        <v>0.89</v>
      </c>
      <c r="K314" s="11" t="s">
        <v>1587</v>
      </c>
      <c r="L314" s="11">
        <v>3.522229893E9</v>
      </c>
      <c r="M314" s="11" t="s">
        <v>47</v>
      </c>
      <c r="N314" s="11" t="s">
        <v>339</v>
      </c>
      <c r="O314" s="11" t="s">
        <v>1588</v>
      </c>
      <c r="P314" s="11" t="str">
        <f>VLOOKUP(A314,import!A:P,16,0)</f>
        <v>Geleneksel</v>
      </c>
      <c r="Q314" s="13"/>
      <c r="R314" s="13" t="b">
        <v>1</v>
      </c>
      <c r="S314" s="13" t="b">
        <v>0</v>
      </c>
      <c r="T314" s="14" t="s">
        <v>74</v>
      </c>
      <c r="U314" s="14" t="s">
        <v>80</v>
      </c>
      <c r="V314" s="31" t="s">
        <v>1589</v>
      </c>
      <c r="W314" s="14">
        <v>5.419716907E9</v>
      </c>
      <c r="X314" s="24">
        <v>44590.0</v>
      </c>
      <c r="Y314" s="24">
        <v>44593.0</v>
      </c>
      <c r="Z314" s="18"/>
      <c r="AA314" s="19" t="s">
        <v>53</v>
      </c>
      <c r="AB314" s="20">
        <v>44586.0</v>
      </c>
      <c r="AC314" s="19" t="s">
        <v>54</v>
      </c>
      <c r="AD314" s="20">
        <v>44590.0</v>
      </c>
      <c r="AE314" s="21"/>
      <c r="AF314" s="18"/>
      <c r="AG314" s="21"/>
      <c r="AH314" s="18"/>
      <c r="AI314" s="18"/>
      <c r="AJ314" s="18"/>
      <c r="AK314" s="19" t="s">
        <v>140</v>
      </c>
      <c r="AL314" s="19" t="s">
        <v>80</v>
      </c>
      <c r="AM314" s="18"/>
      <c r="AN314" s="18"/>
      <c r="AO314" s="18"/>
      <c r="AP314" s="22" t="s">
        <v>56</v>
      </c>
      <c r="AQ314" s="18"/>
    </row>
    <row r="315">
      <c r="A315" s="11" t="s">
        <v>1590</v>
      </c>
      <c r="B315" s="11" t="s">
        <v>1591</v>
      </c>
      <c r="C315" s="11" t="str">
        <f>VLOOKUP(A315,import!A:C,3,0)</f>
        <v>DOĞRU</v>
      </c>
      <c r="D315" s="11" t="s">
        <v>406</v>
      </c>
      <c r="E315" s="11">
        <f>VLOOKUP(A315,import!A:J,5,0)</f>
        <v>1611</v>
      </c>
      <c r="F315" s="11">
        <f>VLOOKUP(A315,import!A:J,6,0)</f>
        <v>40</v>
      </c>
      <c r="G315" s="11">
        <f>VLOOKUP(A315,import!A:J,7,0)</f>
        <v>9</v>
      </c>
      <c r="H315" s="11">
        <f>VLOOKUP(A315,import!A:J,8,0)</f>
        <v>6</v>
      </c>
      <c r="I315" s="11">
        <f>VLOOKUP(A315,import!A:J,9,0)</f>
        <v>15</v>
      </c>
      <c r="J315" s="12">
        <f>VLOOKUP(A315,import!A:J,10,0)</f>
        <v>0.6</v>
      </c>
      <c r="K315" s="11" t="s">
        <v>1592</v>
      </c>
      <c r="L315" s="11">
        <v>3.52240616E9</v>
      </c>
      <c r="M315" s="11" t="s">
        <v>71</v>
      </c>
      <c r="N315" s="11" t="s">
        <v>1593</v>
      </c>
      <c r="O315" s="11" t="s">
        <v>1594</v>
      </c>
      <c r="P315" s="11" t="str">
        <f>VLOOKUP(A315,import!A:P,16,0)</f>
        <v>Geleneksel</v>
      </c>
      <c r="Q315" s="13"/>
      <c r="R315" s="13" t="b">
        <v>1</v>
      </c>
      <c r="S315" s="13" t="b">
        <v>0</v>
      </c>
      <c r="T315" s="14" t="s">
        <v>74</v>
      </c>
      <c r="U315" s="14" t="s">
        <v>95</v>
      </c>
      <c r="V315" s="37"/>
      <c r="W315" s="14" t="s">
        <v>1595</v>
      </c>
      <c r="X315" s="24">
        <v>44351.0</v>
      </c>
      <c r="Y315" s="24">
        <v>44355.0</v>
      </c>
      <c r="Z315" s="18"/>
      <c r="AA315" s="19" t="s">
        <v>54</v>
      </c>
      <c r="AB315" s="24">
        <v>44349.0</v>
      </c>
      <c r="AC315" s="19" t="s">
        <v>54</v>
      </c>
      <c r="AD315" s="20">
        <v>44351.0</v>
      </c>
      <c r="AE315" s="21"/>
      <c r="AF315" s="18"/>
      <c r="AG315" s="21"/>
      <c r="AH315" s="18"/>
      <c r="AI315" s="18"/>
      <c r="AJ315" s="18"/>
      <c r="AK315" s="19" t="s">
        <v>79</v>
      </c>
      <c r="AL315" s="19" t="s">
        <v>1389</v>
      </c>
      <c r="AM315" s="18"/>
      <c r="AN315" s="18"/>
      <c r="AO315" s="18"/>
      <c r="AP315" s="22" t="s">
        <v>56</v>
      </c>
      <c r="AQ315" s="18"/>
    </row>
    <row r="316">
      <c r="A316" s="11" t="s">
        <v>1596</v>
      </c>
      <c r="B316" s="11" t="s">
        <v>1597</v>
      </c>
      <c r="C316" s="11" t="str">
        <f>VLOOKUP(A316,import!A:C,3,0)</f>
        <v>DOĞRU</v>
      </c>
      <c r="D316" s="11" t="s">
        <v>1598</v>
      </c>
      <c r="E316" s="11">
        <f>VLOOKUP(A316,import!A:J,5,0)</f>
        <v>128</v>
      </c>
      <c r="F316" s="11">
        <f>VLOOKUP(A316,import!A:J,6,0)</f>
        <v>44</v>
      </c>
      <c r="G316" s="11">
        <f>VLOOKUP(A316,import!A:J,7,0)</f>
        <v>0</v>
      </c>
      <c r="H316" s="11">
        <f>VLOOKUP(A316,import!A:J,8,0)</f>
        <v>4</v>
      </c>
      <c r="I316" s="11">
        <f>VLOOKUP(A316,import!A:J,9,0)</f>
        <v>4</v>
      </c>
      <c r="J316" s="12">
        <f>VLOOKUP(A316,import!A:J,10,0)</f>
        <v>0</v>
      </c>
      <c r="K316" s="11" t="s">
        <v>1599</v>
      </c>
      <c r="L316" s="11">
        <v>3.522481333E9</v>
      </c>
      <c r="M316" s="11" t="s">
        <v>47</v>
      </c>
      <c r="N316" s="11" t="s">
        <v>107</v>
      </c>
      <c r="O316" s="11" t="s">
        <v>1600</v>
      </c>
      <c r="P316" s="11" t="str">
        <f>VLOOKUP(A316,import!A:P,16,0)</f>
        <v>Geleneksel</v>
      </c>
      <c r="Q316" s="13"/>
      <c r="R316" s="13" t="b">
        <v>0</v>
      </c>
      <c r="S316" s="13" t="b">
        <v>0</v>
      </c>
      <c r="T316" s="14"/>
      <c r="U316" s="14"/>
      <c r="V316" s="14"/>
      <c r="W316" s="14"/>
      <c r="X316" s="24"/>
      <c r="Y316" s="24"/>
      <c r="Z316" s="18"/>
      <c r="AA316" s="19"/>
      <c r="AB316" s="20"/>
      <c r="AC316" s="19"/>
      <c r="AD316" s="20"/>
      <c r="AE316" s="19"/>
      <c r="AF316" s="20"/>
      <c r="AG316" s="21"/>
      <c r="AH316" s="18"/>
      <c r="AI316" s="18"/>
      <c r="AJ316" s="18"/>
      <c r="AK316" s="19"/>
      <c r="AL316" s="19"/>
      <c r="AM316" s="19"/>
      <c r="AN316" s="18"/>
      <c r="AO316" s="18"/>
      <c r="AP316" s="22"/>
      <c r="AQ316" s="18"/>
    </row>
    <row r="317">
      <c r="A317" s="22" t="s">
        <v>1601</v>
      </c>
      <c r="B317" s="22" t="s">
        <v>1602</v>
      </c>
      <c r="C317" s="11" t="str">
        <f>VLOOKUP(A317,import!A:C,3,0)</f>
        <v>DOĞRU</v>
      </c>
      <c r="D317" s="22" t="s">
        <v>406</v>
      </c>
      <c r="E317" s="11">
        <f>VLOOKUP(A317,import!A:J,5,0)</f>
        <v>29</v>
      </c>
      <c r="F317" s="11">
        <f>VLOOKUP(A317,import!A:J,6,0)</f>
        <v>20</v>
      </c>
      <c r="G317" s="11">
        <f>VLOOKUP(A317,import!A:J,7,0)</f>
        <v>0</v>
      </c>
      <c r="H317" s="11">
        <f>VLOOKUP(A317,import!A:J,8,0)</f>
        <v>12</v>
      </c>
      <c r="I317" s="11">
        <f>VLOOKUP(A317,import!A:J,9,0)</f>
        <v>12</v>
      </c>
      <c r="J317" s="12">
        <f>VLOOKUP(A317,import!A:J,10,0)</f>
        <v>0</v>
      </c>
      <c r="K317" s="22" t="s">
        <v>1603</v>
      </c>
      <c r="L317" s="22">
        <v>3.523511558E9</v>
      </c>
      <c r="M317" s="22" t="s">
        <v>71</v>
      </c>
      <c r="N317" s="22" t="s">
        <v>1604</v>
      </c>
      <c r="O317" s="22" t="s">
        <v>1605</v>
      </c>
      <c r="P317" s="11" t="str">
        <f>VLOOKUP(A317,import!A:P,16,0)</f>
        <v>Geleneksel</v>
      </c>
      <c r="Q317" s="13"/>
      <c r="R317" s="13" t="b">
        <v>0</v>
      </c>
      <c r="S317" s="13" t="b">
        <v>0</v>
      </c>
      <c r="T317" s="14"/>
      <c r="U317" s="14"/>
      <c r="V317" s="30"/>
      <c r="W317" s="14"/>
      <c r="X317" s="24"/>
      <c r="Y317" s="24"/>
      <c r="Z317" s="18"/>
      <c r="AA317" s="19"/>
      <c r="AB317" s="20"/>
      <c r="AC317" s="19"/>
      <c r="AD317" s="20"/>
      <c r="AE317" s="19"/>
      <c r="AF317" s="20"/>
      <c r="AG317" s="21"/>
      <c r="AH317" s="18"/>
      <c r="AI317" s="18"/>
      <c r="AJ317" s="18"/>
      <c r="AK317" s="19"/>
      <c r="AL317" s="19"/>
      <c r="AM317" s="19"/>
      <c r="AN317" s="18"/>
      <c r="AO317" s="18"/>
      <c r="AP317" s="22"/>
      <c r="AQ317" s="18"/>
    </row>
    <row r="318">
      <c r="A318" s="11" t="s">
        <v>1606</v>
      </c>
      <c r="B318" s="11" t="s">
        <v>1607</v>
      </c>
      <c r="C318" s="11" t="str">
        <f>VLOOKUP(A318,import!A:C,3,0)</f>
        <v>DOĞRU</v>
      </c>
      <c r="D318" s="11" t="s">
        <v>165</v>
      </c>
      <c r="E318" s="11">
        <f>VLOOKUP(A318,import!A:J,5,0)</f>
        <v>672</v>
      </c>
      <c r="F318" s="11" t="str">
        <f>VLOOKUP(A318,import!A:J,6,0)</f>
        <v/>
      </c>
      <c r="G318" s="11">
        <f>VLOOKUP(A318,import!A:J,7,0)</f>
        <v>4</v>
      </c>
      <c r="H318" s="11">
        <f>VLOOKUP(A318,import!A:J,8,0)</f>
        <v>14</v>
      </c>
      <c r="I318" s="11">
        <f>VLOOKUP(A318,import!A:J,9,0)</f>
        <v>18</v>
      </c>
      <c r="J318" s="12">
        <f>VLOOKUP(A318,import!A:J,10,0)</f>
        <v>0.22</v>
      </c>
      <c r="K318" s="11" t="s">
        <v>1608</v>
      </c>
      <c r="L318" s="11">
        <v>3.522321142E9</v>
      </c>
      <c r="M318" s="11" t="s">
        <v>47</v>
      </c>
      <c r="N318" s="11" t="s">
        <v>307</v>
      </c>
      <c r="O318" s="11" t="s">
        <v>1609</v>
      </c>
      <c r="P318" s="11" t="str">
        <f>VLOOKUP(A318,import!A:P,16,0)</f>
        <v>Geleneksel</v>
      </c>
      <c r="Q318" s="13"/>
      <c r="R318" s="13" t="b">
        <v>1</v>
      </c>
      <c r="S318" s="13" t="b">
        <v>0</v>
      </c>
      <c r="T318" s="14" t="s">
        <v>74</v>
      </c>
      <c r="U318" s="14" t="s">
        <v>75</v>
      </c>
      <c r="V318" s="14" t="s">
        <v>1589</v>
      </c>
      <c r="W318" s="14" t="s">
        <v>1610</v>
      </c>
      <c r="X318" s="24">
        <v>44587.0</v>
      </c>
      <c r="Y318" s="24">
        <v>44588.0</v>
      </c>
      <c r="Z318" s="18"/>
      <c r="AA318" s="19" t="s">
        <v>54</v>
      </c>
      <c r="AB318" s="20">
        <v>44587.0</v>
      </c>
      <c r="AC318" s="19"/>
      <c r="AD318" s="20"/>
      <c r="AE318" s="21"/>
      <c r="AF318" s="18"/>
      <c r="AG318" s="21"/>
      <c r="AH318" s="18"/>
      <c r="AI318" s="18"/>
      <c r="AJ318" s="18"/>
      <c r="AK318" s="19" t="s">
        <v>75</v>
      </c>
      <c r="AL318" s="19"/>
      <c r="AM318" s="18"/>
      <c r="AN318" s="18"/>
      <c r="AO318" s="18"/>
      <c r="AP318" s="22" t="s">
        <v>56</v>
      </c>
      <c r="AQ318" s="18"/>
    </row>
    <row r="319">
      <c r="A319" s="11" t="s">
        <v>1611</v>
      </c>
      <c r="B319" s="11" t="s">
        <v>1612</v>
      </c>
      <c r="C319" s="11" t="str">
        <f>VLOOKUP(A319,import!A:C,3,0)</f>
        <v>DOĞRU</v>
      </c>
      <c r="D319" s="11" t="s">
        <v>505</v>
      </c>
      <c r="E319" s="11">
        <f>VLOOKUP(A319,import!A:J,5,0)</f>
        <v>1001</v>
      </c>
      <c r="F319" s="11">
        <f>VLOOKUP(A319,import!A:J,6,0)</f>
        <v>21</v>
      </c>
      <c r="G319" s="11">
        <f>VLOOKUP(A319,import!A:J,7,0)</f>
        <v>0</v>
      </c>
      <c r="H319" s="11">
        <f>VLOOKUP(A319,import!A:J,8,0)</f>
        <v>44</v>
      </c>
      <c r="I319" s="11">
        <f>VLOOKUP(A319,import!A:J,9,0)</f>
        <v>44</v>
      </c>
      <c r="J319" s="12">
        <f>VLOOKUP(A319,import!A:J,10,0)</f>
        <v>0</v>
      </c>
      <c r="K319" s="11" t="s">
        <v>1613</v>
      </c>
      <c r="L319" s="11">
        <v>3.523399438E9</v>
      </c>
      <c r="M319" s="11" t="s">
        <v>71</v>
      </c>
      <c r="N319" s="11" t="s">
        <v>230</v>
      </c>
      <c r="O319" s="11" t="s">
        <v>1614</v>
      </c>
      <c r="P319" s="11" t="str">
        <f>VLOOKUP(A319,import!A:P,16,0)</f>
        <v>Geleneksel</v>
      </c>
      <c r="Q319" s="13"/>
      <c r="R319" s="13" t="b">
        <v>1</v>
      </c>
      <c r="S319" s="13" t="b">
        <v>0</v>
      </c>
      <c r="T319" s="14" t="s">
        <v>133</v>
      </c>
      <c r="U319" s="15"/>
      <c r="V319" s="15"/>
      <c r="W319" s="14" t="s">
        <v>1615</v>
      </c>
      <c r="X319" s="17"/>
      <c r="Y319" s="17"/>
      <c r="Z319" s="18"/>
      <c r="AA319" s="19" t="s">
        <v>54</v>
      </c>
      <c r="AB319" s="24">
        <v>44349.0</v>
      </c>
      <c r="AC319" s="19" t="s">
        <v>53</v>
      </c>
      <c r="AD319" s="20">
        <v>44351.0</v>
      </c>
      <c r="AE319" s="19" t="s">
        <v>54</v>
      </c>
      <c r="AF319" s="20">
        <v>44642.0</v>
      </c>
      <c r="AG319" s="19" t="s">
        <v>54</v>
      </c>
      <c r="AH319" s="20">
        <v>44662.0</v>
      </c>
      <c r="AI319" s="18"/>
      <c r="AJ319" s="18"/>
      <c r="AK319" s="19" t="s">
        <v>79</v>
      </c>
      <c r="AL319" s="19" t="s">
        <v>79</v>
      </c>
      <c r="AM319" s="19" t="s">
        <v>75</v>
      </c>
      <c r="AN319" s="19" t="s">
        <v>110</v>
      </c>
      <c r="AO319" s="18"/>
      <c r="AP319" s="22" t="s">
        <v>56</v>
      </c>
      <c r="AQ319" s="18"/>
    </row>
    <row r="320">
      <c r="A320" s="11" t="s">
        <v>1616</v>
      </c>
      <c r="B320" s="11" t="s">
        <v>1617</v>
      </c>
      <c r="C320" s="11" t="str">
        <f>VLOOKUP(A320,import!A:C,3,0)</f>
        <v>DOĞRU</v>
      </c>
      <c r="D320" s="11" t="s">
        <v>45</v>
      </c>
      <c r="E320" s="11">
        <f>VLOOKUP(A320,import!A:J,5,0)</f>
        <v>3589</v>
      </c>
      <c r="F320" s="11">
        <f>VLOOKUP(A320,import!A:J,6,0)</f>
        <v>96</v>
      </c>
      <c r="G320" s="11">
        <f>VLOOKUP(A320,import!A:J,7,0)</f>
        <v>0</v>
      </c>
      <c r="H320" s="11">
        <f>VLOOKUP(A320,import!A:J,8,0)</f>
        <v>31</v>
      </c>
      <c r="I320" s="11">
        <f>VLOOKUP(A320,import!A:J,9,0)</f>
        <v>31</v>
      </c>
      <c r="J320" s="12">
        <f>VLOOKUP(A320,import!A:J,10,0)</f>
        <v>0</v>
      </c>
      <c r="K320" s="11" t="s">
        <v>659</v>
      </c>
      <c r="L320" s="11">
        <v>3.52502101E9</v>
      </c>
      <c r="M320" s="11" t="s">
        <v>47</v>
      </c>
      <c r="N320" s="11" t="s">
        <v>47</v>
      </c>
      <c r="O320" s="11" t="s">
        <v>1618</v>
      </c>
      <c r="P320" s="11" t="str">
        <f>VLOOKUP(A320,import!A:P,16,0)</f>
        <v>Geleneksel</v>
      </c>
      <c r="Q320" s="13"/>
      <c r="R320" s="13" t="b">
        <v>1</v>
      </c>
      <c r="S320" s="13" t="b">
        <v>1</v>
      </c>
      <c r="T320" s="15"/>
      <c r="U320" s="15"/>
      <c r="V320" s="15"/>
      <c r="W320" s="14" t="s">
        <v>969</v>
      </c>
      <c r="X320" s="17"/>
      <c r="Y320" s="17"/>
      <c r="Z320" s="18"/>
      <c r="AA320" s="18"/>
      <c r="AB320" s="18"/>
      <c r="AC320" s="18"/>
      <c r="AD320" s="18"/>
      <c r="AE320" s="21"/>
      <c r="AF320" s="18"/>
      <c r="AG320" s="21"/>
      <c r="AH320" s="18"/>
      <c r="AI320" s="18"/>
      <c r="AJ320" s="18"/>
      <c r="AK320" s="18"/>
      <c r="AL320" s="18"/>
      <c r="AM320" s="18"/>
      <c r="AN320" s="18"/>
      <c r="AO320" s="18"/>
      <c r="AP320" s="22" t="s">
        <v>56</v>
      </c>
      <c r="AQ320" s="18"/>
    </row>
    <row r="321">
      <c r="A321" s="11" t="s">
        <v>1619</v>
      </c>
      <c r="B321" s="11" t="s">
        <v>1620</v>
      </c>
      <c r="C321" s="11" t="str">
        <f>VLOOKUP(A321,import!A:C,3,0)</f>
        <v>DOĞRU</v>
      </c>
      <c r="D321" s="11" t="s">
        <v>406</v>
      </c>
      <c r="E321" s="11">
        <f>VLOOKUP(A321,import!A:J,5,0)</f>
        <v>7</v>
      </c>
      <c r="F321" s="11">
        <f>VLOOKUP(A321,import!A:J,6,0)</f>
        <v>5</v>
      </c>
      <c r="G321" s="11">
        <f>VLOOKUP(A321,import!A:J,7,0)</f>
        <v>0</v>
      </c>
      <c r="H321" s="11">
        <f>VLOOKUP(A321,import!A:J,8,0)</f>
        <v>15</v>
      </c>
      <c r="I321" s="11">
        <f>VLOOKUP(A321,import!A:J,9,0)</f>
        <v>15</v>
      </c>
      <c r="J321" s="12">
        <f>VLOOKUP(A321,import!A:J,10,0)</f>
        <v>0</v>
      </c>
      <c r="K321" s="11" t="s">
        <v>1621</v>
      </c>
      <c r="L321" s="11">
        <v>3.522402948E9</v>
      </c>
      <c r="M321" s="11" t="s">
        <v>71</v>
      </c>
      <c r="N321" s="11" t="s">
        <v>679</v>
      </c>
      <c r="O321" s="11" t="s">
        <v>1622</v>
      </c>
      <c r="P321" s="11" t="str">
        <f>VLOOKUP(A321,import!A:P,16,0)</f>
        <v>Geleneksel</v>
      </c>
      <c r="Q321" s="13"/>
      <c r="R321" s="13" t="b">
        <v>1</v>
      </c>
      <c r="S321" s="13" t="b">
        <v>0</v>
      </c>
      <c r="T321" s="14"/>
      <c r="U321" s="14"/>
      <c r="V321" s="14"/>
      <c r="W321" s="14" t="s">
        <v>1623</v>
      </c>
      <c r="X321" s="24"/>
      <c r="Y321" s="24"/>
      <c r="Z321" s="18"/>
      <c r="AA321" s="19" t="s">
        <v>54</v>
      </c>
      <c r="AB321" s="20">
        <v>44650.0</v>
      </c>
      <c r="AC321" s="19" t="s">
        <v>54</v>
      </c>
      <c r="AD321" s="20">
        <v>44662.0</v>
      </c>
      <c r="AE321" s="19"/>
      <c r="AF321" s="20"/>
      <c r="AG321" s="21"/>
      <c r="AH321" s="18"/>
      <c r="AI321" s="18"/>
      <c r="AJ321" s="18"/>
      <c r="AK321" s="19" t="s">
        <v>75</v>
      </c>
      <c r="AL321" s="19" t="s">
        <v>110</v>
      </c>
      <c r="AM321" s="19"/>
      <c r="AN321" s="18"/>
      <c r="AO321" s="18"/>
      <c r="AP321" s="22"/>
      <c r="AQ321" s="18"/>
    </row>
    <row r="322">
      <c r="A322" s="11" t="s">
        <v>1624</v>
      </c>
      <c r="B322" s="11" t="s">
        <v>1625</v>
      </c>
      <c r="C322" s="11" t="str">
        <f>VLOOKUP(A322,import!A:C,3,0)</f>
        <v>DOĞRU</v>
      </c>
      <c r="D322" s="11" t="s">
        <v>406</v>
      </c>
      <c r="E322" s="11">
        <f>VLOOKUP(A322,import!A:J,5,0)</f>
        <v>1724</v>
      </c>
      <c r="F322" s="11">
        <f>VLOOKUP(A322,import!A:J,6,0)</f>
        <v>38</v>
      </c>
      <c r="G322" s="11">
        <f>VLOOKUP(A322,import!A:J,7,0)</f>
        <v>0</v>
      </c>
      <c r="H322" s="11">
        <f>VLOOKUP(A322,import!A:J,8,0)</f>
        <v>19</v>
      </c>
      <c r="I322" s="11">
        <f>VLOOKUP(A322,import!A:J,9,0)</f>
        <v>19</v>
      </c>
      <c r="J322" s="12">
        <f>VLOOKUP(A322,import!A:J,10,0)</f>
        <v>0</v>
      </c>
      <c r="K322" s="11" t="s">
        <v>1626</v>
      </c>
      <c r="L322" s="11">
        <v>5.52681381E9</v>
      </c>
      <c r="M322" s="11" t="s">
        <v>47</v>
      </c>
      <c r="N322" s="11" t="s">
        <v>277</v>
      </c>
      <c r="O322" s="11" t="s">
        <v>1627</v>
      </c>
      <c r="P322" s="11" t="str">
        <f>VLOOKUP(A322,import!A:P,16,0)</f>
        <v>Geleneksel</v>
      </c>
      <c r="Q322" s="13"/>
      <c r="R322" s="13" t="b">
        <v>1</v>
      </c>
      <c r="S322" s="13" t="b">
        <v>1</v>
      </c>
      <c r="T322" s="14"/>
      <c r="U322" s="14"/>
      <c r="V322" s="14"/>
      <c r="W322" s="14" t="s">
        <v>1628</v>
      </c>
      <c r="X322" s="24"/>
      <c r="Y322" s="24"/>
      <c r="Z322" s="19" t="s">
        <v>1629</v>
      </c>
      <c r="AA322" s="18"/>
      <c r="AB322" s="18"/>
      <c r="AC322" s="18"/>
      <c r="AD322" s="18"/>
      <c r="AE322" s="21"/>
      <c r="AF322" s="18"/>
      <c r="AG322" s="21"/>
      <c r="AH322" s="18"/>
      <c r="AI322" s="18"/>
      <c r="AJ322" s="18"/>
      <c r="AK322" s="18"/>
      <c r="AL322" s="18"/>
      <c r="AM322" s="18"/>
      <c r="AN322" s="18"/>
      <c r="AO322" s="18"/>
      <c r="AP322" s="22" t="s">
        <v>56</v>
      </c>
      <c r="AQ322" s="18"/>
    </row>
    <row r="323">
      <c r="A323" s="11" t="s">
        <v>1630</v>
      </c>
      <c r="B323" s="11" t="s">
        <v>1631</v>
      </c>
      <c r="C323" s="11" t="str">
        <f>VLOOKUP(A323,import!A:C,3,0)</f>
        <v>DOĞRU</v>
      </c>
      <c r="D323" s="11" t="s">
        <v>69</v>
      </c>
      <c r="E323" s="11">
        <f>VLOOKUP(A323,import!A:J,5,0)</f>
        <v>170</v>
      </c>
      <c r="F323" s="11" t="str">
        <f>VLOOKUP(A323,import!A:J,6,0)</f>
        <v/>
      </c>
      <c r="G323" s="11">
        <f>VLOOKUP(A323,import!A:J,7,0)</f>
        <v>3</v>
      </c>
      <c r="H323" s="11">
        <f>VLOOKUP(A323,import!A:J,8,0)</f>
        <v>2</v>
      </c>
      <c r="I323" s="11">
        <f>VLOOKUP(A323,import!A:J,9,0)</f>
        <v>5</v>
      </c>
      <c r="J323" s="12">
        <f>VLOOKUP(A323,import!A:J,10,0)</f>
        <v>0.6</v>
      </c>
      <c r="K323" s="11" t="s">
        <v>1632</v>
      </c>
      <c r="L323" s="11">
        <v>5.323276738E9</v>
      </c>
      <c r="M323" s="11" t="s">
        <v>71</v>
      </c>
      <c r="N323" s="11" t="s">
        <v>588</v>
      </c>
      <c r="O323" s="11" t="s">
        <v>1633</v>
      </c>
      <c r="P323" s="11" t="str">
        <f>VLOOKUP(A323,import!A:P,16,0)</f>
        <v>Geleneksel</v>
      </c>
      <c r="Q323" s="13"/>
      <c r="R323" s="13" t="b">
        <v>1</v>
      </c>
      <c r="S323" s="13" t="b">
        <v>0</v>
      </c>
      <c r="T323" s="14" t="s">
        <v>74</v>
      </c>
      <c r="U323" s="14" t="s">
        <v>88</v>
      </c>
      <c r="V323" s="14" t="s">
        <v>96</v>
      </c>
      <c r="W323" s="14" t="s">
        <v>422</v>
      </c>
      <c r="X323" s="24">
        <v>44362.0</v>
      </c>
      <c r="Y323" s="24">
        <v>44365.0</v>
      </c>
      <c r="Z323" s="18"/>
      <c r="AA323" s="18"/>
      <c r="AB323" s="18"/>
      <c r="AC323" s="18"/>
      <c r="AD323" s="18"/>
      <c r="AE323" s="21"/>
      <c r="AF323" s="18"/>
      <c r="AG323" s="21"/>
      <c r="AH323" s="18"/>
      <c r="AI323" s="18"/>
      <c r="AJ323" s="18"/>
      <c r="AK323" s="18"/>
      <c r="AL323" s="18"/>
      <c r="AM323" s="18"/>
      <c r="AN323" s="18"/>
      <c r="AO323" s="18"/>
      <c r="AP323" s="22" t="s">
        <v>56</v>
      </c>
      <c r="AQ323" s="18"/>
    </row>
    <row r="324">
      <c r="A324" s="11" t="s">
        <v>1634</v>
      </c>
      <c r="B324" s="11" t="s">
        <v>1635</v>
      </c>
      <c r="C324" s="11" t="str">
        <f>VLOOKUP(A324,import!A:C,3,0)</f>
        <v>YANLIŞ</v>
      </c>
      <c r="D324" s="11" t="s">
        <v>83</v>
      </c>
      <c r="E324" s="11">
        <f>VLOOKUP(A324,import!A:J,5,0)</f>
        <v>11</v>
      </c>
      <c r="F324" s="11" t="str">
        <f>VLOOKUP(A324,import!A:J,6,0)</f>
        <v/>
      </c>
      <c r="G324" s="11">
        <f>VLOOKUP(A324,import!A:J,7,0)</f>
        <v>0</v>
      </c>
      <c r="H324" s="11">
        <f>VLOOKUP(A324,import!A:J,8,0)</f>
        <v>13</v>
      </c>
      <c r="I324" s="11">
        <f>VLOOKUP(A324,import!A:J,9,0)</f>
        <v>13</v>
      </c>
      <c r="J324" s="12">
        <f>VLOOKUP(A324,import!A:J,10,0)</f>
        <v>0</v>
      </c>
      <c r="K324" s="11" t="s">
        <v>1636</v>
      </c>
      <c r="L324" s="11">
        <v>3.523367587E9</v>
      </c>
      <c r="M324" s="11" t="s">
        <v>71</v>
      </c>
      <c r="N324" s="11" t="s">
        <v>230</v>
      </c>
      <c r="O324" s="11" t="s">
        <v>1637</v>
      </c>
      <c r="P324" s="11" t="str">
        <f>VLOOKUP(A324,import!A:P,16,0)</f>
        <v>Geleneksel</v>
      </c>
      <c r="Q324" s="13"/>
      <c r="R324" s="13" t="b">
        <v>0</v>
      </c>
      <c r="S324" s="13" t="b">
        <v>0</v>
      </c>
      <c r="T324" s="14"/>
      <c r="U324" s="14"/>
      <c r="V324" s="14"/>
      <c r="W324" s="14" t="s">
        <v>1638</v>
      </c>
      <c r="X324" s="24"/>
      <c r="Y324" s="24"/>
      <c r="Z324" s="18"/>
      <c r="AA324" s="19" t="s">
        <v>53</v>
      </c>
      <c r="AB324" s="20">
        <v>44629.0</v>
      </c>
      <c r="AC324" s="19"/>
      <c r="AD324" s="20"/>
      <c r="AE324" s="21"/>
      <c r="AF324" s="18"/>
      <c r="AG324" s="21"/>
      <c r="AH324" s="18"/>
      <c r="AI324" s="18"/>
      <c r="AJ324" s="18"/>
      <c r="AK324" s="19" t="s">
        <v>75</v>
      </c>
      <c r="AL324" s="19"/>
      <c r="AM324" s="18"/>
      <c r="AN324" s="18"/>
      <c r="AO324" s="18"/>
      <c r="AP324" s="22" t="s">
        <v>56</v>
      </c>
      <c r="AQ324" s="18"/>
    </row>
    <row r="325">
      <c r="A325" s="22" t="s">
        <v>1639</v>
      </c>
      <c r="B325" s="22" t="s">
        <v>1640</v>
      </c>
      <c r="C325" s="11" t="str">
        <f>VLOOKUP(A325,import!A:C,3,0)</f>
        <v>DOĞRU</v>
      </c>
      <c r="D325" s="22" t="s">
        <v>1641</v>
      </c>
      <c r="E325" s="11" t="str">
        <f>VLOOKUP(A325,import!A:J,5,0)</f>
        <v/>
      </c>
      <c r="F325" s="11" t="str">
        <f>VLOOKUP(A325,import!A:J,6,0)</f>
        <v/>
      </c>
      <c r="G325" s="11">
        <f>VLOOKUP(A325,import!A:J,7,0)</f>
        <v>0</v>
      </c>
      <c r="H325" s="11">
        <f>VLOOKUP(A325,import!A:J,8,0)</f>
        <v>18</v>
      </c>
      <c r="I325" s="11">
        <f>VLOOKUP(A325,import!A:J,9,0)</f>
        <v>18</v>
      </c>
      <c r="J325" s="12">
        <f>VLOOKUP(A325,import!A:J,10,0)</f>
        <v>0</v>
      </c>
      <c r="K325" s="22" t="s">
        <v>1642</v>
      </c>
      <c r="L325" s="22">
        <v>5.324601773E9</v>
      </c>
      <c r="M325" s="22" t="s">
        <v>71</v>
      </c>
      <c r="N325" s="22" t="s">
        <v>1593</v>
      </c>
      <c r="O325" s="22" t="s">
        <v>1643</v>
      </c>
      <c r="P325" s="11" t="str">
        <f>VLOOKUP(A325,import!A:P,16,0)</f>
        <v>Geleneksel</v>
      </c>
      <c r="Q325" s="13"/>
      <c r="R325" s="13" t="b">
        <v>0</v>
      </c>
      <c r="S325" s="13" t="b">
        <v>0</v>
      </c>
      <c r="T325" s="14"/>
      <c r="U325" s="14"/>
      <c r="V325" s="14"/>
      <c r="W325" s="14" t="s">
        <v>461</v>
      </c>
      <c r="X325" s="24"/>
      <c r="Y325" s="24"/>
      <c r="Z325" s="18"/>
      <c r="AA325" s="19"/>
      <c r="AB325" s="20"/>
      <c r="AC325" s="19"/>
      <c r="AD325" s="20"/>
      <c r="AE325" s="19"/>
      <c r="AF325" s="20"/>
      <c r="AG325" s="21"/>
      <c r="AH325" s="18"/>
      <c r="AI325" s="18"/>
      <c r="AJ325" s="18"/>
      <c r="AK325" s="19"/>
      <c r="AL325" s="19"/>
      <c r="AM325" s="19"/>
      <c r="AN325" s="18"/>
      <c r="AO325" s="18"/>
      <c r="AP325" s="22"/>
      <c r="AQ325" s="18"/>
    </row>
    <row r="326">
      <c r="A326" s="11" t="s">
        <v>1644</v>
      </c>
      <c r="B326" s="11" t="s">
        <v>1645</v>
      </c>
      <c r="C326" s="11" t="str">
        <f>VLOOKUP(A326,import!A:C,3,0)</f>
        <v>DOĞRU</v>
      </c>
      <c r="D326" s="11" t="s">
        <v>165</v>
      </c>
      <c r="E326" s="11" t="str">
        <f>VLOOKUP(A326,import!A:J,5,0)</f>
        <v/>
      </c>
      <c r="F326" s="11" t="str">
        <f>VLOOKUP(A326,import!A:J,6,0)</f>
        <v/>
      </c>
      <c r="G326" s="11">
        <f>VLOOKUP(A326,import!A:J,7,0)</f>
        <v>5</v>
      </c>
      <c r="H326" s="11">
        <f>VLOOKUP(A326,import!A:J,8,0)</f>
        <v>2</v>
      </c>
      <c r="I326" s="11">
        <f>VLOOKUP(A326,import!A:J,9,0)</f>
        <v>7</v>
      </c>
      <c r="J326" s="12">
        <f>VLOOKUP(A326,import!A:J,10,0)</f>
        <v>0.71</v>
      </c>
      <c r="K326" s="11" t="s">
        <v>1646</v>
      </c>
      <c r="L326" s="11">
        <v>3.522213137E9</v>
      </c>
      <c r="M326" s="11" t="s">
        <v>47</v>
      </c>
      <c r="N326" s="11" t="s">
        <v>307</v>
      </c>
      <c r="O326" s="11" t="s">
        <v>1647</v>
      </c>
      <c r="P326" s="11" t="str">
        <f>VLOOKUP(A326,import!A:P,16,0)</f>
        <v>Geleneksel</v>
      </c>
      <c r="Q326" s="13"/>
      <c r="R326" s="13" t="b">
        <v>1</v>
      </c>
      <c r="S326" s="13" t="b">
        <v>0</v>
      </c>
      <c r="T326" s="14" t="s">
        <v>74</v>
      </c>
      <c r="U326" s="14" t="s">
        <v>110</v>
      </c>
      <c r="V326" s="23" t="s">
        <v>76</v>
      </c>
      <c r="W326" s="14"/>
      <c r="X326" s="24">
        <v>44589.0</v>
      </c>
      <c r="Y326" s="24">
        <v>44592.0</v>
      </c>
      <c r="Z326" s="18"/>
      <c r="AA326" s="19" t="s">
        <v>54</v>
      </c>
      <c r="AB326" s="20">
        <v>44589.0</v>
      </c>
      <c r="AC326" s="19"/>
      <c r="AD326" s="20"/>
      <c r="AE326" s="21"/>
      <c r="AF326" s="18"/>
      <c r="AG326" s="21"/>
      <c r="AH326" s="18"/>
      <c r="AI326" s="18"/>
      <c r="AJ326" s="18"/>
      <c r="AK326" s="19" t="s">
        <v>110</v>
      </c>
      <c r="AL326" s="19"/>
      <c r="AM326" s="18"/>
      <c r="AN326" s="18"/>
      <c r="AO326" s="18"/>
      <c r="AP326" s="22"/>
      <c r="AQ326" s="18"/>
    </row>
    <row r="327">
      <c r="A327" s="11" t="s">
        <v>1648</v>
      </c>
      <c r="B327" s="11" t="s">
        <v>1649</v>
      </c>
      <c r="C327" s="11" t="str">
        <f>VLOOKUP(A327,import!A:C,3,0)</f>
        <v>DOĞRU</v>
      </c>
      <c r="D327" s="11" t="s">
        <v>59</v>
      </c>
      <c r="E327" s="11">
        <f>VLOOKUP(A327,import!A:J,5,0)</f>
        <v>152</v>
      </c>
      <c r="F327" s="11" t="str">
        <f>VLOOKUP(A327,import!A:J,6,0)</f>
        <v/>
      </c>
      <c r="G327" s="11">
        <f>VLOOKUP(A327,import!A:J,7,0)</f>
        <v>0</v>
      </c>
      <c r="H327" s="11">
        <f>VLOOKUP(A327,import!A:J,8,0)</f>
        <v>6</v>
      </c>
      <c r="I327" s="11">
        <f>VLOOKUP(A327,import!A:J,9,0)</f>
        <v>6</v>
      </c>
      <c r="J327" s="12">
        <f>VLOOKUP(A327,import!A:J,10,0)</f>
        <v>0</v>
      </c>
      <c r="K327" s="11" t="s">
        <v>1650</v>
      </c>
      <c r="L327" s="11">
        <v>5.362666563E9</v>
      </c>
      <c r="M327" s="11" t="s">
        <v>71</v>
      </c>
      <c r="N327" s="11" t="s">
        <v>204</v>
      </c>
      <c r="O327" s="11" t="s">
        <v>1651</v>
      </c>
      <c r="P327" s="11" t="str">
        <f>VLOOKUP(A327,import!A:P,16,0)</f>
        <v>Geleneksel</v>
      </c>
      <c r="Q327" s="13"/>
      <c r="R327" s="13" t="b">
        <v>1</v>
      </c>
      <c r="S327" s="13" t="b">
        <v>0</v>
      </c>
      <c r="T327" s="14"/>
      <c r="U327" s="14"/>
      <c r="V327" s="31"/>
      <c r="W327" s="14" t="s">
        <v>1652</v>
      </c>
      <c r="X327" s="24"/>
      <c r="Y327" s="24"/>
      <c r="Z327" s="18"/>
      <c r="AA327" s="19" t="s">
        <v>54</v>
      </c>
      <c r="AB327" s="24">
        <v>44627.0</v>
      </c>
      <c r="AC327" s="19"/>
      <c r="AD327" s="20"/>
      <c r="AE327" s="21"/>
      <c r="AF327" s="18"/>
      <c r="AG327" s="21"/>
      <c r="AH327" s="18"/>
      <c r="AI327" s="18"/>
      <c r="AJ327" s="18"/>
      <c r="AK327" s="19" t="s">
        <v>75</v>
      </c>
      <c r="AL327" s="19"/>
      <c r="AM327" s="18"/>
      <c r="AN327" s="18"/>
      <c r="AO327" s="18"/>
      <c r="AP327" s="22" t="s">
        <v>56</v>
      </c>
      <c r="AQ327" s="18"/>
    </row>
    <row r="328">
      <c r="A328" s="11" t="s">
        <v>1653</v>
      </c>
      <c r="B328" s="11" t="s">
        <v>1654</v>
      </c>
      <c r="C328" s="11" t="str">
        <f>VLOOKUP(A328,import!A:C,3,0)</f>
        <v>DOĞRU</v>
      </c>
      <c r="D328" s="11" t="s">
        <v>172</v>
      </c>
      <c r="E328" s="11">
        <f>VLOOKUP(A328,import!A:J,5,0)</f>
        <v>14</v>
      </c>
      <c r="F328" s="11">
        <f>VLOOKUP(A328,import!A:J,6,0)</f>
        <v>9</v>
      </c>
      <c r="G328" s="11">
        <f>VLOOKUP(A328,import!A:J,7,0)</f>
        <v>0</v>
      </c>
      <c r="H328" s="11">
        <f>VLOOKUP(A328,import!A:J,8,0)</f>
        <v>8</v>
      </c>
      <c r="I328" s="11">
        <f>VLOOKUP(A328,import!A:J,9,0)</f>
        <v>8</v>
      </c>
      <c r="J328" s="12">
        <f>VLOOKUP(A328,import!A:J,10,0)</f>
        <v>0</v>
      </c>
      <c r="K328" s="11" t="s">
        <v>1655</v>
      </c>
      <c r="L328" s="11">
        <v>5.057643203E9</v>
      </c>
      <c r="M328" s="11" t="s">
        <v>47</v>
      </c>
      <c r="N328" s="11" t="s">
        <v>307</v>
      </c>
      <c r="O328" s="11" t="s">
        <v>1656</v>
      </c>
      <c r="P328" s="11" t="str">
        <f>VLOOKUP(A328,import!A:P,16,0)</f>
        <v>Geleneksel</v>
      </c>
      <c r="Q328" s="13"/>
      <c r="R328" s="13" t="b">
        <v>1</v>
      </c>
      <c r="S328" s="13" t="b">
        <v>0</v>
      </c>
      <c r="T328" s="14" t="s">
        <v>115</v>
      </c>
      <c r="U328" s="14"/>
      <c r="V328" s="14"/>
      <c r="W328" s="14" t="s">
        <v>1657</v>
      </c>
      <c r="X328" s="24"/>
      <c r="Y328" s="24"/>
      <c r="Z328" s="18"/>
      <c r="AA328" s="19" t="s">
        <v>53</v>
      </c>
      <c r="AB328" s="20">
        <v>44662.0</v>
      </c>
      <c r="AC328" s="19"/>
      <c r="AD328" s="20"/>
      <c r="AE328" s="19"/>
      <c r="AF328" s="20"/>
      <c r="AG328" s="21"/>
      <c r="AH328" s="18"/>
      <c r="AI328" s="18"/>
      <c r="AJ328" s="18"/>
      <c r="AK328" s="19" t="s">
        <v>110</v>
      </c>
      <c r="AL328" s="19"/>
      <c r="AM328" s="19"/>
      <c r="AN328" s="18"/>
      <c r="AO328" s="18"/>
      <c r="AP328" s="22"/>
      <c r="AQ328" s="18"/>
    </row>
    <row r="329">
      <c r="A329" s="22" t="s">
        <v>1658</v>
      </c>
      <c r="B329" s="22" t="s">
        <v>1659</v>
      </c>
      <c r="C329" s="11" t="str">
        <f>VLOOKUP(A329,import!A:C,3,0)</f>
        <v>DOĞRU</v>
      </c>
      <c r="D329" s="22" t="s">
        <v>172</v>
      </c>
      <c r="E329" s="11">
        <f>VLOOKUP(A329,import!A:J,5,0)</f>
        <v>1</v>
      </c>
      <c r="F329" s="11">
        <f>VLOOKUP(A329,import!A:J,6,0)</f>
        <v>1</v>
      </c>
      <c r="G329" s="11">
        <f>VLOOKUP(A329,import!A:J,7,0)</f>
        <v>0</v>
      </c>
      <c r="H329" s="11">
        <f>VLOOKUP(A329,import!A:J,8,0)</f>
        <v>28</v>
      </c>
      <c r="I329" s="11">
        <f>VLOOKUP(A329,import!A:J,9,0)</f>
        <v>28</v>
      </c>
      <c r="J329" s="12">
        <f>VLOOKUP(A329,import!A:J,10,0)</f>
        <v>0</v>
      </c>
      <c r="K329" s="22" t="s">
        <v>1655</v>
      </c>
      <c r="L329" s="22">
        <v>3.523362324E9</v>
      </c>
      <c r="M329" s="22" t="s">
        <v>71</v>
      </c>
      <c r="N329" s="22" t="s">
        <v>385</v>
      </c>
      <c r="O329" s="22" t="s">
        <v>1660</v>
      </c>
      <c r="P329" s="11" t="str">
        <f>VLOOKUP(A329,import!A:P,16,0)</f>
        <v>Geleneksel</v>
      </c>
      <c r="Q329" s="13"/>
      <c r="R329" s="13" t="b">
        <v>1</v>
      </c>
      <c r="S329" s="13" t="b">
        <v>0</v>
      </c>
      <c r="T329" s="14" t="s">
        <v>133</v>
      </c>
      <c r="U329" s="14" t="s">
        <v>110</v>
      </c>
      <c r="V329" s="30" t="s">
        <v>76</v>
      </c>
      <c r="W329" s="14"/>
      <c r="X329" s="24">
        <v>44676.0</v>
      </c>
      <c r="Y329" s="24">
        <v>44677.0</v>
      </c>
      <c r="Z329" s="18"/>
      <c r="AA329" s="19" t="s">
        <v>54</v>
      </c>
      <c r="AB329" s="20">
        <v>44676.0</v>
      </c>
      <c r="AC329" s="19"/>
      <c r="AD329" s="20"/>
      <c r="AE329" s="19"/>
      <c r="AF329" s="20"/>
      <c r="AG329" s="21"/>
      <c r="AH329" s="18"/>
      <c r="AI329" s="18"/>
      <c r="AJ329" s="18"/>
      <c r="AK329" s="19" t="s">
        <v>110</v>
      </c>
      <c r="AL329" s="19"/>
      <c r="AM329" s="19"/>
      <c r="AN329" s="18"/>
      <c r="AO329" s="18"/>
      <c r="AP329" s="22"/>
      <c r="AQ329" s="18"/>
    </row>
    <row r="330">
      <c r="A330" s="11" t="s">
        <v>1661</v>
      </c>
      <c r="B330" s="11" t="s">
        <v>1662</v>
      </c>
      <c r="C330" s="11" t="str">
        <f>VLOOKUP(A330,import!A:C,3,0)</f>
        <v>DOĞRU</v>
      </c>
      <c r="D330" s="11" t="s">
        <v>172</v>
      </c>
      <c r="E330" s="11">
        <f>VLOOKUP(A330,import!A:J,5,0)</f>
        <v>640</v>
      </c>
      <c r="F330" s="11">
        <f>VLOOKUP(A330,import!A:J,6,0)</f>
        <v>22</v>
      </c>
      <c r="G330" s="11">
        <f>VLOOKUP(A330,import!A:J,7,0)</f>
        <v>4</v>
      </c>
      <c r="H330" s="11">
        <f>VLOOKUP(A330,import!A:J,8,0)</f>
        <v>0</v>
      </c>
      <c r="I330" s="11">
        <f>VLOOKUP(A330,import!A:J,9,0)</f>
        <v>4</v>
      </c>
      <c r="J330" s="12">
        <f>VLOOKUP(A330,import!A:J,10,0)</f>
        <v>1</v>
      </c>
      <c r="K330" s="11" t="s">
        <v>802</v>
      </c>
      <c r="L330" s="11">
        <v>3.522474746E9</v>
      </c>
      <c r="M330" s="11" t="s">
        <v>47</v>
      </c>
      <c r="N330" s="11" t="s">
        <v>525</v>
      </c>
      <c r="O330" s="11" t="s">
        <v>1663</v>
      </c>
      <c r="P330" s="11" t="str">
        <f>VLOOKUP(A330,import!A:P,16,0)</f>
        <v>Geleneksel</v>
      </c>
      <c r="Q330" s="13"/>
      <c r="R330" s="13" t="b">
        <v>1</v>
      </c>
      <c r="S330" s="13" t="b">
        <v>0</v>
      </c>
      <c r="T330" s="14" t="s">
        <v>74</v>
      </c>
      <c r="U330" s="14" t="s">
        <v>80</v>
      </c>
      <c r="V330" s="16" t="s">
        <v>1589</v>
      </c>
      <c r="W330" s="14">
        <v>5.385536418E9</v>
      </c>
      <c r="X330" s="24">
        <v>44590.0</v>
      </c>
      <c r="Y330" s="24">
        <v>44565.0</v>
      </c>
      <c r="Z330" s="18"/>
      <c r="AA330" s="19" t="s">
        <v>347</v>
      </c>
      <c r="AB330" s="20">
        <v>44588.0</v>
      </c>
      <c r="AC330" s="19" t="s">
        <v>54</v>
      </c>
      <c r="AD330" s="20">
        <v>44590.0</v>
      </c>
      <c r="AE330" s="21"/>
      <c r="AF330" s="18"/>
      <c r="AG330" s="21"/>
      <c r="AH330" s="18"/>
      <c r="AI330" s="18"/>
      <c r="AJ330" s="18"/>
      <c r="AK330" s="19" t="s">
        <v>110</v>
      </c>
      <c r="AL330" s="19" t="s">
        <v>80</v>
      </c>
      <c r="AM330" s="18"/>
      <c r="AN330" s="18"/>
      <c r="AO330" s="18"/>
      <c r="AP330" s="22" t="s">
        <v>56</v>
      </c>
      <c r="AQ330" s="18"/>
    </row>
    <row r="331">
      <c r="A331" s="11" t="s">
        <v>1664</v>
      </c>
      <c r="B331" s="11" t="s">
        <v>1665</v>
      </c>
      <c r="C331" s="11" t="str">
        <f>VLOOKUP(A331,import!A:C,3,0)</f>
        <v>DOĞRU</v>
      </c>
      <c r="D331" s="11" t="s">
        <v>172</v>
      </c>
      <c r="E331" s="11">
        <f>VLOOKUP(A331,import!A:J,5,0)</f>
        <v>686</v>
      </c>
      <c r="F331" s="11">
        <f>VLOOKUP(A331,import!A:J,6,0)</f>
        <v>18</v>
      </c>
      <c r="G331" s="11">
        <f>VLOOKUP(A331,import!A:J,7,0)</f>
        <v>0</v>
      </c>
      <c r="H331" s="11">
        <f>VLOOKUP(A331,import!A:J,8,0)</f>
        <v>7</v>
      </c>
      <c r="I331" s="11">
        <f>VLOOKUP(A331,import!A:J,9,0)</f>
        <v>7</v>
      </c>
      <c r="J331" s="12">
        <f>VLOOKUP(A331,import!A:J,10,0)</f>
        <v>0</v>
      </c>
      <c r="K331" s="11" t="s">
        <v>1666</v>
      </c>
      <c r="L331" s="11">
        <v>3.523334344E9</v>
      </c>
      <c r="M331" s="11" t="s">
        <v>71</v>
      </c>
      <c r="N331" s="11" t="s">
        <v>265</v>
      </c>
      <c r="O331" s="11" t="s">
        <v>1667</v>
      </c>
      <c r="P331" s="11" t="str">
        <f>VLOOKUP(A331,import!A:P,16,0)</f>
        <v>Geleneksel</v>
      </c>
      <c r="Q331" s="13"/>
      <c r="R331" s="13" t="b">
        <v>1</v>
      </c>
      <c r="S331" s="13" t="b">
        <v>0</v>
      </c>
      <c r="T331" s="14" t="s">
        <v>133</v>
      </c>
      <c r="U331" s="14" t="s">
        <v>181</v>
      </c>
      <c r="V331" s="14" t="s">
        <v>96</v>
      </c>
      <c r="W331" s="14" t="s">
        <v>1668</v>
      </c>
      <c r="X331" s="24">
        <v>44287.0</v>
      </c>
      <c r="Y331" s="24">
        <v>44291.0</v>
      </c>
      <c r="Z331" s="18"/>
      <c r="AA331" s="19" t="s">
        <v>54</v>
      </c>
      <c r="AB331" s="20">
        <v>44351.0</v>
      </c>
      <c r="AC331" s="19" t="s">
        <v>54</v>
      </c>
      <c r="AD331" s="20">
        <v>44663.0</v>
      </c>
      <c r="AE331" s="21"/>
      <c r="AF331" s="18"/>
      <c r="AG331" s="21"/>
      <c r="AH331" s="18"/>
      <c r="AI331" s="18"/>
      <c r="AJ331" s="18"/>
      <c r="AK331" s="19" t="s">
        <v>79</v>
      </c>
      <c r="AL331" s="19" t="s">
        <v>110</v>
      </c>
      <c r="AM331" s="18"/>
      <c r="AN331" s="18"/>
      <c r="AO331" s="18"/>
      <c r="AP331" s="22" t="s">
        <v>56</v>
      </c>
      <c r="AQ331" s="18"/>
    </row>
    <row r="332">
      <c r="A332" s="11" t="s">
        <v>1669</v>
      </c>
      <c r="B332" s="11" t="s">
        <v>1670</v>
      </c>
      <c r="C332" s="11" t="str">
        <f>VLOOKUP(A332,import!A:C,3,0)</f>
        <v>DOĞRU</v>
      </c>
      <c r="D332" s="11" t="s">
        <v>406</v>
      </c>
      <c r="E332" s="11">
        <f>VLOOKUP(A332,import!A:J,5,0)</f>
        <v>282</v>
      </c>
      <c r="F332" s="11" t="str">
        <f>VLOOKUP(A332,import!A:J,6,0)</f>
        <v/>
      </c>
      <c r="G332" s="11">
        <f>VLOOKUP(A332,import!A:J,7,0)</f>
        <v>0</v>
      </c>
      <c r="H332" s="11">
        <f>VLOOKUP(A332,import!A:J,8,0)</f>
        <v>9</v>
      </c>
      <c r="I332" s="11">
        <f>VLOOKUP(A332,import!A:J,9,0)</f>
        <v>9</v>
      </c>
      <c r="J332" s="12">
        <f>VLOOKUP(A332,import!A:J,10,0)</f>
        <v>0</v>
      </c>
      <c r="K332" s="11" t="s">
        <v>1061</v>
      </c>
      <c r="L332" s="11">
        <v>3.523322855E9</v>
      </c>
      <c r="M332" s="11" t="s">
        <v>47</v>
      </c>
      <c r="N332" s="11" t="s">
        <v>277</v>
      </c>
      <c r="O332" s="11" t="s">
        <v>1671</v>
      </c>
      <c r="P332" s="11" t="str">
        <f>VLOOKUP(A332,import!A:P,16,0)</f>
        <v>Geleneksel</v>
      </c>
      <c r="Q332" s="13"/>
      <c r="R332" s="13" t="b">
        <v>1</v>
      </c>
      <c r="S332" s="13" t="b">
        <v>0</v>
      </c>
      <c r="T332" s="14" t="s">
        <v>145</v>
      </c>
      <c r="U332" s="14" t="s">
        <v>86</v>
      </c>
      <c r="V332" s="14"/>
      <c r="W332" s="14"/>
      <c r="X332" s="24">
        <v>44586.0</v>
      </c>
      <c r="Y332" s="24">
        <v>44587.0</v>
      </c>
      <c r="Z332" s="18"/>
      <c r="AA332" s="19" t="s">
        <v>54</v>
      </c>
      <c r="AB332" s="20">
        <v>44586.0</v>
      </c>
      <c r="AC332" s="19"/>
      <c r="AD332" s="20"/>
      <c r="AE332" s="21"/>
      <c r="AF332" s="18"/>
      <c r="AG332" s="21"/>
      <c r="AH332" s="18"/>
      <c r="AI332" s="18"/>
      <c r="AJ332" s="18"/>
      <c r="AK332" s="19" t="s">
        <v>86</v>
      </c>
      <c r="AL332" s="19"/>
      <c r="AM332" s="18"/>
      <c r="AN332" s="18"/>
      <c r="AO332" s="18"/>
      <c r="AP332" s="22" t="s">
        <v>56</v>
      </c>
      <c r="AQ332" s="18"/>
    </row>
    <row r="333">
      <c r="A333" s="11" t="s">
        <v>1672</v>
      </c>
      <c r="B333" s="11" t="s">
        <v>1673</v>
      </c>
      <c r="C333" s="11" t="str">
        <f>VLOOKUP(A333,import!A:C,3,0)</f>
        <v>DOĞRU</v>
      </c>
      <c r="D333" s="11" t="s">
        <v>172</v>
      </c>
      <c r="E333" s="11">
        <f>VLOOKUP(A333,import!A:J,5,0)</f>
        <v>244</v>
      </c>
      <c r="F333" s="11">
        <f>VLOOKUP(A333,import!A:J,6,0)</f>
        <v>74</v>
      </c>
      <c r="G333" s="11">
        <f>VLOOKUP(A333,import!A:J,7,0)</f>
        <v>0</v>
      </c>
      <c r="H333" s="11">
        <f>VLOOKUP(A333,import!A:J,8,0)</f>
        <v>6</v>
      </c>
      <c r="I333" s="11">
        <f>VLOOKUP(A333,import!A:J,9,0)</f>
        <v>6</v>
      </c>
      <c r="J333" s="12">
        <f>VLOOKUP(A333,import!A:J,10,0)</f>
        <v>0</v>
      </c>
      <c r="K333" s="11" t="s">
        <v>1674</v>
      </c>
      <c r="L333" s="11">
        <v>3.522220108E9</v>
      </c>
      <c r="M333" s="11" t="s">
        <v>71</v>
      </c>
      <c r="N333" s="11" t="s">
        <v>420</v>
      </c>
      <c r="O333" s="11" t="s">
        <v>1675</v>
      </c>
      <c r="P333" s="11" t="str">
        <f>VLOOKUP(A333,import!A:P,16,0)</f>
        <v>Geleneksel</v>
      </c>
      <c r="Q333" s="13"/>
      <c r="R333" s="13" t="b">
        <v>1</v>
      </c>
      <c r="S333" s="13" t="b">
        <v>0</v>
      </c>
      <c r="T333" s="14"/>
      <c r="U333" s="14"/>
      <c r="V333" s="14"/>
      <c r="W333" s="14" t="s">
        <v>1676</v>
      </c>
      <c r="X333" s="24"/>
      <c r="Y333" s="24"/>
      <c r="Z333" s="18"/>
      <c r="AA333" s="19"/>
      <c r="AB333" s="20"/>
      <c r="AC333" s="19"/>
      <c r="AD333" s="20"/>
      <c r="AE333" s="21"/>
      <c r="AF333" s="18"/>
      <c r="AG333" s="21"/>
      <c r="AH333" s="18"/>
      <c r="AI333" s="18"/>
      <c r="AJ333" s="18"/>
      <c r="AK333" s="19"/>
      <c r="AL333" s="19"/>
      <c r="AM333" s="18"/>
      <c r="AN333" s="18"/>
      <c r="AO333" s="18"/>
      <c r="AP333" s="22"/>
      <c r="AQ333" s="18"/>
    </row>
    <row r="334">
      <c r="A334" s="11" t="s">
        <v>1677</v>
      </c>
      <c r="B334" s="11" t="s">
        <v>1678</v>
      </c>
      <c r="C334" s="11" t="str">
        <f>VLOOKUP(A334,import!A:C,3,0)</f>
        <v>DOĞRU</v>
      </c>
      <c r="D334" s="11" t="s">
        <v>83</v>
      </c>
      <c r="E334" s="11">
        <f>VLOOKUP(A334,import!A:J,5,0)</f>
        <v>3429</v>
      </c>
      <c r="F334" s="11">
        <f>VLOOKUP(A334,import!A:J,6,0)</f>
        <v>240</v>
      </c>
      <c r="G334" s="11">
        <f>VLOOKUP(A334,import!A:J,7,0)</f>
        <v>7</v>
      </c>
      <c r="H334" s="11">
        <f>VLOOKUP(A334,import!A:J,8,0)</f>
        <v>23</v>
      </c>
      <c r="I334" s="11">
        <f>VLOOKUP(A334,import!A:J,9,0)</f>
        <v>30</v>
      </c>
      <c r="J334" s="12">
        <f>VLOOKUP(A334,import!A:J,10,0)</f>
        <v>0.23</v>
      </c>
      <c r="K334" s="11" t="s">
        <v>1679</v>
      </c>
      <c r="L334" s="11">
        <v>5.537061313E9</v>
      </c>
      <c r="M334" s="11" t="s">
        <v>61</v>
      </c>
      <c r="N334" s="11" t="s">
        <v>160</v>
      </c>
      <c r="O334" s="11" t="s">
        <v>1680</v>
      </c>
      <c r="P334" s="11" t="str">
        <f>VLOOKUP(A334,import!A:P,16,0)</f>
        <v>Geleneksel</v>
      </c>
      <c r="Q334" s="13"/>
      <c r="R334" s="13" t="b">
        <v>1</v>
      </c>
      <c r="S334" s="13" t="b">
        <v>0</v>
      </c>
      <c r="T334" s="14" t="s">
        <v>74</v>
      </c>
      <c r="U334" s="14" t="s">
        <v>75</v>
      </c>
      <c r="V334" s="38" t="s">
        <v>76</v>
      </c>
      <c r="W334" s="14" t="s">
        <v>1681</v>
      </c>
      <c r="X334" s="24">
        <v>44622.0</v>
      </c>
      <c r="Y334" s="24">
        <v>44623.0</v>
      </c>
      <c r="Z334" s="18"/>
      <c r="AA334" s="19" t="s">
        <v>78</v>
      </c>
      <c r="AB334" s="20">
        <v>44377.0</v>
      </c>
      <c r="AC334" s="19" t="s">
        <v>54</v>
      </c>
      <c r="AD334" s="24">
        <v>44622.0</v>
      </c>
      <c r="AE334" s="21"/>
      <c r="AF334" s="18"/>
      <c r="AG334" s="21"/>
      <c r="AH334" s="18"/>
      <c r="AI334" s="18"/>
      <c r="AJ334" s="18"/>
      <c r="AK334" s="19" t="s">
        <v>79</v>
      </c>
      <c r="AL334" s="19" t="s">
        <v>75</v>
      </c>
      <c r="AM334" s="18"/>
      <c r="AN334" s="18"/>
      <c r="AO334" s="18"/>
      <c r="AP334" s="22" t="s">
        <v>56</v>
      </c>
      <c r="AQ334" s="18"/>
    </row>
    <row r="335">
      <c r="A335" s="11" t="s">
        <v>1682</v>
      </c>
      <c r="B335" s="11" t="s">
        <v>1683</v>
      </c>
      <c r="C335" s="11" t="str">
        <f>VLOOKUP(A335,import!A:C,3,0)</f>
        <v>DOĞRU</v>
      </c>
      <c r="D335" s="11" t="s">
        <v>59</v>
      </c>
      <c r="E335" s="11">
        <f>VLOOKUP(A335,import!A:J,5,0)</f>
        <v>288</v>
      </c>
      <c r="F335" s="11" t="str">
        <f>VLOOKUP(A335,import!A:J,6,0)</f>
        <v/>
      </c>
      <c r="G335" s="11">
        <f>VLOOKUP(A335,import!A:J,7,0)</f>
        <v>0</v>
      </c>
      <c r="H335" s="11">
        <f>VLOOKUP(A335,import!A:J,8,0)</f>
        <v>5</v>
      </c>
      <c r="I335" s="11">
        <f>VLOOKUP(A335,import!A:J,9,0)</f>
        <v>5</v>
      </c>
      <c r="J335" s="12">
        <f>VLOOKUP(A335,import!A:J,10,0)</f>
        <v>0</v>
      </c>
      <c r="K335" s="11" t="s">
        <v>1684</v>
      </c>
      <c r="L335" s="11">
        <v>5.532365288E9</v>
      </c>
      <c r="M335" s="11" t="s">
        <v>71</v>
      </c>
      <c r="N335" s="11" t="s">
        <v>204</v>
      </c>
      <c r="O335" s="11" t="s">
        <v>1685</v>
      </c>
      <c r="P335" s="11" t="str">
        <f>VLOOKUP(A335,import!A:P,16,0)</f>
        <v>Geleneksel</v>
      </c>
      <c r="Q335" s="13"/>
      <c r="R335" s="13" t="b">
        <v>1</v>
      </c>
      <c r="S335" s="13" t="b">
        <v>0</v>
      </c>
      <c r="T335" s="14" t="s">
        <v>115</v>
      </c>
      <c r="U335" s="14"/>
      <c r="V335" s="14"/>
      <c r="W335" s="14" t="s">
        <v>1686</v>
      </c>
      <c r="X335" s="24"/>
      <c r="Y335" s="24"/>
      <c r="Z335" s="18"/>
      <c r="AA335" s="19" t="s">
        <v>54</v>
      </c>
      <c r="AB335" s="20">
        <v>44620.0</v>
      </c>
      <c r="AC335" s="19" t="s">
        <v>54</v>
      </c>
      <c r="AD335" s="20">
        <v>44663.0</v>
      </c>
      <c r="AE335" s="21"/>
      <c r="AF335" s="18"/>
      <c r="AG335" s="21"/>
      <c r="AH335" s="18"/>
      <c r="AI335" s="18"/>
      <c r="AJ335" s="18"/>
      <c r="AK335" s="19" t="s">
        <v>110</v>
      </c>
      <c r="AL335" s="19" t="s">
        <v>110</v>
      </c>
      <c r="AM335" s="18"/>
      <c r="AN335" s="18"/>
      <c r="AO335" s="18"/>
      <c r="AP335" s="22" t="s">
        <v>56</v>
      </c>
      <c r="AQ335" s="18"/>
    </row>
    <row r="336">
      <c r="A336" s="11" t="s">
        <v>1687</v>
      </c>
      <c r="B336" s="11" t="s">
        <v>1688</v>
      </c>
      <c r="C336" s="11" t="str">
        <f>VLOOKUP(A336,import!A:C,3,0)</f>
        <v>DOĞRU</v>
      </c>
      <c r="D336" s="11" t="s">
        <v>1598</v>
      </c>
      <c r="E336" s="11">
        <f>VLOOKUP(A336,import!A:J,5,0)</f>
        <v>4</v>
      </c>
      <c r="F336" s="11">
        <f>VLOOKUP(A336,import!A:J,6,0)</f>
        <v>1</v>
      </c>
      <c r="G336" s="11">
        <f>VLOOKUP(A336,import!A:J,7,0)</f>
        <v>0</v>
      </c>
      <c r="H336" s="11">
        <f>VLOOKUP(A336,import!A:J,8,0)</f>
        <v>6</v>
      </c>
      <c r="I336" s="11">
        <f>VLOOKUP(A336,import!A:J,9,0)</f>
        <v>6</v>
      </c>
      <c r="J336" s="12">
        <f>VLOOKUP(A336,import!A:J,10,0)</f>
        <v>0</v>
      </c>
      <c r="K336" s="11" t="s">
        <v>208</v>
      </c>
      <c r="L336" s="11">
        <v>5.323913197E9</v>
      </c>
      <c r="M336" s="11" t="s">
        <v>71</v>
      </c>
      <c r="N336" s="11" t="s">
        <v>204</v>
      </c>
      <c r="O336" s="11" t="s">
        <v>1685</v>
      </c>
      <c r="P336" s="11" t="str">
        <f>VLOOKUP(A336,import!A:P,16,0)</f>
        <v>Geleneksel</v>
      </c>
      <c r="Q336" s="13"/>
      <c r="R336" s="13" t="b">
        <v>1</v>
      </c>
      <c r="S336" s="13" t="b">
        <v>0</v>
      </c>
      <c r="T336" s="14" t="s">
        <v>115</v>
      </c>
      <c r="U336" s="14"/>
      <c r="V336" s="14"/>
      <c r="W336" s="14" t="s">
        <v>1689</v>
      </c>
      <c r="X336" s="24"/>
      <c r="Y336" s="24"/>
      <c r="Z336" s="18"/>
      <c r="AA336" s="19"/>
      <c r="AB336" s="20"/>
      <c r="AC336" s="19"/>
      <c r="AD336" s="20"/>
      <c r="AE336" s="19"/>
      <c r="AF336" s="20"/>
      <c r="AG336" s="21"/>
      <c r="AH336" s="18"/>
      <c r="AI336" s="18"/>
      <c r="AJ336" s="18"/>
      <c r="AK336" s="19"/>
      <c r="AL336" s="19"/>
      <c r="AM336" s="19"/>
      <c r="AN336" s="18"/>
      <c r="AO336" s="18"/>
      <c r="AP336" s="22"/>
      <c r="AQ336" s="18"/>
    </row>
    <row r="337">
      <c r="A337" s="11" t="s">
        <v>1690</v>
      </c>
      <c r="B337" s="11" t="s">
        <v>1691</v>
      </c>
      <c r="C337" s="11" t="str">
        <f>VLOOKUP(A337,import!A:C,3,0)</f>
        <v>DOĞRU</v>
      </c>
      <c r="D337" s="11" t="s">
        <v>59</v>
      </c>
      <c r="E337" s="11">
        <f>VLOOKUP(A337,import!A:J,5,0)</f>
        <v>218</v>
      </c>
      <c r="F337" s="11" t="str">
        <f>VLOOKUP(A337,import!A:J,6,0)</f>
        <v/>
      </c>
      <c r="G337" s="11">
        <f>VLOOKUP(A337,import!A:J,7,0)</f>
        <v>0</v>
      </c>
      <c r="H337" s="11">
        <f>VLOOKUP(A337,import!A:J,8,0)</f>
        <v>9</v>
      </c>
      <c r="I337" s="11">
        <f>VLOOKUP(A337,import!A:J,9,0)</f>
        <v>9</v>
      </c>
      <c r="J337" s="12">
        <f>VLOOKUP(A337,import!A:J,10,0)</f>
        <v>0</v>
      </c>
      <c r="K337" s="11" t="s">
        <v>1692</v>
      </c>
      <c r="L337" s="11">
        <v>3.5222466E9</v>
      </c>
      <c r="M337" s="11" t="s">
        <v>47</v>
      </c>
      <c r="N337" s="11" t="s">
        <v>1552</v>
      </c>
      <c r="O337" s="11" t="s">
        <v>1693</v>
      </c>
      <c r="P337" s="11" t="str">
        <f>VLOOKUP(A337,import!A:P,16,0)</f>
        <v>Geleneksel</v>
      </c>
      <c r="Q337" s="13"/>
      <c r="R337" s="13" t="b">
        <v>1</v>
      </c>
      <c r="S337" s="13" t="b">
        <v>0</v>
      </c>
      <c r="T337" s="14" t="s">
        <v>168</v>
      </c>
      <c r="U337" s="15"/>
      <c r="V337" s="15"/>
      <c r="W337" s="14" t="s">
        <v>1694</v>
      </c>
      <c r="X337" s="17"/>
      <c r="Y337" s="17"/>
      <c r="Z337" s="18"/>
      <c r="AA337" s="19" t="s">
        <v>347</v>
      </c>
      <c r="AB337" s="20">
        <v>44378.0</v>
      </c>
      <c r="AC337" s="18"/>
      <c r="AD337" s="18"/>
      <c r="AE337" s="21"/>
      <c r="AF337" s="18"/>
      <c r="AG337" s="21"/>
      <c r="AH337" s="18"/>
      <c r="AI337" s="18"/>
      <c r="AJ337" s="18"/>
      <c r="AK337" s="19" t="s">
        <v>79</v>
      </c>
      <c r="AL337" s="18"/>
      <c r="AM337" s="18"/>
      <c r="AN337" s="18"/>
      <c r="AO337" s="18"/>
      <c r="AP337" s="22" t="s">
        <v>56</v>
      </c>
      <c r="AQ337" s="18"/>
    </row>
    <row r="338">
      <c r="A338" s="11" t="s">
        <v>1695</v>
      </c>
      <c r="B338" s="11" t="s">
        <v>1696</v>
      </c>
      <c r="C338" s="11" t="str">
        <f>VLOOKUP(A338,import!A:C,3,0)</f>
        <v>DOĞRU</v>
      </c>
      <c r="D338" s="11" t="s">
        <v>59</v>
      </c>
      <c r="E338" s="11">
        <f>VLOOKUP(A338,import!A:J,5,0)</f>
        <v>328</v>
      </c>
      <c r="F338" s="11">
        <f>VLOOKUP(A338,import!A:J,6,0)</f>
        <v>19</v>
      </c>
      <c r="G338" s="11">
        <f>VLOOKUP(A338,import!A:J,7,0)</f>
        <v>0</v>
      </c>
      <c r="H338" s="11">
        <f>VLOOKUP(A338,import!A:J,8,0)</f>
        <v>144</v>
      </c>
      <c r="I338" s="11">
        <f>VLOOKUP(A338,import!A:J,9,0)</f>
        <v>144</v>
      </c>
      <c r="J338" s="12">
        <f>VLOOKUP(A338,import!A:J,10,0)</f>
        <v>0</v>
      </c>
      <c r="K338" s="11" t="s">
        <v>1697</v>
      </c>
      <c r="L338" s="11">
        <v>5.416974708E9</v>
      </c>
      <c r="M338" s="11" t="s">
        <v>61</v>
      </c>
      <c r="N338" s="11" t="s">
        <v>250</v>
      </c>
      <c r="O338" s="11" t="s">
        <v>1698</v>
      </c>
      <c r="P338" s="11" t="str">
        <f>VLOOKUP(A338,import!A:P,16,0)</f>
        <v>Geleneksel</v>
      </c>
      <c r="Q338" s="13"/>
      <c r="R338" s="13" t="b">
        <v>1</v>
      </c>
      <c r="S338" s="13" t="b">
        <v>0</v>
      </c>
      <c r="T338" s="14" t="s">
        <v>145</v>
      </c>
      <c r="U338" s="14"/>
      <c r="V338" s="14"/>
      <c r="W338" s="14" t="s">
        <v>1699</v>
      </c>
      <c r="X338" s="24"/>
      <c r="Y338" s="24"/>
      <c r="Z338" s="18"/>
      <c r="AA338" s="19" t="s">
        <v>54</v>
      </c>
      <c r="AB338" s="20">
        <v>44593.0</v>
      </c>
      <c r="AC338" s="19"/>
      <c r="AD338" s="20"/>
      <c r="AE338" s="21"/>
      <c r="AF338" s="18"/>
      <c r="AG338" s="21"/>
      <c r="AH338" s="18"/>
      <c r="AI338" s="18"/>
      <c r="AJ338" s="18"/>
      <c r="AK338" s="19" t="s">
        <v>86</v>
      </c>
      <c r="AL338" s="19"/>
      <c r="AM338" s="18"/>
      <c r="AN338" s="18"/>
      <c r="AO338" s="18"/>
      <c r="AP338" s="22" t="s">
        <v>56</v>
      </c>
      <c r="AQ338" s="18"/>
    </row>
    <row r="339">
      <c r="A339" s="11" t="s">
        <v>1700</v>
      </c>
      <c r="B339" s="11" t="s">
        <v>1701</v>
      </c>
      <c r="C339" s="11" t="str">
        <f>VLOOKUP(A339,import!A:C,3,0)</f>
        <v>DOĞRU</v>
      </c>
      <c r="D339" s="11" t="s">
        <v>83</v>
      </c>
      <c r="E339" s="11">
        <f>VLOOKUP(A339,import!A:J,5,0)</f>
        <v>2</v>
      </c>
      <c r="F339" s="11">
        <f>VLOOKUP(A339,import!A:J,6,0)</f>
        <v>1</v>
      </c>
      <c r="G339" s="11">
        <f>VLOOKUP(A339,import!A:J,7,0)</f>
        <v>14</v>
      </c>
      <c r="H339" s="11">
        <f>VLOOKUP(A339,import!A:J,8,0)</f>
        <v>7</v>
      </c>
      <c r="I339" s="11">
        <f>VLOOKUP(A339,import!A:J,9,0)</f>
        <v>21</v>
      </c>
      <c r="J339" s="12">
        <f>VLOOKUP(A339,import!A:J,10,0)</f>
        <v>0.67</v>
      </c>
      <c r="K339" s="11" t="s">
        <v>1702</v>
      </c>
      <c r="L339" s="11">
        <v>5.013665001E9</v>
      </c>
      <c r="M339" s="11" t="s">
        <v>61</v>
      </c>
      <c r="N339" s="11" t="s">
        <v>62</v>
      </c>
      <c r="O339" s="11" t="s">
        <v>1703</v>
      </c>
      <c r="P339" s="11" t="str">
        <f>VLOOKUP(A339,import!A:P,16,0)</f>
        <v>Geleneksel</v>
      </c>
      <c r="Q339" s="13"/>
      <c r="R339" s="13" t="b">
        <v>1</v>
      </c>
      <c r="S339" s="13" t="b">
        <v>0</v>
      </c>
      <c r="T339" s="14" t="s">
        <v>74</v>
      </c>
      <c r="U339" s="14" t="s">
        <v>75</v>
      </c>
      <c r="V339" s="33" t="s">
        <v>76</v>
      </c>
      <c r="W339" s="14" t="s">
        <v>1704</v>
      </c>
      <c r="X339" s="24">
        <v>44615.0</v>
      </c>
      <c r="Y339" s="24">
        <v>44616.0</v>
      </c>
      <c r="Z339" s="18"/>
      <c r="AA339" s="19" t="s">
        <v>54</v>
      </c>
      <c r="AB339" s="24">
        <v>44615.0</v>
      </c>
      <c r="AC339" s="19"/>
      <c r="AD339" s="20"/>
      <c r="AE339" s="19"/>
      <c r="AF339" s="20"/>
      <c r="AG339" s="21"/>
      <c r="AH339" s="18"/>
      <c r="AI339" s="18"/>
      <c r="AJ339" s="18"/>
      <c r="AK339" s="19" t="s">
        <v>75</v>
      </c>
      <c r="AL339" s="19"/>
      <c r="AM339" s="19"/>
      <c r="AN339" s="18"/>
      <c r="AO339" s="18"/>
      <c r="AP339" s="22"/>
      <c r="AQ339" s="18"/>
    </row>
    <row r="340">
      <c r="A340" s="11" t="s">
        <v>1705</v>
      </c>
      <c r="B340" s="11" t="s">
        <v>1706</v>
      </c>
      <c r="C340" s="11" t="str">
        <f>VLOOKUP(A340,import!A:C,3,0)</f>
        <v>YANLIŞ</v>
      </c>
      <c r="D340" s="11" t="s">
        <v>69</v>
      </c>
      <c r="E340" s="11">
        <f>VLOOKUP(A340,import!A:J,5,0)</f>
        <v>14</v>
      </c>
      <c r="F340" s="11" t="str">
        <f>VLOOKUP(A340,import!A:J,6,0)</f>
        <v/>
      </c>
      <c r="G340" s="11">
        <f>VLOOKUP(A340,import!A:J,7,0)</f>
        <v>0</v>
      </c>
      <c r="H340" s="11">
        <f>VLOOKUP(A340,import!A:J,8,0)</f>
        <v>3</v>
      </c>
      <c r="I340" s="11">
        <f>VLOOKUP(A340,import!A:J,9,0)</f>
        <v>3</v>
      </c>
      <c r="J340" s="12">
        <f>VLOOKUP(A340,import!A:J,10,0)</f>
        <v>0</v>
      </c>
      <c r="K340" s="11" t="s">
        <v>1702</v>
      </c>
      <c r="L340" s="11">
        <v>5.013665001E9</v>
      </c>
      <c r="M340" s="11" t="s">
        <v>61</v>
      </c>
      <c r="N340" s="11" t="s">
        <v>62</v>
      </c>
      <c r="O340" s="11" t="s">
        <v>1703</v>
      </c>
      <c r="P340" s="11" t="str">
        <f>VLOOKUP(A340,import!A:P,16,0)</f>
        <v>Geleneksel</v>
      </c>
      <c r="Q340" s="13"/>
      <c r="R340" s="13" t="b">
        <v>1</v>
      </c>
      <c r="S340" s="13" t="b">
        <v>0</v>
      </c>
      <c r="T340" s="14" t="s">
        <v>115</v>
      </c>
      <c r="U340" s="14" t="s">
        <v>1531</v>
      </c>
      <c r="V340" s="23" t="s">
        <v>121</v>
      </c>
      <c r="W340" s="14" t="s">
        <v>1707</v>
      </c>
      <c r="X340" s="24">
        <v>44579.0</v>
      </c>
      <c r="Y340" s="24">
        <v>44581.0</v>
      </c>
      <c r="Z340" s="18"/>
      <c r="AA340" s="19" t="s">
        <v>54</v>
      </c>
      <c r="AB340" s="20">
        <v>44579.0</v>
      </c>
      <c r="AC340" s="19" t="s">
        <v>54</v>
      </c>
      <c r="AD340" s="20">
        <v>44635.0</v>
      </c>
      <c r="AE340" s="21"/>
      <c r="AF340" s="18"/>
      <c r="AG340" s="21"/>
      <c r="AH340" s="18"/>
      <c r="AI340" s="18"/>
      <c r="AJ340" s="18"/>
      <c r="AK340" s="19" t="s">
        <v>1531</v>
      </c>
      <c r="AL340" s="19" t="s">
        <v>140</v>
      </c>
      <c r="AM340" s="18"/>
      <c r="AN340" s="18"/>
      <c r="AO340" s="18"/>
      <c r="AP340" s="22" t="s">
        <v>56</v>
      </c>
      <c r="AQ340" s="18"/>
    </row>
    <row r="341">
      <c r="A341" s="11" t="s">
        <v>1708</v>
      </c>
      <c r="B341" s="11" t="s">
        <v>1709</v>
      </c>
      <c r="C341" s="11" t="str">
        <f>VLOOKUP(A341,import!A:C,3,0)</f>
        <v>DOĞRU</v>
      </c>
      <c r="D341" s="11" t="s">
        <v>59</v>
      </c>
      <c r="E341" s="11">
        <f>VLOOKUP(A341,import!A:J,5,0)</f>
        <v>329</v>
      </c>
      <c r="F341" s="11" t="str">
        <f>VLOOKUP(A341,import!A:J,6,0)</f>
        <v/>
      </c>
      <c r="G341" s="11">
        <f>VLOOKUP(A341,import!A:J,7,0)</f>
        <v>0</v>
      </c>
      <c r="H341" s="11">
        <f>VLOOKUP(A341,import!A:J,8,0)</f>
        <v>12</v>
      </c>
      <c r="I341" s="11">
        <f>VLOOKUP(A341,import!A:J,9,0)</f>
        <v>12</v>
      </c>
      <c r="J341" s="12">
        <f>VLOOKUP(A341,import!A:J,10,0)</f>
        <v>0</v>
      </c>
      <c r="K341" s="11" t="s">
        <v>1710</v>
      </c>
      <c r="L341" s="11">
        <v>5.468828866E9</v>
      </c>
      <c r="M341" s="11" t="s">
        <v>61</v>
      </c>
      <c r="N341" s="11" t="s">
        <v>62</v>
      </c>
      <c r="O341" s="11" t="s">
        <v>1711</v>
      </c>
      <c r="P341" s="11" t="str">
        <f>VLOOKUP(A341,import!A:P,16,0)</f>
        <v>Geleneksel</v>
      </c>
      <c r="Q341" s="13"/>
      <c r="R341" s="13" t="b">
        <v>1</v>
      </c>
      <c r="S341" s="13" t="b">
        <v>0</v>
      </c>
      <c r="T341" s="15"/>
      <c r="U341" s="15"/>
      <c r="V341" s="15"/>
      <c r="W341" s="14" t="s">
        <v>1712</v>
      </c>
      <c r="X341" s="24"/>
      <c r="Y341" s="24"/>
      <c r="Z341" s="18"/>
      <c r="AA341" s="19" t="s">
        <v>53</v>
      </c>
      <c r="AB341" s="20">
        <v>44361.0</v>
      </c>
      <c r="AC341" s="19" t="s">
        <v>53</v>
      </c>
      <c r="AD341" s="20">
        <v>44595.0</v>
      </c>
      <c r="AE341" s="19" t="s">
        <v>53</v>
      </c>
      <c r="AF341" s="20">
        <v>44638.0</v>
      </c>
      <c r="AG341" s="21"/>
      <c r="AH341" s="18"/>
      <c r="AI341" s="18"/>
      <c r="AJ341" s="18"/>
      <c r="AK341" s="19" t="s">
        <v>55</v>
      </c>
      <c r="AL341" s="19" t="s">
        <v>127</v>
      </c>
      <c r="AM341" s="19" t="s">
        <v>140</v>
      </c>
      <c r="AN341" s="18"/>
      <c r="AO341" s="18"/>
      <c r="AP341" s="22" t="s">
        <v>56</v>
      </c>
      <c r="AQ341" s="18"/>
    </row>
    <row r="342">
      <c r="A342" s="11" t="s">
        <v>1713</v>
      </c>
      <c r="B342" s="11" t="s">
        <v>1714</v>
      </c>
      <c r="C342" s="11" t="str">
        <f>VLOOKUP(A342,import!A:C,3,0)</f>
        <v>DOĞRU</v>
      </c>
      <c r="D342" s="11" t="s">
        <v>69</v>
      </c>
      <c r="E342" s="11">
        <f>VLOOKUP(A342,import!A:J,5,0)</f>
        <v>34</v>
      </c>
      <c r="F342" s="11">
        <f>VLOOKUP(A342,import!A:J,6,0)</f>
        <v>14</v>
      </c>
      <c r="G342" s="11">
        <f>VLOOKUP(A342,import!A:J,7,0)</f>
        <v>2</v>
      </c>
      <c r="H342" s="11">
        <f>VLOOKUP(A342,import!A:J,8,0)</f>
        <v>19</v>
      </c>
      <c r="I342" s="11">
        <f>VLOOKUP(A342,import!A:J,9,0)</f>
        <v>21</v>
      </c>
      <c r="J342" s="12">
        <f>VLOOKUP(A342,import!A:J,10,0)</f>
        <v>0.1</v>
      </c>
      <c r="K342" s="11" t="s">
        <v>1715</v>
      </c>
      <c r="L342" s="11">
        <v>5.064313485E9</v>
      </c>
      <c r="M342" s="11" t="s">
        <v>61</v>
      </c>
      <c r="N342" s="11" t="s">
        <v>250</v>
      </c>
      <c r="O342" s="11" t="s">
        <v>1716</v>
      </c>
      <c r="P342" s="11" t="str">
        <f>VLOOKUP(A342,import!A:P,16,0)</f>
        <v>Geleneksel</v>
      </c>
      <c r="Q342" s="13"/>
      <c r="R342" s="13" t="b">
        <v>1</v>
      </c>
      <c r="S342" s="13" t="b">
        <v>0</v>
      </c>
      <c r="T342" s="14" t="s">
        <v>74</v>
      </c>
      <c r="U342" s="14" t="s">
        <v>75</v>
      </c>
      <c r="V342" s="30" t="s">
        <v>76</v>
      </c>
      <c r="W342" s="14"/>
      <c r="X342" s="24">
        <v>44615.0</v>
      </c>
      <c r="Y342" s="24">
        <v>44616.0</v>
      </c>
      <c r="Z342" s="18"/>
      <c r="AA342" s="19" t="s">
        <v>54</v>
      </c>
      <c r="AB342" s="24">
        <v>44615.0</v>
      </c>
      <c r="AC342" s="19"/>
      <c r="AD342" s="20"/>
      <c r="AE342" s="19"/>
      <c r="AF342" s="20"/>
      <c r="AG342" s="21"/>
      <c r="AH342" s="18"/>
      <c r="AI342" s="18"/>
      <c r="AJ342" s="18"/>
      <c r="AK342" s="19" t="s">
        <v>75</v>
      </c>
      <c r="AL342" s="19"/>
      <c r="AM342" s="19"/>
      <c r="AN342" s="18"/>
      <c r="AO342" s="18"/>
      <c r="AP342" s="22"/>
      <c r="AQ342" s="18"/>
    </row>
    <row r="343">
      <c r="A343" s="11" t="s">
        <v>1717</v>
      </c>
      <c r="B343" s="11" t="s">
        <v>1718</v>
      </c>
      <c r="C343" s="11" t="str">
        <f>VLOOKUP(A343,import!A:C,3,0)</f>
        <v>DOĞRU</v>
      </c>
      <c r="D343" s="11" t="s">
        <v>91</v>
      </c>
      <c r="E343" s="11">
        <f>VLOOKUP(A343,import!A:J,5,0)</f>
        <v>40</v>
      </c>
      <c r="F343" s="11">
        <f>VLOOKUP(A343,import!A:J,6,0)</f>
        <v>33</v>
      </c>
      <c r="G343" s="11">
        <f>VLOOKUP(A343,import!A:J,7,0)</f>
        <v>0</v>
      </c>
      <c r="H343" s="11">
        <f>VLOOKUP(A343,import!A:J,8,0)</f>
        <v>39</v>
      </c>
      <c r="I343" s="11">
        <f>VLOOKUP(A343,import!A:J,9,0)</f>
        <v>39</v>
      </c>
      <c r="J343" s="12">
        <f>VLOOKUP(A343,import!A:J,10,0)</f>
        <v>0</v>
      </c>
      <c r="K343" s="11" t="s">
        <v>1719</v>
      </c>
      <c r="L343" s="11">
        <v>8.50218363E9</v>
      </c>
      <c r="M343" s="11" t="s">
        <v>61</v>
      </c>
      <c r="N343" s="11" t="s">
        <v>107</v>
      </c>
      <c r="O343" s="11" t="s">
        <v>1720</v>
      </c>
      <c r="P343" s="11" t="str">
        <f>VLOOKUP(A343,import!A:P,16,0)</f>
        <v>Geleneksel</v>
      </c>
      <c r="Q343" s="13"/>
      <c r="R343" s="13" t="b">
        <v>0</v>
      </c>
      <c r="S343" s="13" t="b">
        <v>0</v>
      </c>
      <c r="T343" s="14"/>
      <c r="U343" s="14"/>
      <c r="V343" s="16"/>
      <c r="W343" s="14"/>
      <c r="X343" s="24"/>
      <c r="Y343" s="24"/>
      <c r="Z343" s="18"/>
      <c r="AA343" s="19"/>
      <c r="AB343" s="20"/>
      <c r="AC343" s="19"/>
      <c r="AD343" s="20"/>
      <c r="AE343" s="19"/>
      <c r="AF343" s="20"/>
      <c r="AG343" s="21"/>
      <c r="AH343" s="18"/>
      <c r="AI343" s="18"/>
      <c r="AJ343" s="18"/>
      <c r="AK343" s="19"/>
      <c r="AL343" s="19"/>
      <c r="AM343" s="19"/>
      <c r="AN343" s="18"/>
      <c r="AO343" s="18"/>
      <c r="AP343" s="22"/>
      <c r="AQ343" s="18"/>
    </row>
    <row r="344">
      <c r="A344" s="22" t="s">
        <v>1721</v>
      </c>
      <c r="B344" s="22" t="s">
        <v>1722</v>
      </c>
      <c r="C344" s="11" t="str">
        <f>VLOOKUP(A344,import!A:C,3,0)</f>
        <v>DOĞRU</v>
      </c>
      <c r="D344" s="22" t="s">
        <v>845</v>
      </c>
      <c r="E344" s="11" t="str">
        <f>VLOOKUP(A344,import!A:J,5,0)</f>
        <v/>
      </c>
      <c r="F344" s="11" t="str">
        <f>VLOOKUP(A344,import!A:J,6,0)</f>
        <v/>
      </c>
      <c r="G344" s="11">
        <f>VLOOKUP(A344,import!A:J,7,0)</f>
        <v>0</v>
      </c>
      <c r="H344" s="11">
        <f>VLOOKUP(A344,import!A:J,8,0)</f>
        <v>90</v>
      </c>
      <c r="I344" s="11">
        <f>VLOOKUP(A344,import!A:J,9,0)</f>
        <v>90</v>
      </c>
      <c r="J344" s="12">
        <f>VLOOKUP(A344,import!A:J,10,0)</f>
        <v>0</v>
      </c>
      <c r="K344" s="22" t="s">
        <v>1723</v>
      </c>
      <c r="L344" s="22">
        <v>3.524441704E9</v>
      </c>
      <c r="M344" s="22" t="s">
        <v>47</v>
      </c>
      <c r="N344" s="22" t="s">
        <v>131</v>
      </c>
      <c r="O344" s="22" t="s">
        <v>1724</v>
      </c>
      <c r="P344" s="11" t="str">
        <f>VLOOKUP(A344,import!A:P,16,0)</f>
        <v>Geleneksel</v>
      </c>
      <c r="Q344" s="13"/>
      <c r="R344" s="13" t="b">
        <v>1</v>
      </c>
      <c r="S344" s="13" t="b">
        <v>0</v>
      </c>
      <c r="T344" s="14" t="s">
        <v>115</v>
      </c>
      <c r="U344" s="14"/>
      <c r="V344" s="14"/>
      <c r="W344" s="14" t="s">
        <v>1725</v>
      </c>
      <c r="X344" s="24"/>
      <c r="Y344" s="24"/>
      <c r="Z344" s="18"/>
      <c r="AA344" s="19" t="s">
        <v>54</v>
      </c>
      <c r="AB344" s="20">
        <v>44676.0</v>
      </c>
      <c r="AC344" s="19"/>
      <c r="AD344" s="20"/>
      <c r="AE344" s="19"/>
      <c r="AF344" s="20"/>
      <c r="AG344" s="21"/>
      <c r="AH344" s="18"/>
      <c r="AI344" s="18"/>
      <c r="AJ344" s="18"/>
      <c r="AK344" s="19" t="s">
        <v>110</v>
      </c>
      <c r="AL344" s="19"/>
      <c r="AM344" s="19"/>
      <c r="AN344" s="18"/>
      <c r="AO344" s="18"/>
      <c r="AP344" s="22"/>
      <c r="AQ344" s="18"/>
    </row>
    <row r="345">
      <c r="A345" s="11" t="s">
        <v>1726</v>
      </c>
      <c r="B345" s="11" t="s">
        <v>1727</v>
      </c>
      <c r="C345" s="11" t="str">
        <f>VLOOKUP(A345,import!A:C,3,0)</f>
        <v>DOĞRU</v>
      </c>
      <c r="D345" s="11" t="s">
        <v>69</v>
      </c>
      <c r="E345" s="11">
        <f>VLOOKUP(A345,import!A:J,5,0)</f>
        <v>50</v>
      </c>
      <c r="F345" s="11">
        <f>VLOOKUP(A345,import!A:J,6,0)</f>
        <v>12</v>
      </c>
      <c r="G345" s="11">
        <f>VLOOKUP(A345,import!A:J,7,0)</f>
        <v>0</v>
      </c>
      <c r="H345" s="11">
        <f>VLOOKUP(A345,import!A:J,8,0)</f>
        <v>104</v>
      </c>
      <c r="I345" s="11">
        <f>VLOOKUP(A345,import!A:J,9,0)</f>
        <v>104</v>
      </c>
      <c r="J345" s="12">
        <f>VLOOKUP(A345,import!A:J,10,0)</f>
        <v>0</v>
      </c>
      <c r="K345" s="11" t="s">
        <v>1728</v>
      </c>
      <c r="L345" s="11">
        <v>3.524376061E9</v>
      </c>
      <c r="M345" s="11" t="s">
        <v>61</v>
      </c>
      <c r="N345" s="11" t="s">
        <v>250</v>
      </c>
      <c r="O345" s="11" t="s">
        <v>1729</v>
      </c>
      <c r="P345" s="11" t="str">
        <f>VLOOKUP(A345,import!A:P,16,0)</f>
        <v>Geleneksel</v>
      </c>
      <c r="Q345" s="13"/>
      <c r="R345" s="13" t="b">
        <v>1</v>
      </c>
      <c r="S345" s="13" t="b">
        <v>0</v>
      </c>
      <c r="T345" s="14" t="s">
        <v>74</v>
      </c>
      <c r="U345" s="14" t="s">
        <v>127</v>
      </c>
      <c r="V345" s="23" t="s">
        <v>76</v>
      </c>
      <c r="W345" s="14" t="s">
        <v>1730</v>
      </c>
      <c r="X345" s="24">
        <v>44595.0</v>
      </c>
      <c r="Y345" s="24">
        <v>44596.0</v>
      </c>
      <c r="Z345" s="18"/>
      <c r="AA345" s="19" t="s">
        <v>347</v>
      </c>
      <c r="AB345" s="20">
        <v>44358.0</v>
      </c>
      <c r="AC345" s="19" t="s">
        <v>54</v>
      </c>
      <c r="AD345" s="20">
        <v>44595.0</v>
      </c>
      <c r="AE345" s="21"/>
      <c r="AF345" s="18"/>
      <c r="AG345" s="21"/>
      <c r="AH345" s="18"/>
      <c r="AI345" s="18"/>
      <c r="AJ345" s="18"/>
      <c r="AK345" s="19" t="s">
        <v>55</v>
      </c>
      <c r="AL345" s="19" t="s">
        <v>127</v>
      </c>
      <c r="AM345" s="18"/>
      <c r="AN345" s="18"/>
      <c r="AO345" s="18"/>
      <c r="AP345" s="22" t="s">
        <v>56</v>
      </c>
      <c r="AQ345" s="18"/>
    </row>
    <row r="346">
      <c r="A346" s="11" t="s">
        <v>1731</v>
      </c>
      <c r="B346" s="11" t="s">
        <v>1732</v>
      </c>
      <c r="C346" s="11" t="str">
        <f>VLOOKUP(A346,import!A:C,3,0)</f>
        <v>DOĞRU</v>
      </c>
      <c r="D346" s="11" t="s">
        <v>406</v>
      </c>
      <c r="E346" s="11">
        <f>VLOOKUP(A346,import!A:J,5,0)</f>
        <v>3851</v>
      </c>
      <c r="F346" s="11" t="str">
        <f>VLOOKUP(A346,import!A:J,6,0)</f>
        <v/>
      </c>
      <c r="G346" s="11">
        <f>VLOOKUP(A346,import!A:J,7,0)</f>
        <v>13</v>
      </c>
      <c r="H346" s="11">
        <f>VLOOKUP(A346,import!A:J,8,0)</f>
        <v>6</v>
      </c>
      <c r="I346" s="11">
        <f>VLOOKUP(A346,import!A:J,9,0)</f>
        <v>19</v>
      </c>
      <c r="J346" s="12">
        <f>VLOOKUP(A346,import!A:J,10,0)</f>
        <v>0.68</v>
      </c>
      <c r="K346" s="11" t="s">
        <v>1733</v>
      </c>
      <c r="L346" s="11">
        <v>3.5243144E9</v>
      </c>
      <c r="M346" s="11" t="s">
        <v>61</v>
      </c>
      <c r="N346" s="11" t="s">
        <v>62</v>
      </c>
      <c r="O346" s="11" t="s">
        <v>1734</v>
      </c>
      <c r="P346" s="11" t="str">
        <f>VLOOKUP(A346,import!A:P,16,0)</f>
        <v>Geleneksel</v>
      </c>
      <c r="Q346" s="13"/>
      <c r="R346" s="13" t="b">
        <v>1</v>
      </c>
      <c r="S346" s="13" t="b">
        <v>0</v>
      </c>
      <c r="T346" s="14" t="s">
        <v>74</v>
      </c>
      <c r="U346" s="14" t="s">
        <v>568</v>
      </c>
      <c r="V346" s="31" t="s">
        <v>96</v>
      </c>
      <c r="W346" s="14" t="s">
        <v>1735</v>
      </c>
      <c r="X346" s="24">
        <v>44305.0</v>
      </c>
      <c r="Y346" s="24">
        <v>44308.0</v>
      </c>
      <c r="Z346" s="18"/>
      <c r="AA346" s="18"/>
      <c r="AB346" s="18"/>
      <c r="AC346" s="18"/>
      <c r="AD346" s="18"/>
      <c r="AE346" s="21"/>
      <c r="AF346" s="18"/>
      <c r="AG346" s="21"/>
      <c r="AH346" s="18"/>
      <c r="AI346" s="18"/>
      <c r="AJ346" s="18"/>
      <c r="AK346" s="18"/>
      <c r="AL346" s="18"/>
      <c r="AM346" s="18"/>
      <c r="AN346" s="18"/>
      <c r="AO346" s="18"/>
      <c r="AP346" s="22" t="s">
        <v>56</v>
      </c>
      <c r="AQ346" s="18"/>
    </row>
    <row r="347">
      <c r="A347" s="11" t="s">
        <v>1736</v>
      </c>
      <c r="B347" s="11" t="s">
        <v>1737</v>
      </c>
      <c r="C347" s="11" t="str">
        <f>VLOOKUP(A347,import!A:C,3,0)</f>
        <v>DOĞRU</v>
      </c>
      <c r="D347" s="11" t="s">
        <v>406</v>
      </c>
      <c r="E347" s="11">
        <f>VLOOKUP(A347,import!A:J,5,0)</f>
        <v>10172</v>
      </c>
      <c r="F347" s="11">
        <f>VLOOKUP(A347,import!A:J,6,0)</f>
        <v>137</v>
      </c>
      <c r="G347" s="11">
        <f>VLOOKUP(A347,import!A:J,7,0)</f>
        <v>0</v>
      </c>
      <c r="H347" s="11">
        <f>VLOOKUP(A347,import!A:J,8,0)</f>
        <v>25</v>
      </c>
      <c r="I347" s="11">
        <f>VLOOKUP(A347,import!A:J,9,0)</f>
        <v>25</v>
      </c>
      <c r="J347" s="12">
        <f>VLOOKUP(A347,import!A:J,10,0)</f>
        <v>0</v>
      </c>
      <c r="K347" s="11" t="s">
        <v>1738</v>
      </c>
      <c r="L347" s="11">
        <v>3.522321222E9</v>
      </c>
      <c r="M347" s="11" t="s">
        <v>71</v>
      </c>
      <c r="N347" s="11" t="s">
        <v>102</v>
      </c>
      <c r="O347" s="11" t="s">
        <v>1739</v>
      </c>
      <c r="P347" s="11" t="str">
        <f>VLOOKUP(A347,import!A:P,16,0)</f>
        <v>Geleneksel</v>
      </c>
      <c r="Q347" s="13"/>
      <c r="R347" s="13" t="b">
        <v>1</v>
      </c>
      <c r="S347" s="13" t="b">
        <v>1</v>
      </c>
      <c r="T347" s="14"/>
      <c r="U347" s="14"/>
      <c r="V347" s="14"/>
      <c r="W347" s="14" t="s">
        <v>969</v>
      </c>
      <c r="X347" s="24"/>
      <c r="Y347" s="24"/>
      <c r="Z347" s="18"/>
      <c r="AA347" s="18"/>
      <c r="AB347" s="18"/>
      <c r="AC347" s="18"/>
      <c r="AD347" s="18"/>
      <c r="AE347" s="21"/>
      <c r="AF347" s="18"/>
      <c r="AG347" s="21"/>
      <c r="AH347" s="18"/>
      <c r="AI347" s="18"/>
      <c r="AJ347" s="18"/>
      <c r="AK347" s="18"/>
      <c r="AL347" s="18"/>
      <c r="AM347" s="18"/>
      <c r="AN347" s="18"/>
      <c r="AO347" s="18"/>
      <c r="AP347" s="22" t="s">
        <v>56</v>
      </c>
      <c r="AQ347" s="18"/>
    </row>
    <row r="348">
      <c r="A348" s="11" t="s">
        <v>1740</v>
      </c>
      <c r="B348" s="11" t="s">
        <v>1741</v>
      </c>
      <c r="C348" s="11" t="str">
        <f>VLOOKUP(A348,import!A:C,3,0)</f>
        <v>DOĞRU</v>
      </c>
      <c r="D348" s="11" t="s">
        <v>69</v>
      </c>
      <c r="E348" s="11">
        <f>VLOOKUP(A348,import!A:J,5,0)</f>
        <v>85</v>
      </c>
      <c r="F348" s="11">
        <f>VLOOKUP(A348,import!A:J,6,0)</f>
        <v>13</v>
      </c>
      <c r="G348" s="11">
        <f>VLOOKUP(A348,import!A:J,7,0)</f>
        <v>4</v>
      </c>
      <c r="H348" s="11">
        <f>VLOOKUP(A348,import!A:J,8,0)</f>
        <v>7</v>
      </c>
      <c r="I348" s="11">
        <f>VLOOKUP(A348,import!A:J,9,0)</f>
        <v>11</v>
      </c>
      <c r="J348" s="12">
        <f>VLOOKUP(A348,import!A:J,10,0)</f>
        <v>0.36</v>
      </c>
      <c r="K348" s="11" t="s">
        <v>1742</v>
      </c>
      <c r="L348" s="11">
        <v>5.383447468E9</v>
      </c>
      <c r="M348" s="11" t="s">
        <v>47</v>
      </c>
      <c r="N348" s="11" t="s">
        <v>1406</v>
      </c>
      <c r="O348" s="11" t="s">
        <v>1743</v>
      </c>
      <c r="P348" s="11" t="str">
        <f>VLOOKUP(A348,import!A:P,16,0)</f>
        <v>Geleneksel</v>
      </c>
      <c r="Q348" s="13"/>
      <c r="R348" s="13" t="b">
        <v>1</v>
      </c>
      <c r="S348" s="13" t="b">
        <v>0</v>
      </c>
      <c r="T348" s="14" t="s">
        <v>74</v>
      </c>
      <c r="U348" s="14" t="s">
        <v>568</v>
      </c>
      <c r="V348" s="14" t="s">
        <v>96</v>
      </c>
      <c r="W348" s="15"/>
      <c r="X348" s="24">
        <v>44295.0</v>
      </c>
      <c r="Y348" s="24">
        <v>44299.0</v>
      </c>
      <c r="Z348" s="18"/>
      <c r="AA348" s="18"/>
      <c r="AB348" s="18"/>
      <c r="AC348" s="18"/>
      <c r="AD348" s="18"/>
      <c r="AE348" s="21"/>
      <c r="AF348" s="18"/>
      <c r="AG348" s="21"/>
      <c r="AH348" s="18"/>
      <c r="AI348" s="18"/>
      <c r="AJ348" s="18"/>
      <c r="AK348" s="18"/>
      <c r="AL348" s="18"/>
      <c r="AM348" s="18"/>
      <c r="AN348" s="18"/>
      <c r="AO348" s="18"/>
      <c r="AP348" s="22" t="s">
        <v>56</v>
      </c>
      <c r="AQ348" s="18"/>
    </row>
    <row r="349">
      <c r="A349" s="11" t="s">
        <v>1744</v>
      </c>
      <c r="B349" s="11" t="s">
        <v>1745</v>
      </c>
      <c r="C349" s="11" t="str">
        <f>VLOOKUP(A349,import!A:C,3,0)</f>
        <v>DOĞRU</v>
      </c>
      <c r="D349" s="11" t="s">
        <v>1641</v>
      </c>
      <c r="E349" s="11">
        <f>VLOOKUP(A349,import!A:J,5,0)</f>
        <v>1053</v>
      </c>
      <c r="F349" s="11">
        <f>VLOOKUP(A349,import!A:J,6,0)</f>
        <v>24</v>
      </c>
      <c r="G349" s="11">
        <f>VLOOKUP(A349,import!A:J,7,0)</f>
        <v>23</v>
      </c>
      <c r="H349" s="11">
        <f>VLOOKUP(A349,import!A:J,8,0)</f>
        <v>13</v>
      </c>
      <c r="I349" s="11">
        <f>VLOOKUP(A349,import!A:J,9,0)</f>
        <v>36</v>
      </c>
      <c r="J349" s="12">
        <f>VLOOKUP(A349,import!A:J,10,0)</f>
        <v>0.64</v>
      </c>
      <c r="K349" s="11" t="s">
        <v>1746</v>
      </c>
      <c r="L349" s="11">
        <v>3.522222002E9</v>
      </c>
      <c r="M349" s="11" t="s">
        <v>47</v>
      </c>
      <c r="N349" s="11" t="s">
        <v>1054</v>
      </c>
      <c r="O349" s="11" t="s">
        <v>1747</v>
      </c>
      <c r="P349" s="11" t="str">
        <f>VLOOKUP(A349,import!A:P,16,0)</f>
        <v>Geleneksel</v>
      </c>
      <c r="Q349" s="13"/>
      <c r="R349" s="13" t="b">
        <v>1</v>
      </c>
      <c r="S349" s="13" t="b">
        <v>0</v>
      </c>
      <c r="T349" s="14" t="s">
        <v>74</v>
      </c>
      <c r="U349" s="14" t="s">
        <v>66</v>
      </c>
      <c r="V349" s="23" t="s">
        <v>76</v>
      </c>
      <c r="W349" s="14" t="s">
        <v>1748</v>
      </c>
      <c r="X349" s="24">
        <v>44607.0</v>
      </c>
      <c r="Y349" s="24">
        <v>44608.0</v>
      </c>
      <c r="Z349" s="18"/>
      <c r="AA349" s="19" t="s">
        <v>54</v>
      </c>
      <c r="AB349" s="20">
        <v>44607.0</v>
      </c>
      <c r="AC349" s="18"/>
      <c r="AD349" s="18"/>
      <c r="AE349" s="21"/>
      <c r="AF349" s="18"/>
      <c r="AG349" s="21"/>
      <c r="AH349" s="18"/>
      <c r="AI349" s="18"/>
      <c r="AJ349" s="18"/>
      <c r="AK349" s="19" t="s">
        <v>66</v>
      </c>
      <c r="AL349" s="18"/>
      <c r="AM349" s="18"/>
      <c r="AN349" s="18"/>
      <c r="AO349" s="18"/>
      <c r="AP349" s="22" t="s">
        <v>56</v>
      </c>
      <c r="AQ349" s="18"/>
    </row>
    <row r="350">
      <c r="A350" s="11" t="s">
        <v>1749</v>
      </c>
      <c r="B350" s="11" t="s">
        <v>1750</v>
      </c>
      <c r="C350" s="11" t="str">
        <f>VLOOKUP(A350,import!A:C,3,0)</f>
        <v>YANLIŞ</v>
      </c>
      <c r="D350" s="11" t="s">
        <v>69</v>
      </c>
      <c r="E350" s="11">
        <f>VLOOKUP(A350,import!A:J,5,0)</f>
        <v>123</v>
      </c>
      <c r="F350" s="11" t="str">
        <f>VLOOKUP(A350,import!A:J,6,0)</f>
        <v/>
      </c>
      <c r="G350" s="11">
        <f>VLOOKUP(A350,import!A:J,7,0)</f>
        <v>11</v>
      </c>
      <c r="H350" s="11">
        <f>VLOOKUP(A350,import!A:J,8,0)</f>
        <v>2</v>
      </c>
      <c r="I350" s="11">
        <f>VLOOKUP(A350,import!A:J,9,0)</f>
        <v>13</v>
      </c>
      <c r="J350" s="12">
        <f>VLOOKUP(A350,import!A:J,10,0)</f>
        <v>0.85</v>
      </c>
      <c r="K350" s="11" t="s">
        <v>1751</v>
      </c>
      <c r="L350" s="11">
        <v>5.063295893E9</v>
      </c>
      <c r="M350" s="11" t="s">
        <v>61</v>
      </c>
      <c r="N350" s="11" t="s">
        <v>250</v>
      </c>
      <c r="O350" s="11" t="s">
        <v>1752</v>
      </c>
      <c r="P350" s="11" t="str">
        <f>VLOOKUP(A350,import!A:P,16,0)</f>
        <v>Geleneksel</v>
      </c>
      <c r="Q350" s="13"/>
      <c r="R350" s="13" t="b">
        <v>1</v>
      </c>
      <c r="S350" s="13" t="b">
        <v>0</v>
      </c>
      <c r="T350" s="14" t="s">
        <v>74</v>
      </c>
      <c r="U350" s="14" t="s">
        <v>55</v>
      </c>
      <c r="V350" s="14" t="s">
        <v>96</v>
      </c>
      <c r="W350" s="14" t="s">
        <v>422</v>
      </c>
      <c r="X350" s="24">
        <v>44361.0</v>
      </c>
      <c r="Y350" s="24">
        <v>44363.0</v>
      </c>
      <c r="Z350" s="18"/>
      <c r="AA350" s="19" t="s">
        <v>54</v>
      </c>
      <c r="AB350" s="20">
        <v>44361.0</v>
      </c>
      <c r="AC350" s="18"/>
      <c r="AD350" s="18"/>
      <c r="AE350" s="21"/>
      <c r="AF350" s="18"/>
      <c r="AG350" s="21"/>
      <c r="AH350" s="18"/>
      <c r="AI350" s="18"/>
      <c r="AJ350" s="18"/>
      <c r="AK350" s="19" t="s">
        <v>55</v>
      </c>
      <c r="AL350" s="18"/>
      <c r="AM350" s="18"/>
      <c r="AN350" s="18"/>
      <c r="AO350" s="18"/>
      <c r="AP350" s="22" t="s">
        <v>56</v>
      </c>
      <c r="AQ350" s="18"/>
    </row>
    <row r="351">
      <c r="A351" s="11" t="s">
        <v>1753</v>
      </c>
      <c r="B351" s="11" t="s">
        <v>1754</v>
      </c>
      <c r="C351" s="11" t="str">
        <f>VLOOKUP(A351,import!A:C,3,0)</f>
        <v>YANLIŞ</v>
      </c>
      <c r="D351" s="11" t="s">
        <v>1755</v>
      </c>
      <c r="E351" s="11" t="str">
        <f>VLOOKUP(A351,import!A:J,5,0)</f>
        <v/>
      </c>
      <c r="F351" s="11" t="str">
        <f>VLOOKUP(A351,import!A:J,6,0)</f>
        <v/>
      </c>
      <c r="G351" s="11">
        <f>VLOOKUP(A351,import!A:J,7,0)</f>
        <v>0</v>
      </c>
      <c r="H351" s="11">
        <f>VLOOKUP(A351,import!A:J,8,0)</f>
        <v>15</v>
      </c>
      <c r="I351" s="11">
        <f>VLOOKUP(A351,import!A:J,9,0)</f>
        <v>15</v>
      </c>
      <c r="J351" s="12">
        <f>VLOOKUP(A351,import!A:J,10,0)</f>
        <v>0</v>
      </c>
      <c r="K351" s="11" t="s">
        <v>959</v>
      </c>
      <c r="L351" s="11">
        <v>5.318748668E9</v>
      </c>
      <c r="M351" s="11" t="s">
        <v>61</v>
      </c>
      <c r="N351" s="11" t="s">
        <v>62</v>
      </c>
      <c r="O351" s="11" t="s">
        <v>960</v>
      </c>
      <c r="P351" s="11" t="str">
        <f>VLOOKUP(A351,import!A:P,16,0)</f>
        <v>Geleneksel</v>
      </c>
      <c r="Q351" s="13"/>
      <c r="R351" s="13" t="b">
        <v>1</v>
      </c>
      <c r="S351" s="13" t="b">
        <v>0</v>
      </c>
      <c r="T351" s="14" t="s">
        <v>145</v>
      </c>
      <c r="U351" s="14"/>
      <c r="V351" s="14"/>
      <c r="W351" s="14" t="s">
        <v>1756</v>
      </c>
      <c r="X351" s="24"/>
      <c r="Y351" s="24"/>
      <c r="Z351" s="18"/>
      <c r="AA351" s="19" t="s">
        <v>54</v>
      </c>
      <c r="AB351" s="20">
        <v>44579.0</v>
      </c>
      <c r="AC351" s="19"/>
      <c r="AD351" s="20"/>
      <c r="AE351" s="21"/>
      <c r="AF351" s="18"/>
      <c r="AG351" s="21"/>
      <c r="AH351" s="18"/>
      <c r="AI351" s="18"/>
      <c r="AJ351" s="18"/>
      <c r="AK351" s="19" t="s">
        <v>86</v>
      </c>
      <c r="AL351" s="19"/>
      <c r="AM351" s="18"/>
      <c r="AN351" s="18"/>
      <c r="AO351" s="18"/>
      <c r="AP351" s="22"/>
      <c r="AQ351" s="18"/>
    </row>
    <row r="352">
      <c r="A352" s="11" t="s">
        <v>1757</v>
      </c>
      <c r="B352" s="11" t="s">
        <v>1758</v>
      </c>
      <c r="C352" s="11" t="str">
        <f>VLOOKUP(A352,import!A:C,3,0)</f>
        <v>DOĞRU</v>
      </c>
      <c r="D352" s="11" t="s">
        <v>165</v>
      </c>
      <c r="E352" s="11">
        <f>VLOOKUP(A352,import!A:J,5,0)</f>
        <v>4760</v>
      </c>
      <c r="F352" s="11">
        <f>VLOOKUP(A352,import!A:J,6,0)</f>
        <v>267</v>
      </c>
      <c r="G352" s="11">
        <f>VLOOKUP(A352,import!A:J,7,0)</f>
        <v>79</v>
      </c>
      <c r="H352" s="11">
        <f>VLOOKUP(A352,import!A:J,8,0)</f>
        <v>177</v>
      </c>
      <c r="I352" s="11">
        <f>VLOOKUP(A352,import!A:J,9,0)</f>
        <v>256</v>
      </c>
      <c r="J352" s="12">
        <f>VLOOKUP(A352,import!A:J,10,0)</f>
        <v>0.31</v>
      </c>
      <c r="K352" s="11" t="s">
        <v>1759</v>
      </c>
      <c r="L352" s="11">
        <v>5.065985428E9</v>
      </c>
      <c r="M352" s="11" t="s">
        <v>47</v>
      </c>
      <c r="N352" s="11" t="s">
        <v>277</v>
      </c>
      <c r="O352" s="11" t="s">
        <v>1760</v>
      </c>
      <c r="P352" s="11" t="str">
        <f>VLOOKUP(A352,import!A:P,16,0)</f>
        <v>Geleneksel</v>
      </c>
      <c r="Q352" s="13"/>
      <c r="R352" s="13" t="b">
        <v>1</v>
      </c>
      <c r="S352" s="13" t="b">
        <v>1</v>
      </c>
      <c r="T352" s="14"/>
      <c r="U352" s="14"/>
      <c r="V352" s="14"/>
      <c r="W352" s="14" t="s">
        <v>1761</v>
      </c>
      <c r="X352" s="24"/>
      <c r="Y352" s="24"/>
      <c r="Z352" s="18"/>
      <c r="AA352" s="18"/>
      <c r="AB352" s="18"/>
      <c r="AC352" s="18"/>
      <c r="AD352" s="18"/>
      <c r="AE352" s="21"/>
      <c r="AF352" s="18"/>
      <c r="AG352" s="21"/>
      <c r="AH352" s="18"/>
      <c r="AI352" s="18"/>
      <c r="AJ352" s="18"/>
      <c r="AK352" s="18"/>
      <c r="AL352" s="18"/>
      <c r="AM352" s="18"/>
      <c r="AN352" s="18"/>
      <c r="AO352" s="18"/>
      <c r="AP352" s="22" t="s">
        <v>56</v>
      </c>
      <c r="AQ352" s="18"/>
    </row>
    <row r="353">
      <c r="A353" s="11" t="s">
        <v>1762</v>
      </c>
      <c r="B353" s="11" t="s">
        <v>1763</v>
      </c>
      <c r="C353" s="11" t="str">
        <f>VLOOKUP(A353,import!A:C,3,0)</f>
        <v>DOĞRU</v>
      </c>
      <c r="D353" s="11" t="s">
        <v>406</v>
      </c>
      <c r="E353" s="11">
        <f>VLOOKUP(A353,import!A:J,5,0)</f>
        <v>1390</v>
      </c>
      <c r="F353" s="11">
        <f>VLOOKUP(A353,import!A:J,6,0)</f>
        <v>8</v>
      </c>
      <c r="G353" s="11">
        <f>VLOOKUP(A353,import!A:J,7,0)</f>
        <v>4</v>
      </c>
      <c r="H353" s="11">
        <f>VLOOKUP(A353,import!A:J,8,0)</f>
        <v>11</v>
      </c>
      <c r="I353" s="11">
        <f>VLOOKUP(A353,import!A:J,9,0)</f>
        <v>15</v>
      </c>
      <c r="J353" s="12">
        <f>VLOOKUP(A353,import!A:J,10,0)</f>
        <v>0.27</v>
      </c>
      <c r="K353" s="11" t="s">
        <v>1764</v>
      </c>
      <c r="L353" s="11">
        <v>3.525022667E9</v>
      </c>
      <c r="M353" s="11" t="s">
        <v>47</v>
      </c>
      <c r="N353" s="11" t="s">
        <v>138</v>
      </c>
      <c r="O353" s="11" t="s">
        <v>1765</v>
      </c>
      <c r="P353" s="11" t="str">
        <f>VLOOKUP(A353,import!A:P,16,0)</f>
        <v>Geleneksel</v>
      </c>
      <c r="Q353" s="13"/>
      <c r="R353" s="13" t="b">
        <v>1</v>
      </c>
      <c r="S353" s="13" t="b">
        <v>0</v>
      </c>
      <c r="T353" s="14" t="s">
        <v>145</v>
      </c>
      <c r="U353" s="14" t="s">
        <v>110</v>
      </c>
      <c r="V353" s="23" t="s">
        <v>76</v>
      </c>
      <c r="W353" s="14"/>
      <c r="X353" s="24">
        <v>44588.0</v>
      </c>
      <c r="Y353" s="24">
        <v>44589.0</v>
      </c>
      <c r="Z353" s="18"/>
      <c r="AA353" s="19" t="s">
        <v>54</v>
      </c>
      <c r="AB353" s="20">
        <v>44588.0</v>
      </c>
      <c r="AC353" s="19"/>
      <c r="AD353" s="20"/>
      <c r="AE353" s="21"/>
      <c r="AF353" s="18"/>
      <c r="AG353" s="21"/>
      <c r="AH353" s="18"/>
      <c r="AI353" s="18"/>
      <c r="AJ353" s="18"/>
      <c r="AK353" s="19" t="s">
        <v>110</v>
      </c>
      <c r="AL353" s="19"/>
      <c r="AM353" s="18"/>
      <c r="AN353" s="18"/>
      <c r="AO353" s="18"/>
      <c r="AP353" s="22"/>
      <c r="AQ353" s="18"/>
    </row>
    <row r="354">
      <c r="A354" s="11" t="s">
        <v>1766</v>
      </c>
      <c r="B354" s="11" t="s">
        <v>1767</v>
      </c>
      <c r="C354" s="11" t="str">
        <f>VLOOKUP(A354,import!A:C,3,0)</f>
        <v>DOĞRU</v>
      </c>
      <c r="D354" s="11" t="s">
        <v>406</v>
      </c>
      <c r="E354" s="11">
        <f>VLOOKUP(A354,import!A:J,5,0)</f>
        <v>436</v>
      </c>
      <c r="F354" s="11">
        <f>VLOOKUP(A354,import!A:J,6,0)</f>
        <v>1</v>
      </c>
      <c r="G354" s="11">
        <f>VLOOKUP(A354,import!A:J,7,0)</f>
        <v>0</v>
      </c>
      <c r="H354" s="11">
        <f>VLOOKUP(A354,import!A:J,8,0)</f>
        <v>39</v>
      </c>
      <c r="I354" s="11">
        <f>VLOOKUP(A354,import!A:J,9,0)</f>
        <v>39</v>
      </c>
      <c r="J354" s="12">
        <f>VLOOKUP(A354,import!A:J,10,0)</f>
        <v>0</v>
      </c>
      <c r="K354" s="11" t="s">
        <v>1768</v>
      </c>
      <c r="L354" s="11">
        <v>3.526210192E9</v>
      </c>
      <c r="M354" s="11" t="s">
        <v>1769</v>
      </c>
      <c r="N354" s="11" t="s">
        <v>1582</v>
      </c>
      <c r="O354" s="11" t="s">
        <v>1770</v>
      </c>
      <c r="P354" s="11" t="str">
        <f>VLOOKUP(A354,import!A:P,16,0)</f>
        <v>Geleneksel</v>
      </c>
      <c r="Q354" s="13"/>
      <c r="R354" s="13" t="b">
        <v>0</v>
      </c>
      <c r="S354" s="13" t="b">
        <v>0</v>
      </c>
      <c r="T354" s="14"/>
      <c r="U354" s="14"/>
      <c r="V354" s="14"/>
      <c r="W354" s="14"/>
      <c r="X354" s="24"/>
      <c r="Y354" s="24"/>
      <c r="Z354" s="18"/>
      <c r="AA354" s="19"/>
      <c r="AB354" s="20"/>
      <c r="AC354" s="19"/>
      <c r="AD354" s="20"/>
      <c r="AE354" s="21"/>
      <c r="AF354" s="18"/>
      <c r="AG354" s="21"/>
      <c r="AH354" s="18"/>
      <c r="AI354" s="18"/>
      <c r="AJ354" s="18"/>
      <c r="AK354" s="19"/>
      <c r="AL354" s="19"/>
      <c r="AM354" s="18"/>
      <c r="AN354" s="18"/>
      <c r="AO354" s="18"/>
      <c r="AP354" s="22" t="s">
        <v>56</v>
      </c>
      <c r="AQ354" s="18"/>
    </row>
    <row r="355">
      <c r="A355" s="11" t="s">
        <v>1771</v>
      </c>
      <c r="B355" s="11" t="s">
        <v>1767</v>
      </c>
      <c r="C355" s="11" t="str">
        <f>VLOOKUP(A355,import!A:C,3,0)</f>
        <v>DOĞRU</v>
      </c>
      <c r="D355" s="11" t="s">
        <v>406</v>
      </c>
      <c r="E355" s="11" t="str">
        <f>VLOOKUP(A355,import!A:J,5,0)</f>
        <v/>
      </c>
      <c r="F355" s="11" t="str">
        <f>VLOOKUP(A355,import!A:J,6,0)</f>
        <v/>
      </c>
      <c r="G355" s="11">
        <f>VLOOKUP(A355,import!A:J,7,0)</f>
        <v>0</v>
      </c>
      <c r="H355" s="11">
        <f>VLOOKUP(A355,import!A:J,8,0)</f>
        <v>45</v>
      </c>
      <c r="I355" s="11">
        <f>VLOOKUP(A355,import!A:J,9,0)</f>
        <v>45</v>
      </c>
      <c r="J355" s="12">
        <f>VLOOKUP(A355,import!A:J,10,0)</f>
        <v>0</v>
      </c>
      <c r="K355" s="11" t="s">
        <v>1772</v>
      </c>
      <c r="L355" s="11">
        <v>3.526210192E9</v>
      </c>
      <c r="M355" s="11" t="s">
        <v>1769</v>
      </c>
      <c r="N355" s="11" t="s">
        <v>1582</v>
      </c>
      <c r="O355" s="11" t="s">
        <v>1770</v>
      </c>
      <c r="P355" s="11" t="str">
        <f>VLOOKUP(A355,import!A:P,16,0)</f>
        <v>Geleneksel</v>
      </c>
      <c r="Q355" s="13"/>
      <c r="R355" s="13" t="b">
        <v>0</v>
      </c>
      <c r="S355" s="13" t="b">
        <v>0</v>
      </c>
      <c r="T355" s="14"/>
      <c r="U355" s="14"/>
      <c r="V355" s="14"/>
      <c r="W355" s="14"/>
      <c r="X355" s="24"/>
      <c r="Y355" s="24"/>
      <c r="Z355" s="18"/>
      <c r="AA355" s="19"/>
      <c r="AB355" s="20"/>
      <c r="AC355" s="19"/>
      <c r="AD355" s="20"/>
      <c r="AE355" s="19"/>
      <c r="AF355" s="20"/>
      <c r="AG355" s="21"/>
      <c r="AH355" s="18"/>
      <c r="AI355" s="18"/>
      <c r="AJ355" s="18"/>
      <c r="AK355" s="19"/>
      <c r="AL355" s="19"/>
      <c r="AM355" s="19"/>
      <c r="AN355" s="18"/>
      <c r="AO355" s="18"/>
      <c r="AP355" s="22"/>
      <c r="AQ355" s="18"/>
    </row>
    <row r="356">
      <c r="A356" s="11" t="s">
        <v>1773</v>
      </c>
      <c r="B356" s="11" t="s">
        <v>1774</v>
      </c>
      <c r="C356" s="11" t="str">
        <f>VLOOKUP(A356,import!A:C,3,0)</f>
        <v>YANLIŞ</v>
      </c>
      <c r="D356" s="11" t="s">
        <v>59</v>
      </c>
      <c r="E356" s="11">
        <f>VLOOKUP(A356,import!A:J,5,0)</f>
        <v>9</v>
      </c>
      <c r="F356" s="11" t="str">
        <f>VLOOKUP(A356,import!A:J,6,0)</f>
        <v/>
      </c>
      <c r="G356" s="11">
        <f>VLOOKUP(A356,import!A:J,7,0)</f>
        <v>0</v>
      </c>
      <c r="H356" s="11">
        <f>VLOOKUP(A356,import!A:J,8,0)</f>
        <v>6</v>
      </c>
      <c r="I356" s="11">
        <f>VLOOKUP(A356,import!A:J,9,0)</f>
        <v>6</v>
      </c>
      <c r="J356" s="12">
        <f>VLOOKUP(A356,import!A:J,10,0)</f>
        <v>0</v>
      </c>
      <c r="K356" s="11" t="s">
        <v>1775</v>
      </c>
      <c r="L356" s="11">
        <v>5.31457156E9</v>
      </c>
      <c r="M356" s="11" t="s">
        <v>61</v>
      </c>
      <c r="N356" s="11" t="s">
        <v>62</v>
      </c>
      <c r="O356" s="11" t="s">
        <v>1776</v>
      </c>
      <c r="P356" s="11" t="str">
        <f>VLOOKUP(A356,import!A:P,16,0)</f>
        <v>Geleneksel</v>
      </c>
      <c r="Q356" s="13"/>
      <c r="R356" s="13" t="b">
        <v>1</v>
      </c>
      <c r="S356" s="13" t="b">
        <v>0</v>
      </c>
      <c r="T356" s="14"/>
      <c r="U356" s="14"/>
      <c r="V356" s="16"/>
      <c r="W356" s="14" t="s">
        <v>1777</v>
      </c>
      <c r="X356" s="24"/>
      <c r="Y356" s="24"/>
      <c r="Z356" s="18"/>
      <c r="AA356" s="19" t="s">
        <v>53</v>
      </c>
      <c r="AB356" s="20">
        <v>44579.0</v>
      </c>
      <c r="AC356" s="19" t="s">
        <v>53</v>
      </c>
      <c r="AD356" s="20">
        <v>44595.0</v>
      </c>
      <c r="AE356" s="21"/>
      <c r="AF356" s="18"/>
      <c r="AG356" s="21"/>
      <c r="AH356" s="18"/>
      <c r="AI356" s="18"/>
      <c r="AJ356" s="18"/>
      <c r="AK356" s="19" t="s">
        <v>86</v>
      </c>
      <c r="AL356" s="19" t="s">
        <v>127</v>
      </c>
      <c r="AM356" s="18"/>
      <c r="AN356" s="18"/>
      <c r="AO356" s="18"/>
      <c r="AP356" s="22"/>
      <c r="AQ356" s="18"/>
    </row>
    <row r="357">
      <c r="A357" s="11" t="s">
        <v>1778</v>
      </c>
      <c r="B357" s="11" t="s">
        <v>1779</v>
      </c>
      <c r="C357" s="11" t="str">
        <f>VLOOKUP(A357,import!A:C,3,0)</f>
        <v>DOĞRU</v>
      </c>
      <c r="D357" s="11" t="s">
        <v>83</v>
      </c>
      <c r="E357" s="11">
        <f>VLOOKUP(A357,import!A:J,5,0)</f>
        <v>125</v>
      </c>
      <c r="F357" s="11" t="str">
        <f>VLOOKUP(A357,import!A:J,6,0)</f>
        <v/>
      </c>
      <c r="G357" s="11">
        <f>VLOOKUP(A357,import!A:J,7,0)</f>
        <v>0</v>
      </c>
      <c r="H357" s="11">
        <f>VLOOKUP(A357,import!A:J,8,0)</f>
        <v>20</v>
      </c>
      <c r="I357" s="11">
        <f>VLOOKUP(A357,import!A:J,9,0)</f>
        <v>20</v>
      </c>
      <c r="J357" s="12">
        <f>VLOOKUP(A357,import!A:J,10,0)</f>
        <v>0</v>
      </c>
      <c r="K357" s="11" t="s">
        <v>1780</v>
      </c>
      <c r="L357" s="11">
        <v>5.532481993E9</v>
      </c>
      <c r="M357" s="11" t="s">
        <v>71</v>
      </c>
      <c r="N357" s="11" t="s">
        <v>684</v>
      </c>
      <c r="O357" s="11" t="s">
        <v>1781</v>
      </c>
      <c r="P357" s="11" t="str">
        <f>VLOOKUP(A357,import!A:P,16,0)</f>
        <v>Geleneksel</v>
      </c>
      <c r="Q357" s="13"/>
      <c r="R357" s="13" t="b">
        <v>1</v>
      </c>
      <c r="S357" s="13" t="b">
        <v>0</v>
      </c>
      <c r="T357" s="14" t="s">
        <v>150</v>
      </c>
      <c r="U357" s="14"/>
      <c r="V357" s="14"/>
      <c r="W357" s="14" t="s">
        <v>1782</v>
      </c>
      <c r="X357" s="24"/>
      <c r="Y357" s="24"/>
      <c r="Z357" s="18"/>
      <c r="AA357" s="19" t="s">
        <v>54</v>
      </c>
      <c r="AB357" s="20">
        <v>44609.0</v>
      </c>
      <c r="AC357" s="19"/>
      <c r="AD357" s="20"/>
      <c r="AE357" s="21"/>
      <c r="AF357" s="18"/>
      <c r="AG357" s="21"/>
      <c r="AH357" s="18"/>
      <c r="AI357" s="18"/>
      <c r="AJ357" s="18"/>
      <c r="AK357" s="19" t="s">
        <v>80</v>
      </c>
      <c r="AL357" s="19"/>
      <c r="AM357" s="18"/>
      <c r="AN357" s="18"/>
      <c r="AO357" s="18"/>
      <c r="AP357" s="22" t="s">
        <v>56</v>
      </c>
      <c r="AQ357" s="18"/>
    </row>
    <row r="358">
      <c r="A358" s="11" t="s">
        <v>1783</v>
      </c>
      <c r="B358" s="11" t="s">
        <v>1784</v>
      </c>
      <c r="C358" s="11" t="str">
        <f>VLOOKUP(A358,import!A:C,3,0)</f>
        <v>DOĞRU</v>
      </c>
      <c r="D358" s="11" t="s">
        <v>83</v>
      </c>
      <c r="E358" s="11">
        <f>VLOOKUP(A358,import!A:J,5,0)</f>
        <v>221</v>
      </c>
      <c r="F358" s="11">
        <f>VLOOKUP(A358,import!A:J,6,0)</f>
        <v>20</v>
      </c>
      <c r="G358" s="11">
        <f>VLOOKUP(A358,import!A:J,7,0)</f>
        <v>0</v>
      </c>
      <c r="H358" s="11">
        <f>VLOOKUP(A358,import!A:J,8,0)</f>
        <v>22</v>
      </c>
      <c r="I358" s="11">
        <f>VLOOKUP(A358,import!A:J,9,0)</f>
        <v>22</v>
      </c>
      <c r="J358" s="12">
        <f>VLOOKUP(A358,import!A:J,10,0)</f>
        <v>0</v>
      </c>
      <c r="K358" s="11" t="s">
        <v>1785</v>
      </c>
      <c r="L358" s="11">
        <v>5.54456272E9</v>
      </c>
      <c r="M358" s="11" t="s">
        <v>47</v>
      </c>
      <c r="N358" s="11" t="s">
        <v>640</v>
      </c>
      <c r="O358" s="11" t="s">
        <v>1786</v>
      </c>
      <c r="P358" s="11" t="str">
        <f>VLOOKUP(A358,import!A:P,16,0)</f>
        <v>Geleneksel</v>
      </c>
      <c r="Q358" s="13"/>
      <c r="R358" s="13" t="b">
        <v>1</v>
      </c>
      <c r="S358" s="13" t="b">
        <v>0</v>
      </c>
      <c r="T358" s="14" t="s">
        <v>168</v>
      </c>
      <c r="U358" s="14"/>
      <c r="V358" s="14"/>
      <c r="W358" s="14" t="s">
        <v>1787</v>
      </c>
      <c r="X358" s="24"/>
      <c r="Y358" s="24"/>
      <c r="Z358" s="18"/>
      <c r="AA358" s="19" t="s">
        <v>78</v>
      </c>
      <c r="AB358" s="20">
        <v>44589.0</v>
      </c>
      <c r="AC358" s="19" t="s">
        <v>54</v>
      </c>
      <c r="AD358" s="20">
        <v>44601.0</v>
      </c>
      <c r="AE358" s="21"/>
      <c r="AF358" s="18"/>
      <c r="AG358" s="21"/>
      <c r="AH358" s="18"/>
      <c r="AI358" s="18"/>
      <c r="AJ358" s="18"/>
      <c r="AK358" s="19" t="s">
        <v>110</v>
      </c>
      <c r="AL358" s="19" t="s">
        <v>110</v>
      </c>
      <c r="AM358" s="18"/>
      <c r="AN358" s="18"/>
      <c r="AO358" s="18"/>
      <c r="AP358" s="22"/>
      <c r="AQ358" s="18"/>
    </row>
    <row r="359">
      <c r="A359" s="11" t="s">
        <v>1788</v>
      </c>
      <c r="B359" s="11" t="s">
        <v>1789</v>
      </c>
      <c r="C359" s="11" t="str">
        <f>VLOOKUP(A359,import!A:C,3,0)</f>
        <v>DOĞRU</v>
      </c>
      <c r="D359" s="11" t="s">
        <v>45</v>
      </c>
      <c r="E359" s="11">
        <f>VLOOKUP(A359,import!A:J,5,0)</f>
        <v>3308</v>
      </c>
      <c r="F359" s="11" t="str">
        <f>VLOOKUP(A359,import!A:J,6,0)</f>
        <v/>
      </c>
      <c r="G359" s="11">
        <f>VLOOKUP(A359,import!A:J,7,0)</f>
        <v>5</v>
      </c>
      <c r="H359" s="11">
        <f>VLOOKUP(A359,import!A:J,8,0)</f>
        <v>10</v>
      </c>
      <c r="I359" s="11">
        <f>VLOOKUP(A359,import!A:J,9,0)</f>
        <v>15</v>
      </c>
      <c r="J359" s="12">
        <f>VLOOKUP(A359,import!A:J,10,0)</f>
        <v>0.33</v>
      </c>
      <c r="K359" s="11" t="s">
        <v>178</v>
      </c>
      <c r="L359" s="11">
        <v>5.303839538E9</v>
      </c>
      <c r="M359" s="11" t="s">
        <v>71</v>
      </c>
      <c r="N359" s="11" t="s">
        <v>62</v>
      </c>
      <c r="O359" s="11" t="s">
        <v>1790</v>
      </c>
      <c r="P359" s="11" t="str">
        <f>VLOOKUP(A359,import!A:P,16,0)</f>
        <v>Geleneksel</v>
      </c>
      <c r="Q359" s="13"/>
      <c r="R359" s="13" t="b">
        <v>0</v>
      </c>
      <c r="S359" s="13" t="b">
        <v>1</v>
      </c>
      <c r="T359" s="14"/>
      <c r="U359" s="15"/>
      <c r="V359" s="15"/>
      <c r="W359" s="25" t="s">
        <v>1791</v>
      </c>
      <c r="X359" s="17"/>
      <c r="Y359" s="17"/>
      <c r="Z359" s="18"/>
      <c r="AA359" s="18"/>
      <c r="AB359" s="18"/>
      <c r="AC359" s="18"/>
      <c r="AD359" s="18"/>
      <c r="AE359" s="21"/>
      <c r="AF359" s="18"/>
      <c r="AG359" s="21"/>
      <c r="AH359" s="18"/>
      <c r="AI359" s="18"/>
      <c r="AJ359" s="18"/>
      <c r="AK359" s="18"/>
      <c r="AL359" s="18"/>
      <c r="AM359" s="18"/>
      <c r="AN359" s="18"/>
      <c r="AO359" s="18"/>
      <c r="AP359" s="22" t="s">
        <v>56</v>
      </c>
      <c r="AQ359" s="18"/>
    </row>
    <row r="360">
      <c r="A360" s="11" t="s">
        <v>1792</v>
      </c>
      <c r="B360" s="11" t="s">
        <v>1793</v>
      </c>
      <c r="C360" s="11" t="str">
        <f>VLOOKUP(A360,import!A:C,3,0)</f>
        <v>YANLIŞ</v>
      </c>
      <c r="D360" s="11" t="s">
        <v>45</v>
      </c>
      <c r="E360" s="11">
        <f>VLOOKUP(A360,import!A:J,5,0)</f>
        <v>10</v>
      </c>
      <c r="F360" s="11" t="str">
        <f>VLOOKUP(A360,import!A:J,6,0)</f>
        <v/>
      </c>
      <c r="G360" s="11">
        <f>VLOOKUP(A360,import!A:J,7,0)</f>
        <v>0</v>
      </c>
      <c r="H360" s="11">
        <f>VLOOKUP(A360,import!A:J,8,0)</f>
        <v>15</v>
      </c>
      <c r="I360" s="11">
        <f>VLOOKUP(A360,import!A:J,9,0)</f>
        <v>15</v>
      </c>
      <c r="J360" s="12">
        <f>VLOOKUP(A360,import!A:J,10,0)</f>
        <v>0</v>
      </c>
      <c r="K360" s="11" t="s">
        <v>184</v>
      </c>
      <c r="L360" s="11">
        <v>5.331429538E9</v>
      </c>
      <c r="M360" s="11" t="s">
        <v>47</v>
      </c>
      <c r="N360" s="11" t="s">
        <v>125</v>
      </c>
      <c r="O360" s="11" t="s">
        <v>185</v>
      </c>
      <c r="P360" s="11" t="str">
        <f>VLOOKUP(A360,import!A:P,16,0)</f>
        <v>Geleneksel</v>
      </c>
      <c r="Q360" s="13"/>
      <c r="R360" s="13" t="b">
        <v>1</v>
      </c>
      <c r="S360" s="13" t="b">
        <v>0</v>
      </c>
      <c r="T360" s="14" t="s">
        <v>168</v>
      </c>
      <c r="U360" s="14"/>
      <c r="V360" s="14"/>
      <c r="W360" s="14" t="s">
        <v>1794</v>
      </c>
      <c r="X360" s="24"/>
      <c r="Y360" s="24"/>
      <c r="Z360" s="18"/>
      <c r="AA360" s="19" t="s">
        <v>54</v>
      </c>
      <c r="AB360" s="20">
        <v>44599.0</v>
      </c>
      <c r="AC360" s="19"/>
      <c r="AD360" s="20"/>
      <c r="AE360" s="21"/>
      <c r="AF360" s="18"/>
      <c r="AG360" s="21"/>
      <c r="AH360" s="18"/>
      <c r="AI360" s="18"/>
      <c r="AJ360" s="18"/>
      <c r="AK360" s="19" t="s">
        <v>110</v>
      </c>
      <c r="AL360" s="19"/>
      <c r="AM360" s="18"/>
      <c r="AN360" s="18"/>
      <c r="AO360" s="18"/>
      <c r="AP360" s="22" t="s">
        <v>56</v>
      </c>
      <c r="AQ360" s="18"/>
    </row>
    <row r="361">
      <c r="A361" s="11" t="s">
        <v>1795</v>
      </c>
      <c r="B361" s="11" t="s">
        <v>1793</v>
      </c>
      <c r="C361" s="11" t="str">
        <f>VLOOKUP(A361,import!A:C,3,0)</f>
        <v>DOĞRU</v>
      </c>
      <c r="D361" s="11" t="s">
        <v>45</v>
      </c>
      <c r="E361" s="11">
        <f>VLOOKUP(A361,import!A:J,5,0)</f>
        <v>181</v>
      </c>
      <c r="F361" s="11">
        <f>VLOOKUP(A361,import!A:J,6,0)</f>
        <v>90</v>
      </c>
      <c r="G361" s="11">
        <f>VLOOKUP(A361,import!A:J,7,0)</f>
        <v>0</v>
      </c>
      <c r="H361" s="11">
        <f>VLOOKUP(A361,import!A:J,8,0)</f>
        <v>15</v>
      </c>
      <c r="I361" s="11">
        <f>VLOOKUP(A361,import!A:J,9,0)</f>
        <v>15</v>
      </c>
      <c r="J361" s="12">
        <f>VLOOKUP(A361,import!A:J,10,0)</f>
        <v>0</v>
      </c>
      <c r="K361" s="11" t="s">
        <v>188</v>
      </c>
      <c r="L361" s="11">
        <v>5.331429538E9</v>
      </c>
      <c r="M361" s="11" t="s">
        <v>47</v>
      </c>
      <c r="N361" s="11" t="s">
        <v>125</v>
      </c>
      <c r="O361" s="11" t="s">
        <v>185</v>
      </c>
      <c r="P361" s="11" t="str">
        <f>VLOOKUP(A361,import!A:P,16,0)</f>
        <v>Geleneksel</v>
      </c>
      <c r="Q361" s="13"/>
      <c r="R361" s="13" t="b">
        <v>1</v>
      </c>
      <c r="S361" s="13" t="b">
        <v>0</v>
      </c>
      <c r="T361" s="14" t="s">
        <v>133</v>
      </c>
      <c r="U361" s="14"/>
      <c r="V361" s="14"/>
      <c r="W361" s="14" t="s">
        <v>1796</v>
      </c>
      <c r="X361" s="24"/>
      <c r="Y361" s="24"/>
      <c r="Z361" s="18"/>
      <c r="AA361" s="19" t="s">
        <v>54</v>
      </c>
      <c r="AB361" s="20">
        <v>44634.0</v>
      </c>
      <c r="AC361" s="19" t="s">
        <v>54</v>
      </c>
      <c r="AD361" s="20">
        <v>44636.0</v>
      </c>
      <c r="AE361" s="19" t="s">
        <v>54</v>
      </c>
      <c r="AF361" s="20">
        <v>44676.0</v>
      </c>
      <c r="AG361" s="21"/>
      <c r="AH361" s="18"/>
      <c r="AI361" s="18"/>
      <c r="AJ361" s="18"/>
      <c r="AK361" s="19" t="s">
        <v>75</v>
      </c>
      <c r="AL361" s="19" t="s">
        <v>110</v>
      </c>
      <c r="AM361" s="19" t="s">
        <v>110</v>
      </c>
      <c r="AN361" s="18"/>
      <c r="AO361" s="18"/>
      <c r="AP361" s="22"/>
      <c r="AQ361" s="18"/>
    </row>
    <row r="362">
      <c r="A362" s="11" t="s">
        <v>1797</v>
      </c>
      <c r="B362" s="11" t="s">
        <v>1798</v>
      </c>
      <c r="C362" s="11" t="str">
        <f>VLOOKUP(A362,import!A:C,3,0)</f>
        <v>DOĞRU</v>
      </c>
      <c r="D362" s="11" t="s">
        <v>653</v>
      </c>
      <c r="E362" s="11">
        <f>VLOOKUP(A362,import!A:J,5,0)</f>
        <v>22</v>
      </c>
      <c r="F362" s="11">
        <f>VLOOKUP(A362,import!A:J,6,0)</f>
        <v>2</v>
      </c>
      <c r="G362" s="11">
        <f>VLOOKUP(A362,import!A:J,7,0)</f>
        <v>3</v>
      </c>
      <c r="H362" s="11">
        <f>VLOOKUP(A362,import!A:J,8,0)</f>
        <v>2</v>
      </c>
      <c r="I362" s="11">
        <f>VLOOKUP(A362,import!A:J,9,0)</f>
        <v>5</v>
      </c>
      <c r="J362" s="12">
        <f>VLOOKUP(A362,import!A:J,10,0)</f>
        <v>0.6</v>
      </c>
      <c r="K362" s="11" t="s">
        <v>1799</v>
      </c>
      <c r="L362" s="11">
        <v>3.52503949E9</v>
      </c>
      <c r="M362" s="11" t="s">
        <v>61</v>
      </c>
      <c r="N362" s="11" t="s">
        <v>320</v>
      </c>
      <c r="O362" s="11" t="s">
        <v>1800</v>
      </c>
      <c r="P362" s="11" t="str">
        <f>VLOOKUP(A362,import!A:P,16,0)</f>
        <v>Geleneksel</v>
      </c>
      <c r="Q362" s="13"/>
      <c r="R362" s="13" t="b">
        <v>1</v>
      </c>
      <c r="S362" s="13" t="b">
        <v>0</v>
      </c>
      <c r="T362" s="14" t="s">
        <v>74</v>
      </c>
      <c r="U362" s="14" t="s">
        <v>86</v>
      </c>
      <c r="V362" s="23" t="s">
        <v>76</v>
      </c>
      <c r="W362" s="14" t="s">
        <v>1801</v>
      </c>
      <c r="X362" s="24">
        <v>44594.0</v>
      </c>
      <c r="Y362" s="24">
        <v>44595.0</v>
      </c>
      <c r="Z362" s="18"/>
      <c r="AA362" s="19" t="s">
        <v>54</v>
      </c>
      <c r="AB362" s="20">
        <v>44594.0</v>
      </c>
      <c r="AC362" s="19"/>
      <c r="AD362" s="20"/>
      <c r="AE362" s="21"/>
      <c r="AF362" s="18"/>
      <c r="AG362" s="21"/>
      <c r="AH362" s="18"/>
      <c r="AI362" s="18"/>
      <c r="AJ362" s="18"/>
      <c r="AK362" s="19" t="s">
        <v>86</v>
      </c>
      <c r="AL362" s="19"/>
      <c r="AM362" s="18"/>
      <c r="AN362" s="18"/>
      <c r="AO362" s="18"/>
      <c r="AP362" s="22"/>
      <c r="AQ362" s="18"/>
    </row>
    <row r="363">
      <c r="A363" s="11" t="s">
        <v>1802</v>
      </c>
      <c r="B363" s="11" t="s">
        <v>1803</v>
      </c>
      <c r="C363" s="11" t="str">
        <f>VLOOKUP(A363,import!A:C,3,0)</f>
        <v>DOĞRU</v>
      </c>
      <c r="D363" s="11" t="s">
        <v>653</v>
      </c>
      <c r="E363" s="11">
        <f>VLOOKUP(A363,import!A:J,5,0)</f>
        <v>1090</v>
      </c>
      <c r="F363" s="11">
        <f>VLOOKUP(A363,import!A:J,6,0)</f>
        <v>20</v>
      </c>
      <c r="G363" s="11">
        <f>VLOOKUP(A363,import!A:J,7,0)</f>
        <v>0</v>
      </c>
      <c r="H363" s="11">
        <f>VLOOKUP(A363,import!A:J,8,0)</f>
        <v>5</v>
      </c>
      <c r="I363" s="11">
        <f>VLOOKUP(A363,import!A:J,9,0)</f>
        <v>5</v>
      </c>
      <c r="J363" s="12">
        <f>VLOOKUP(A363,import!A:J,10,0)</f>
        <v>0</v>
      </c>
      <c r="K363" s="11" t="s">
        <v>1804</v>
      </c>
      <c r="L363" s="11">
        <v>3.525049494E9</v>
      </c>
      <c r="M363" s="11" t="s">
        <v>61</v>
      </c>
      <c r="N363" s="11" t="s">
        <v>62</v>
      </c>
      <c r="O363" s="11" t="s">
        <v>1805</v>
      </c>
      <c r="P363" s="11" t="str">
        <f>VLOOKUP(A363,import!A:P,16,0)</f>
        <v>Geleneksel</v>
      </c>
      <c r="Q363" s="13"/>
      <c r="R363" s="13" t="b">
        <v>1</v>
      </c>
      <c r="S363" s="13" t="b">
        <v>0</v>
      </c>
      <c r="T363" s="14" t="s">
        <v>94</v>
      </c>
      <c r="U363" s="14" t="s">
        <v>86</v>
      </c>
      <c r="V363" s="14"/>
      <c r="W363" s="14"/>
      <c r="X363" s="24">
        <v>44579.0</v>
      </c>
      <c r="Y363" s="24">
        <v>44581.0</v>
      </c>
      <c r="Z363" s="18"/>
      <c r="AA363" s="19" t="s">
        <v>54</v>
      </c>
      <c r="AB363" s="20">
        <v>44579.0</v>
      </c>
      <c r="AC363" s="19"/>
      <c r="AD363" s="20"/>
      <c r="AE363" s="21"/>
      <c r="AF363" s="18"/>
      <c r="AG363" s="21"/>
      <c r="AH363" s="18"/>
      <c r="AI363" s="18"/>
      <c r="AJ363" s="18"/>
      <c r="AK363" s="19" t="s">
        <v>86</v>
      </c>
      <c r="AL363" s="19"/>
      <c r="AM363" s="18"/>
      <c r="AN363" s="18"/>
      <c r="AO363" s="18"/>
      <c r="AP363" s="22" t="s">
        <v>56</v>
      </c>
      <c r="AQ363" s="18"/>
    </row>
    <row r="364">
      <c r="A364" s="11" t="s">
        <v>1806</v>
      </c>
      <c r="B364" s="11" t="s">
        <v>1807</v>
      </c>
      <c r="C364" s="11" t="str">
        <f>VLOOKUP(A364,import!A:C,3,0)</f>
        <v>YANLIŞ</v>
      </c>
      <c r="D364" s="11" t="s">
        <v>172</v>
      </c>
      <c r="E364" s="11">
        <f>VLOOKUP(A364,import!A:J,5,0)</f>
        <v>1095</v>
      </c>
      <c r="F364" s="11" t="str">
        <f>VLOOKUP(A364,import!A:J,6,0)</f>
        <v/>
      </c>
      <c r="G364" s="11">
        <f>VLOOKUP(A364,import!A:J,7,0)</f>
        <v>0</v>
      </c>
      <c r="H364" s="11">
        <f>VLOOKUP(A364,import!A:J,8,0)</f>
        <v>16</v>
      </c>
      <c r="I364" s="11">
        <f>VLOOKUP(A364,import!A:J,9,0)</f>
        <v>16</v>
      </c>
      <c r="J364" s="12">
        <f>VLOOKUP(A364,import!A:J,10,0)</f>
        <v>0</v>
      </c>
      <c r="K364" s="11" t="s">
        <v>1808</v>
      </c>
      <c r="L364" s="11">
        <v>5.052930859E9</v>
      </c>
      <c r="M364" s="11" t="s">
        <v>47</v>
      </c>
      <c r="N364" s="11" t="s">
        <v>391</v>
      </c>
      <c r="O364" s="11" t="s">
        <v>1809</v>
      </c>
      <c r="P364" s="11" t="str">
        <f>VLOOKUP(A364,import!A:P,16,0)</f>
        <v>Geleneksel</v>
      </c>
      <c r="Q364" s="13"/>
      <c r="R364" s="13" t="b">
        <v>1</v>
      </c>
      <c r="S364" s="13" t="b">
        <v>1</v>
      </c>
      <c r="T364" s="14"/>
      <c r="U364" s="14"/>
      <c r="V364" s="14"/>
      <c r="W364" s="14" t="s">
        <v>1810</v>
      </c>
      <c r="X364" s="24"/>
      <c r="Y364" s="24"/>
      <c r="Z364" s="18"/>
      <c r="AA364" s="19" t="s">
        <v>53</v>
      </c>
      <c r="AB364" s="20">
        <v>44358.0</v>
      </c>
      <c r="AC364" s="18"/>
      <c r="AD364" s="18"/>
      <c r="AE364" s="21"/>
      <c r="AF364" s="18"/>
      <c r="AG364" s="21"/>
      <c r="AH364" s="18"/>
      <c r="AI364" s="18"/>
      <c r="AJ364" s="18"/>
      <c r="AK364" s="19" t="s">
        <v>55</v>
      </c>
      <c r="AL364" s="18"/>
      <c r="AM364" s="18"/>
      <c r="AN364" s="18"/>
      <c r="AO364" s="18"/>
      <c r="AP364" s="22" t="s">
        <v>56</v>
      </c>
      <c r="AQ364" s="18"/>
    </row>
    <row r="365">
      <c r="A365" s="11" t="s">
        <v>1811</v>
      </c>
      <c r="B365" s="11" t="s">
        <v>1812</v>
      </c>
      <c r="C365" s="11" t="str">
        <f>VLOOKUP(A365,import!A:C,3,0)</f>
        <v>DOĞRU</v>
      </c>
      <c r="D365" s="11" t="s">
        <v>172</v>
      </c>
      <c r="E365" s="11">
        <f>VLOOKUP(A365,import!A:J,5,0)</f>
        <v>29</v>
      </c>
      <c r="F365" s="11" t="str">
        <f>VLOOKUP(A365,import!A:J,6,0)</f>
        <v/>
      </c>
      <c r="G365" s="11">
        <f>VLOOKUP(A365,import!A:J,7,0)</f>
        <v>6</v>
      </c>
      <c r="H365" s="11">
        <f>VLOOKUP(A365,import!A:J,8,0)</f>
        <v>6</v>
      </c>
      <c r="I365" s="11">
        <f>VLOOKUP(A365,import!A:J,9,0)</f>
        <v>12</v>
      </c>
      <c r="J365" s="12">
        <f>VLOOKUP(A365,import!A:J,10,0)</f>
        <v>0.5</v>
      </c>
      <c r="K365" s="11" t="s">
        <v>1813</v>
      </c>
      <c r="L365" s="11">
        <v>3.522315564E9</v>
      </c>
      <c r="M365" s="11" t="s">
        <v>71</v>
      </c>
      <c r="N365" s="11" t="s">
        <v>1814</v>
      </c>
      <c r="O365" s="11" t="s">
        <v>1815</v>
      </c>
      <c r="P365" s="11" t="str">
        <f>VLOOKUP(A365,import!A:P,16,0)</f>
        <v>Geleneksel</v>
      </c>
      <c r="Q365" s="13"/>
      <c r="R365" s="13" t="b">
        <v>1</v>
      </c>
      <c r="S365" s="13" t="b">
        <v>0</v>
      </c>
      <c r="T365" s="14" t="s">
        <v>74</v>
      </c>
      <c r="U365" s="14" t="s">
        <v>75</v>
      </c>
      <c r="V365" s="35" t="s">
        <v>76</v>
      </c>
      <c r="W365" s="14"/>
      <c r="X365" s="24">
        <v>44641.0</v>
      </c>
      <c r="Y365" s="24">
        <v>44642.0</v>
      </c>
      <c r="Z365" s="18"/>
      <c r="AA365" s="19" t="s">
        <v>54</v>
      </c>
      <c r="AB365" s="24">
        <v>44641.0</v>
      </c>
      <c r="AC365" s="19"/>
      <c r="AD365" s="20"/>
      <c r="AE365" s="19"/>
      <c r="AF365" s="20"/>
      <c r="AG365" s="21"/>
      <c r="AH365" s="18"/>
      <c r="AI365" s="18"/>
      <c r="AJ365" s="18"/>
      <c r="AK365" s="19" t="s">
        <v>75</v>
      </c>
      <c r="AL365" s="19"/>
      <c r="AM365" s="19"/>
      <c r="AN365" s="18"/>
      <c r="AO365" s="18"/>
      <c r="AP365" s="22"/>
      <c r="AQ365" s="18"/>
    </row>
    <row r="366">
      <c r="A366" s="11" t="s">
        <v>1816</v>
      </c>
      <c r="B366" s="11" t="s">
        <v>1817</v>
      </c>
      <c r="C366" s="11" t="str">
        <f>VLOOKUP(A366,import!A:C,3,0)</f>
        <v>DOĞRU</v>
      </c>
      <c r="D366" s="11" t="s">
        <v>453</v>
      </c>
      <c r="E366" s="11">
        <f>VLOOKUP(A366,import!A:J,5,0)</f>
        <v>31</v>
      </c>
      <c r="F366" s="11" t="str">
        <f>VLOOKUP(A366,import!A:J,6,0)</f>
        <v/>
      </c>
      <c r="G366" s="11">
        <f>VLOOKUP(A366,import!A:J,7,0)</f>
        <v>4</v>
      </c>
      <c r="H366" s="11">
        <f>VLOOKUP(A366,import!A:J,8,0)</f>
        <v>2</v>
      </c>
      <c r="I366" s="11">
        <f>VLOOKUP(A366,import!A:J,9,0)</f>
        <v>6</v>
      </c>
      <c r="J366" s="12">
        <f>VLOOKUP(A366,import!A:J,10,0)</f>
        <v>0.67</v>
      </c>
      <c r="K366" s="11" t="s">
        <v>1818</v>
      </c>
      <c r="L366" s="11">
        <v>3.522312135E9</v>
      </c>
      <c r="M366" s="11" t="s">
        <v>47</v>
      </c>
      <c r="N366" s="11" t="s">
        <v>1048</v>
      </c>
      <c r="O366" s="11" t="s">
        <v>1819</v>
      </c>
      <c r="P366" s="11" t="str">
        <f>VLOOKUP(A366,import!A:P,16,0)</f>
        <v>Geleneksel</v>
      </c>
      <c r="Q366" s="13"/>
      <c r="R366" s="13" t="b">
        <v>1</v>
      </c>
      <c r="S366" s="13" t="b">
        <v>0</v>
      </c>
      <c r="T366" s="14" t="s">
        <v>74</v>
      </c>
      <c r="U366" s="14" t="s">
        <v>80</v>
      </c>
      <c r="V366" s="14"/>
      <c r="W366" s="14"/>
      <c r="X366" s="24">
        <v>44628.0</v>
      </c>
      <c r="Y366" s="24">
        <v>44629.0</v>
      </c>
      <c r="Z366" s="18"/>
      <c r="AA366" s="19" t="s">
        <v>54</v>
      </c>
      <c r="AB366" s="20">
        <v>44628.0</v>
      </c>
      <c r="AC366" s="19"/>
      <c r="AD366" s="20"/>
      <c r="AE366" s="19"/>
      <c r="AF366" s="20"/>
      <c r="AG366" s="21"/>
      <c r="AH366" s="18"/>
      <c r="AI366" s="18"/>
      <c r="AJ366" s="18"/>
      <c r="AK366" s="19" t="s">
        <v>80</v>
      </c>
      <c r="AL366" s="19"/>
      <c r="AM366" s="19"/>
      <c r="AN366" s="18"/>
      <c r="AO366" s="18"/>
      <c r="AP366" s="22"/>
      <c r="AQ366" s="18"/>
    </row>
    <row r="367">
      <c r="A367" s="11" t="s">
        <v>1820</v>
      </c>
      <c r="B367" s="11" t="s">
        <v>1821</v>
      </c>
      <c r="C367" s="11" t="str">
        <f>VLOOKUP(A367,import!A:C,3,0)</f>
        <v>DOĞRU</v>
      </c>
      <c r="D367" s="11" t="s">
        <v>59</v>
      </c>
      <c r="E367" s="11">
        <f>VLOOKUP(A367,import!A:J,5,0)</f>
        <v>843</v>
      </c>
      <c r="F367" s="11">
        <f>VLOOKUP(A367,import!A:J,6,0)</f>
        <v>44</v>
      </c>
      <c r="G367" s="11">
        <f>VLOOKUP(A367,import!A:J,7,0)</f>
        <v>0</v>
      </c>
      <c r="H367" s="11">
        <f>VLOOKUP(A367,import!A:J,8,0)</f>
        <v>6</v>
      </c>
      <c r="I367" s="11">
        <f>VLOOKUP(A367,import!A:J,9,0)</f>
        <v>6</v>
      </c>
      <c r="J367" s="12">
        <f>VLOOKUP(A367,import!A:J,10,0)</f>
        <v>0</v>
      </c>
      <c r="K367" s="11" t="s">
        <v>1822</v>
      </c>
      <c r="L367" s="11">
        <v>3.524313136E9</v>
      </c>
      <c r="M367" s="11" t="s">
        <v>47</v>
      </c>
      <c r="N367" s="11" t="s">
        <v>448</v>
      </c>
      <c r="O367" s="11" t="s">
        <v>1823</v>
      </c>
      <c r="P367" s="11" t="str">
        <f>VLOOKUP(A367,import!A:P,16,0)</f>
        <v>Geleneksel</v>
      </c>
      <c r="Q367" s="13"/>
      <c r="R367" s="13" t="b">
        <v>1</v>
      </c>
      <c r="S367" s="13" t="b">
        <v>0</v>
      </c>
      <c r="T367" s="14" t="s">
        <v>64</v>
      </c>
      <c r="U367" s="14"/>
      <c r="V367" s="14"/>
      <c r="W367" s="14" t="s">
        <v>1824</v>
      </c>
      <c r="X367" s="24"/>
      <c r="Y367" s="24"/>
      <c r="Z367" s="18"/>
      <c r="AA367" s="19" t="s">
        <v>347</v>
      </c>
      <c r="AB367" s="20">
        <v>44586.0</v>
      </c>
      <c r="AC367" s="19" t="s">
        <v>347</v>
      </c>
      <c r="AD367" s="20">
        <v>44601.0</v>
      </c>
      <c r="AE367" s="19" t="s">
        <v>54</v>
      </c>
      <c r="AF367" s="20">
        <v>44636.0</v>
      </c>
      <c r="AG367" s="21"/>
      <c r="AH367" s="18"/>
      <c r="AI367" s="18"/>
      <c r="AJ367" s="18"/>
      <c r="AK367" s="19" t="s">
        <v>110</v>
      </c>
      <c r="AL367" s="19" t="s">
        <v>110</v>
      </c>
      <c r="AM367" s="19" t="s">
        <v>110</v>
      </c>
      <c r="AN367" s="18"/>
      <c r="AO367" s="18"/>
      <c r="AP367" s="22" t="s">
        <v>56</v>
      </c>
      <c r="AQ367" s="18"/>
    </row>
    <row r="368">
      <c r="A368" s="11" t="s">
        <v>1825</v>
      </c>
      <c r="B368" s="11" t="s">
        <v>1826</v>
      </c>
      <c r="C368" s="11" t="str">
        <f>VLOOKUP(A368,import!A:C,3,0)</f>
        <v>DOĞRU</v>
      </c>
      <c r="D368" s="11" t="s">
        <v>406</v>
      </c>
      <c r="E368" s="11">
        <f>VLOOKUP(A368,import!A:J,5,0)</f>
        <v>158</v>
      </c>
      <c r="F368" s="11">
        <f>VLOOKUP(A368,import!A:J,6,0)</f>
        <v>57</v>
      </c>
      <c r="G368" s="11">
        <f>VLOOKUP(A368,import!A:J,7,0)</f>
        <v>3</v>
      </c>
      <c r="H368" s="11">
        <f>VLOOKUP(A368,import!A:J,8,0)</f>
        <v>13</v>
      </c>
      <c r="I368" s="11">
        <f>VLOOKUP(A368,import!A:J,9,0)</f>
        <v>16</v>
      </c>
      <c r="J368" s="12">
        <f>VLOOKUP(A368,import!A:J,10,0)</f>
        <v>0.19</v>
      </c>
      <c r="K368" s="11" t="s">
        <v>1827</v>
      </c>
      <c r="L368" s="11">
        <v>3.52241414E9</v>
      </c>
      <c r="M368" s="11" t="s">
        <v>71</v>
      </c>
      <c r="N368" s="11" t="s">
        <v>1828</v>
      </c>
      <c r="O368" s="11" t="s">
        <v>1829</v>
      </c>
      <c r="P368" s="11" t="str">
        <f>VLOOKUP(A368,import!A:P,16,0)</f>
        <v>Geleneksel</v>
      </c>
      <c r="Q368" s="13"/>
      <c r="R368" s="13" t="b">
        <v>1</v>
      </c>
      <c r="S368" s="13" t="b">
        <v>0</v>
      </c>
      <c r="T368" s="14" t="s">
        <v>74</v>
      </c>
      <c r="U368" s="14" t="s">
        <v>110</v>
      </c>
      <c r="V368" s="30" t="s">
        <v>76</v>
      </c>
      <c r="W368" s="14"/>
      <c r="X368" s="24">
        <v>44637.0</v>
      </c>
      <c r="Y368" s="24">
        <v>44638.0</v>
      </c>
      <c r="Z368" s="18"/>
      <c r="AA368" s="19" t="s">
        <v>54</v>
      </c>
      <c r="AB368" s="20">
        <v>44637.0</v>
      </c>
      <c r="AC368" s="19"/>
      <c r="AD368" s="20"/>
      <c r="AE368" s="19"/>
      <c r="AF368" s="20"/>
      <c r="AG368" s="21"/>
      <c r="AH368" s="18"/>
      <c r="AI368" s="18"/>
      <c r="AJ368" s="18"/>
      <c r="AK368" s="19" t="s">
        <v>110</v>
      </c>
      <c r="AL368" s="19"/>
      <c r="AM368" s="19"/>
      <c r="AN368" s="18"/>
      <c r="AO368" s="18"/>
      <c r="AP368" s="22"/>
      <c r="AQ368" s="18"/>
    </row>
    <row r="369">
      <c r="A369" s="11" t="s">
        <v>1830</v>
      </c>
      <c r="B369" s="11" t="s">
        <v>1831</v>
      </c>
      <c r="C369" s="11" t="str">
        <f>VLOOKUP(A369,import!A:C,3,0)</f>
        <v>YANLIŞ</v>
      </c>
      <c r="D369" s="11" t="s">
        <v>100</v>
      </c>
      <c r="E369" s="11">
        <f>VLOOKUP(A369,import!A:J,5,0)</f>
        <v>504</v>
      </c>
      <c r="F369" s="11" t="str">
        <f>VLOOKUP(A369,import!A:J,6,0)</f>
        <v/>
      </c>
      <c r="G369" s="11">
        <f>VLOOKUP(A369,import!A:J,7,0)</f>
        <v>7</v>
      </c>
      <c r="H369" s="11">
        <f>VLOOKUP(A369,import!A:J,8,0)</f>
        <v>5</v>
      </c>
      <c r="I369" s="11">
        <f>VLOOKUP(A369,import!A:J,9,0)</f>
        <v>12</v>
      </c>
      <c r="J369" s="12">
        <f>VLOOKUP(A369,import!A:J,10,0)</f>
        <v>0.58</v>
      </c>
      <c r="K369" s="11" t="s">
        <v>84</v>
      </c>
      <c r="L369" s="11">
        <v>5.370444907E9</v>
      </c>
      <c r="M369" s="11" t="s">
        <v>61</v>
      </c>
      <c r="N369" s="11" t="s">
        <v>62</v>
      </c>
      <c r="O369" s="11" t="s">
        <v>85</v>
      </c>
      <c r="P369" s="11" t="str">
        <f>VLOOKUP(A369,import!A:P,16,0)</f>
        <v>Geleneksel</v>
      </c>
      <c r="Q369" s="13"/>
      <c r="R369" s="13" t="b">
        <v>1</v>
      </c>
      <c r="S369" s="13" t="b">
        <v>0</v>
      </c>
      <c r="T369" s="25"/>
      <c r="U369" s="25"/>
      <c r="V369" s="25"/>
      <c r="W369" s="25"/>
      <c r="X369" s="34"/>
      <c r="Y369" s="34"/>
      <c r="Z369" s="18"/>
      <c r="AA369" s="18"/>
      <c r="AB369" s="18"/>
      <c r="AC369" s="18"/>
      <c r="AD369" s="18"/>
      <c r="AE369" s="21"/>
      <c r="AF369" s="18"/>
      <c r="AG369" s="21"/>
      <c r="AH369" s="18"/>
      <c r="AI369" s="18"/>
      <c r="AJ369" s="18"/>
      <c r="AK369" s="18"/>
      <c r="AL369" s="18"/>
      <c r="AM369" s="18"/>
      <c r="AN369" s="18"/>
      <c r="AO369" s="18"/>
      <c r="AP369" s="22" t="s">
        <v>56</v>
      </c>
      <c r="AQ369" s="18"/>
    </row>
    <row r="370">
      <c r="A370" s="11" t="s">
        <v>1832</v>
      </c>
      <c r="B370" s="11" t="s">
        <v>1833</v>
      </c>
      <c r="C370" s="11" t="str">
        <f>VLOOKUP(A370,import!A:C,3,0)</f>
        <v>DOĞRU</v>
      </c>
      <c r="D370" s="11" t="s">
        <v>69</v>
      </c>
      <c r="E370" s="11">
        <f>VLOOKUP(A370,import!A:J,5,0)</f>
        <v>244</v>
      </c>
      <c r="F370" s="11">
        <f>VLOOKUP(A370,import!A:J,6,0)</f>
        <v>16</v>
      </c>
      <c r="G370" s="11">
        <f>VLOOKUP(A370,import!A:J,7,0)</f>
        <v>26</v>
      </c>
      <c r="H370" s="11">
        <f>VLOOKUP(A370,import!A:J,8,0)</f>
        <v>75</v>
      </c>
      <c r="I370" s="11">
        <f>VLOOKUP(A370,import!A:J,9,0)</f>
        <v>101</v>
      </c>
      <c r="J370" s="12">
        <f>VLOOKUP(A370,import!A:J,10,0)</f>
        <v>0.26</v>
      </c>
      <c r="K370" s="11" t="s">
        <v>1834</v>
      </c>
      <c r="L370" s="11">
        <v>8.50840029E9</v>
      </c>
      <c r="M370" s="11" t="s">
        <v>71</v>
      </c>
      <c r="N370" s="11" t="s">
        <v>1116</v>
      </c>
      <c r="O370" s="11" t="s">
        <v>1835</v>
      </c>
      <c r="P370" s="11" t="str">
        <f>VLOOKUP(A370,import!A:P,16,0)</f>
        <v>Geleneksel</v>
      </c>
      <c r="Q370" s="13"/>
      <c r="R370" s="13" t="b">
        <v>1</v>
      </c>
      <c r="S370" s="13" t="b">
        <v>0</v>
      </c>
      <c r="T370" s="14" t="s">
        <v>74</v>
      </c>
      <c r="U370" s="14" t="s">
        <v>95</v>
      </c>
      <c r="V370" s="31" t="s">
        <v>96</v>
      </c>
      <c r="W370" s="14" t="s">
        <v>1836</v>
      </c>
      <c r="X370" s="24">
        <v>44347.0</v>
      </c>
      <c r="Y370" s="24">
        <v>44350.0</v>
      </c>
      <c r="Z370" s="19" t="s">
        <v>711</v>
      </c>
      <c r="AA370" s="19" t="s">
        <v>54</v>
      </c>
      <c r="AB370" s="20">
        <v>44227.0</v>
      </c>
      <c r="AC370" s="18"/>
      <c r="AD370" s="18"/>
      <c r="AE370" s="21"/>
      <c r="AF370" s="18"/>
      <c r="AG370" s="21"/>
      <c r="AH370" s="18"/>
      <c r="AI370" s="18"/>
      <c r="AJ370" s="18"/>
      <c r="AK370" s="19" t="s">
        <v>95</v>
      </c>
      <c r="AL370" s="18"/>
      <c r="AM370" s="18"/>
      <c r="AN370" s="18"/>
      <c r="AO370" s="18"/>
      <c r="AP370" s="22" t="s">
        <v>56</v>
      </c>
      <c r="AQ370" s="18"/>
    </row>
    <row r="371">
      <c r="A371" s="11" t="s">
        <v>1837</v>
      </c>
      <c r="B371" s="11" t="s">
        <v>1838</v>
      </c>
      <c r="C371" s="11" t="str">
        <f>VLOOKUP(A371,import!A:C,3,0)</f>
        <v>DOĞRU</v>
      </c>
      <c r="D371" s="11" t="s">
        <v>100</v>
      </c>
      <c r="E371" s="11">
        <f>VLOOKUP(A371,import!A:J,5,0)</f>
        <v>442</v>
      </c>
      <c r="F371" s="11">
        <f>VLOOKUP(A371,import!A:J,6,0)</f>
        <v>31</v>
      </c>
      <c r="G371" s="11">
        <f>VLOOKUP(A371,import!A:J,7,0)</f>
        <v>9</v>
      </c>
      <c r="H371" s="11">
        <f>VLOOKUP(A371,import!A:J,8,0)</f>
        <v>6</v>
      </c>
      <c r="I371" s="11">
        <f>VLOOKUP(A371,import!A:J,9,0)</f>
        <v>15</v>
      </c>
      <c r="J371" s="12">
        <f>VLOOKUP(A371,import!A:J,10,0)</f>
        <v>0.6</v>
      </c>
      <c r="K371" s="11" t="s">
        <v>1839</v>
      </c>
      <c r="L371" s="11">
        <v>5.331583138E9</v>
      </c>
      <c r="M371" s="11" t="s">
        <v>71</v>
      </c>
      <c r="N371" s="11" t="s">
        <v>1582</v>
      </c>
      <c r="O371" s="11" t="s">
        <v>1840</v>
      </c>
      <c r="P371" s="11" t="str">
        <f>VLOOKUP(A371,import!A:P,16,0)</f>
        <v>Geleneksel</v>
      </c>
      <c r="Q371" s="13"/>
      <c r="R371" s="13" t="b">
        <v>1</v>
      </c>
      <c r="S371" s="13" t="b">
        <v>0</v>
      </c>
      <c r="T371" s="14" t="s">
        <v>74</v>
      </c>
      <c r="U371" s="14" t="s">
        <v>110</v>
      </c>
      <c r="V371" s="30" t="s">
        <v>76</v>
      </c>
      <c r="W371" s="14"/>
      <c r="X371" s="24">
        <v>44620.0</v>
      </c>
      <c r="Y371" s="24">
        <v>44621.0</v>
      </c>
      <c r="Z371" s="18"/>
      <c r="AA371" s="19" t="s">
        <v>54</v>
      </c>
      <c r="AB371" s="20">
        <v>44620.0</v>
      </c>
      <c r="AC371" s="19"/>
      <c r="AD371" s="20"/>
      <c r="AE371" s="21"/>
      <c r="AF371" s="18"/>
      <c r="AG371" s="21"/>
      <c r="AH371" s="18"/>
      <c r="AI371" s="18"/>
      <c r="AJ371" s="18"/>
      <c r="AK371" s="19" t="s">
        <v>110</v>
      </c>
      <c r="AL371" s="19"/>
      <c r="AM371" s="18"/>
      <c r="AN371" s="18"/>
      <c r="AO371" s="18"/>
      <c r="AP371" s="22"/>
      <c r="AQ371" s="18"/>
    </row>
    <row r="372">
      <c r="A372" s="11" t="s">
        <v>1841</v>
      </c>
      <c r="B372" s="11" t="s">
        <v>1842</v>
      </c>
      <c r="C372" s="11" t="str">
        <f>VLOOKUP(A372,import!A:C,3,0)</f>
        <v>DOĞRU</v>
      </c>
      <c r="D372" s="11" t="s">
        <v>406</v>
      </c>
      <c r="E372" s="11">
        <f>VLOOKUP(A372,import!A:J,5,0)</f>
        <v>104</v>
      </c>
      <c r="F372" s="11">
        <f>VLOOKUP(A372,import!A:J,6,0)</f>
        <v>2</v>
      </c>
      <c r="G372" s="11">
        <f>VLOOKUP(A372,import!A:J,7,0)</f>
        <v>5</v>
      </c>
      <c r="H372" s="11">
        <f>VLOOKUP(A372,import!A:J,8,0)</f>
        <v>8</v>
      </c>
      <c r="I372" s="11">
        <f>VLOOKUP(A372,import!A:J,9,0)</f>
        <v>13</v>
      </c>
      <c r="J372" s="12">
        <f>VLOOKUP(A372,import!A:J,10,0)</f>
        <v>0.38</v>
      </c>
      <c r="K372" s="11" t="s">
        <v>1843</v>
      </c>
      <c r="L372" s="11">
        <v>3.525035768E9</v>
      </c>
      <c r="M372" s="11" t="s">
        <v>47</v>
      </c>
      <c r="N372" s="11" t="s">
        <v>1085</v>
      </c>
      <c r="O372" s="11" t="s">
        <v>1844</v>
      </c>
      <c r="P372" s="11" t="str">
        <f>VLOOKUP(A372,import!A:P,16,0)</f>
        <v>Geleneksel</v>
      </c>
      <c r="Q372" s="13"/>
      <c r="R372" s="13" t="b">
        <v>1</v>
      </c>
      <c r="S372" s="13" t="b">
        <v>0</v>
      </c>
      <c r="T372" s="14" t="s">
        <v>74</v>
      </c>
      <c r="U372" s="14" t="s">
        <v>75</v>
      </c>
      <c r="V372" s="23" t="s">
        <v>76</v>
      </c>
      <c r="W372" s="14"/>
      <c r="X372" s="24">
        <v>44632.0</v>
      </c>
      <c r="Y372" s="24">
        <v>44634.0</v>
      </c>
      <c r="Z372" s="18"/>
      <c r="AA372" s="19" t="s">
        <v>54</v>
      </c>
      <c r="AB372" s="24">
        <v>44632.0</v>
      </c>
      <c r="AC372" s="19"/>
      <c r="AD372" s="20"/>
      <c r="AE372" s="19"/>
      <c r="AF372" s="20"/>
      <c r="AG372" s="21"/>
      <c r="AH372" s="18"/>
      <c r="AI372" s="18"/>
      <c r="AJ372" s="18"/>
      <c r="AK372" s="19" t="s">
        <v>75</v>
      </c>
      <c r="AL372" s="19"/>
      <c r="AM372" s="19"/>
      <c r="AN372" s="18"/>
      <c r="AO372" s="18"/>
      <c r="AP372" s="22"/>
      <c r="AQ372" s="18"/>
    </row>
    <row r="373">
      <c r="A373" s="11" t="s">
        <v>1845</v>
      </c>
      <c r="B373" s="11" t="s">
        <v>1846</v>
      </c>
      <c r="C373" s="11" t="str">
        <f>VLOOKUP(A373,import!A:C,3,0)</f>
        <v>YANLIŞ</v>
      </c>
      <c r="D373" s="11" t="s">
        <v>406</v>
      </c>
      <c r="E373" s="11">
        <f>VLOOKUP(A373,import!A:J,5,0)</f>
        <v>417</v>
      </c>
      <c r="F373" s="11" t="str">
        <f>VLOOKUP(A373,import!A:J,6,0)</f>
        <v/>
      </c>
      <c r="G373" s="11">
        <f>VLOOKUP(A373,import!A:J,7,0)</f>
        <v>0</v>
      </c>
      <c r="H373" s="11">
        <f>VLOOKUP(A373,import!A:J,8,0)</f>
        <v>18</v>
      </c>
      <c r="I373" s="11">
        <f>VLOOKUP(A373,import!A:J,9,0)</f>
        <v>18</v>
      </c>
      <c r="J373" s="12">
        <f>VLOOKUP(A373,import!A:J,10,0)</f>
        <v>0</v>
      </c>
      <c r="K373" s="11" t="s">
        <v>1847</v>
      </c>
      <c r="L373" s="11">
        <v>3.524383858E9</v>
      </c>
      <c r="M373" s="11" t="s">
        <v>61</v>
      </c>
      <c r="N373" s="11" t="s">
        <v>250</v>
      </c>
      <c r="O373" s="11" t="s">
        <v>1848</v>
      </c>
      <c r="P373" s="11" t="str">
        <f>VLOOKUP(A373,import!A:P,16,0)</f>
        <v>Geleneksel</v>
      </c>
      <c r="Q373" s="13"/>
      <c r="R373" s="13" t="b">
        <v>1</v>
      </c>
      <c r="S373" s="13" t="b">
        <v>0</v>
      </c>
      <c r="T373" s="14" t="s">
        <v>53</v>
      </c>
      <c r="U373" s="14"/>
      <c r="V373" s="31"/>
      <c r="W373" s="31" t="s">
        <v>1849</v>
      </c>
      <c r="X373" s="24"/>
      <c r="Y373" s="24"/>
      <c r="Z373" s="18"/>
      <c r="AA373" s="19"/>
      <c r="AB373" s="20">
        <v>44593.0</v>
      </c>
      <c r="AC373" s="19"/>
      <c r="AD373" s="20"/>
      <c r="AE373" s="21"/>
      <c r="AF373" s="18"/>
      <c r="AG373" s="21"/>
      <c r="AH373" s="18"/>
      <c r="AI373" s="18"/>
      <c r="AJ373" s="18"/>
      <c r="AK373" s="19" t="s">
        <v>381</v>
      </c>
      <c r="AL373" s="19"/>
      <c r="AM373" s="18"/>
      <c r="AN373" s="18"/>
      <c r="AO373" s="18"/>
      <c r="AP373" s="22" t="s">
        <v>56</v>
      </c>
      <c r="AQ373" s="18"/>
    </row>
    <row r="374">
      <c r="A374" s="11" t="s">
        <v>1850</v>
      </c>
      <c r="B374" s="11" t="s">
        <v>1851</v>
      </c>
      <c r="C374" s="11" t="str">
        <f>VLOOKUP(A374,import!A:C,3,0)</f>
        <v>DOĞRU</v>
      </c>
      <c r="D374" s="11" t="s">
        <v>406</v>
      </c>
      <c r="E374" s="11">
        <f>VLOOKUP(A374,import!A:J,5,0)</f>
        <v>1343</v>
      </c>
      <c r="F374" s="11">
        <f>VLOOKUP(A374,import!A:J,6,0)</f>
        <v>30</v>
      </c>
      <c r="G374" s="11">
        <f>VLOOKUP(A374,import!A:J,7,0)</f>
        <v>4</v>
      </c>
      <c r="H374" s="11">
        <f>VLOOKUP(A374,import!A:J,8,0)</f>
        <v>12</v>
      </c>
      <c r="I374" s="11">
        <f>VLOOKUP(A374,import!A:J,9,0)</f>
        <v>16</v>
      </c>
      <c r="J374" s="12">
        <f>VLOOKUP(A374,import!A:J,10,0)</f>
        <v>0.25</v>
      </c>
      <c r="K374" s="11" t="s">
        <v>1852</v>
      </c>
      <c r="L374" s="11">
        <v>3.523388684E9</v>
      </c>
      <c r="M374" s="11" t="s">
        <v>71</v>
      </c>
      <c r="N374" s="11" t="s">
        <v>62</v>
      </c>
      <c r="O374" s="11" t="s">
        <v>1853</v>
      </c>
      <c r="P374" s="11" t="s">
        <v>666</v>
      </c>
      <c r="Q374" s="13"/>
      <c r="R374" s="13" t="b">
        <v>1</v>
      </c>
      <c r="S374" s="13" t="b">
        <v>0</v>
      </c>
      <c r="T374" s="14" t="s">
        <v>74</v>
      </c>
      <c r="U374" s="14" t="s">
        <v>75</v>
      </c>
      <c r="V374" s="30" t="s">
        <v>76</v>
      </c>
      <c r="W374" s="14"/>
      <c r="X374" s="24">
        <v>44622.0</v>
      </c>
      <c r="Y374" s="24">
        <v>44622.0</v>
      </c>
      <c r="Z374" s="18"/>
      <c r="AA374" s="19" t="s">
        <v>54</v>
      </c>
      <c r="AB374" s="24">
        <v>44622.0</v>
      </c>
      <c r="AC374" s="19"/>
      <c r="AD374" s="20"/>
      <c r="AE374" s="21"/>
      <c r="AF374" s="18"/>
      <c r="AG374" s="21"/>
      <c r="AH374" s="18"/>
      <c r="AI374" s="18"/>
      <c r="AJ374" s="18"/>
      <c r="AK374" s="19" t="s">
        <v>75</v>
      </c>
      <c r="AL374" s="19"/>
      <c r="AM374" s="18"/>
      <c r="AN374" s="18"/>
      <c r="AO374" s="18"/>
      <c r="AP374" s="22" t="s">
        <v>56</v>
      </c>
      <c r="AQ374" s="18"/>
    </row>
    <row r="375">
      <c r="A375" s="11" t="s">
        <v>1854</v>
      </c>
      <c r="B375" s="11" t="s">
        <v>1855</v>
      </c>
      <c r="C375" s="11" t="str">
        <f>VLOOKUP(A375,import!A:C,3,0)</f>
        <v>DOĞRU</v>
      </c>
      <c r="D375" s="11" t="s">
        <v>165</v>
      </c>
      <c r="E375" s="11">
        <f>VLOOKUP(A375,import!A:J,5,0)</f>
        <v>604</v>
      </c>
      <c r="F375" s="11">
        <f>VLOOKUP(A375,import!A:J,6,0)</f>
        <v>19</v>
      </c>
      <c r="G375" s="11">
        <f>VLOOKUP(A375,import!A:J,7,0)</f>
        <v>7</v>
      </c>
      <c r="H375" s="11">
        <f>VLOOKUP(A375,import!A:J,8,0)</f>
        <v>7</v>
      </c>
      <c r="I375" s="11">
        <f>VLOOKUP(A375,import!A:J,9,0)</f>
        <v>14</v>
      </c>
      <c r="J375" s="12">
        <f>VLOOKUP(A375,import!A:J,10,0)</f>
        <v>0.5</v>
      </c>
      <c r="K375" s="11" t="s">
        <v>1856</v>
      </c>
      <c r="L375" s="11">
        <v>5.367764858E9</v>
      </c>
      <c r="M375" s="11" t="s">
        <v>71</v>
      </c>
      <c r="N375" s="11" t="s">
        <v>102</v>
      </c>
      <c r="O375" s="11" t="s">
        <v>1857</v>
      </c>
      <c r="P375" s="11" t="str">
        <f>VLOOKUP(A375,import!A:P,16,0)</f>
        <v>Geleneksel</v>
      </c>
      <c r="Q375" s="13"/>
      <c r="R375" s="13" t="b">
        <v>1</v>
      </c>
      <c r="S375" s="13" t="b">
        <v>0</v>
      </c>
      <c r="T375" s="14" t="s">
        <v>74</v>
      </c>
      <c r="U375" s="14" t="s">
        <v>181</v>
      </c>
      <c r="V375" s="40"/>
      <c r="W375" s="14" t="s">
        <v>1858</v>
      </c>
      <c r="X375" s="24">
        <v>44285.0</v>
      </c>
      <c r="Y375" s="24">
        <v>44287.0</v>
      </c>
      <c r="Z375" s="18"/>
      <c r="AA375" s="18"/>
      <c r="AB375" s="18"/>
      <c r="AC375" s="18"/>
      <c r="AD375" s="18"/>
      <c r="AE375" s="21"/>
      <c r="AF375" s="18"/>
      <c r="AG375" s="21"/>
      <c r="AH375" s="18"/>
      <c r="AI375" s="18"/>
      <c r="AJ375" s="18"/>
      <c r="AK375" s="18"/>
      <c r="AL375" s="18"/>
      <c r="AM375" s="18"/>
      <c r="AN375" s="18"/>
      <c r="AO375" s="18"/>
      <c r="AP375" s="22" t="s">
        <v>56</v>
      </c>
      <c r="AQ375" s="18"/>
    </row>
    <row r="376">
      <c r="A376" s="11" t="s">
        <v>1859</v>
      </c>
      <c r="B376" s="11" t="s">
        <v>1860</v>
      </c>
      <c r="C376" s="11" t="str">
        <f>VLOOKUP(A376,import!A:C,3,0)</f>
        <v>DOĞRU</v>
      </c>
      <c r="D376" s="11" t="s">
        <v>453</v>
      </c>
      <c r="E376" s="11">
        <f>VLOOKUP(A376,import!A:J,5,0)</f>
        <v>47</v>
      </c>
      <c r="F376" s="11">
        <f>VLOOKUP(A376,import!A:J,6,0)</f>
        <v>6</v>
      </c>
      <c r="G376" s="11">
        <f>VLOOKUP(A376,import!A:J,7,0)</f>
        <v>20</v>
      </c>
      <c r="H376" s="11">
        <f>VLOOKUP(A376,import!A:J,8,0)</f>
        <v>25</v>
      </c>
      <c r="I376" s="11">
        <f>VLOOKUP(A376,import!A:J,9,0)</f>
        <v>45</v>
      </c>
      <c r="J376" s="12">
        <f>VLOOKUP(A376,import!A:J,10,0)</f>
        <v>0.44</v>
      </c>
      <c r="K376" s="11" t="s">
        <v>1861</v>
      </c>
      <c r="L376" s="11">
        <v>5.32563381E9</v>
      </c>
      <c r="M376" s="11" t="s">
        <v>61</v>
      </c>
      <c r="N376" s="11" t="s">
        <v>107</v>
      </c>
      <c r="O376" s="11" t="s">
        <v>1862</v>
      </c>
      <c r="P376" s="11" t="str">
        <f>VLOOKUP(A376,import!A:P,16,0)</f>
        <v>Geleneksel</v>
      </c>
      <c r="Q376" s="13"/>
      <c r="R376" s="13" t="b">
        <v>1</v>
      </c>
      <c r="S376" s="13" t="b">
        <v>0</v>
      </c>
      <c r="T376" s="14" t="s">
        <v>74</v>
      </c>
      <c r="U376" s="14" t="s">
        <v>140</v>
      </c>
      <c r="V376" s="39" t="s">
        <v>76</v>
      </c>
      <c r="W376" s="14" t="s">
        <v>1863</v>
      </c>
      <c r="X376" s="24">
        <v>44635.0</v>
      </c>
      <c r="Y376" s="24">
        <v>44636.0</v>
      </c>
      <c r="Z376" s="18"/>
      <c r="AA376" s="19" t="s">
        <v>54</v>
      </c>
      <c r="AB376" s="20">
        <v>44635.0</v>
      </c>
      <c r="AC376" s="19"/>
      <c r="AD376" s="20"/>
      <c r="AE376" s="21"/>
      <c r="AF376" s="18"/>
      <c r="AG376" s="21"/>
      <c r="AH376" s="18"/>
      <c r="AI376" s="18"/>
      <c r="AJ376" s="18"/>
      <c r="AK376" s="19" t="s">
        <v>140</v>
      </c>
      <c r="AL376" s="19"/>
      <c r="AM376" s="18"/>
      <c r="AN376" s="18"/>
      <c r="AO376" s="18"/>
      <c r="AP376" s="22"/>
      <c r="AQ376" s="18"/>
    </row>
    <row r="377">
      <c r="A377" s="11" t="s">
        <v>1864</v>
      </c>
      <c r="B377" s="11" t="s">
        <v>1865</v>
      </c>
      <c r="C377" s="11" t="str">
        <f>VLOOKUP(A377,import!A:C,3,0)</f>
        <v>DOĞRU</v>
      </c>
      <c r="D377" s="11" t="s">
        <v>59</v>
      </c>
      <c r="E377" s="11">
        <f>VLOOKUP(A377,import!A:J,5,0)</f>
        <v>386</v>
      </c>
      <c r="F377" s="11" t="str">
        <f>VLOOKUP(A377,import!A:J,6,0)</f>
        <v/>
      </c>
      <c r="G377" s="11">
        <f>VLOOKUP(A377,import!A:J,7,0)</f>
        <v>2</v>
      </c>
      <c r="H377" s="11">
        <f>VLOOKUP(A377,import!A:J,8,0)</f>
        <v>14</v>
      </c>
      <c r="I377" s="11">
        <f>VLOOKUP(A377,import!A:J,9,0)</f>
        <v>16</v>
      </c>
      <c r="J377" s="12">
        <f>VLOOKUP(A377,import!A:J,10,0)</f>
        <v>0.13</v>
      </c>
      <c r="K377" s="11" t="s">
        <v>1866</v>
      </c>
      <c r="L377" s="11">
        <v>5.549470276E9</v>
      </c>
      <c r="M377" s="11" t="s">
        <v>61</v>
      </c>
      <c r="N377" s="11" t="s">
        <v>107</v>
      </c>
      <c r="O377" s="11" t="s">
        <v>1867</v>
      </c>
      <c r="P377" s="11" t="str">
        <f>VLOOKUP(A377,import!A:P,16,0)</f>
        <v>Geleneksel</v>
      </c>
      <c r="Q377" s="13"/>
      <c r="R377" s="13" t="b">
        <v>1</v>
      </c>
      <c r="S377" s="13" t="b">
        <v>0</v>
      </c>
      <c r="T377" s="14" t="s">
        <v>74</v>
      </c>
      <c r="U377" s="14" t="s">
        <v>75</v>
      </c>
      <c r="V377" s="23" t="s">
        <v>76</v>
      </c>
      <c r="W377" s="14"/>
      <c r="X377" s="24">
        <v>44615.0</v>
      </c>
      <c r="Y377" s="24">
        <v>44616.0</v>
      </c>
      <c r="Z377" s="18"/>
      <c r="AA377" s="19" t="s">
        <v>53</v>
      </c>
      <c r="AB377" s="20">
        <v>44594.0</v>
      </c>
      <c r="AC377" s="19" t="s">
        <v>54</v>
      </c>
      <c r="AD377" s="20">
        <v>44615.0</v>
      </c>
      <c r="AE377" s="21"/>
      <c r="AF377" s="18"/>
      <c r="AG377" s="21"/>
      <c r="AH377" s="18"/>
      <c r="AI377" s="18"/>
      <c r="AJ377" s="18"/>
      <c r="AK377" s="19" t="s">
        <v>95</v>
      </c>
      <c r="AL377" s="19" t="s">
        <v>75</v>
      </c>
      <c r="AM377" s="18"/>
      <c r="AN377" s="18"/>
      <c r="AO377" s="18"/>
      <c r="AP377" s="22" t="s">
        <v>56</v>
      </c>
      <c r="AQ377" s="18"/>
    </row>
    <row r="378">
      <c r="A378" s="22" t="s">
        <v>1868</v>
      </c>
      <c r="B378" s="22" t="s">
        <v>1869</v>
      </c>
      <c r="C378" s="11" t="str">
        <f>VLOOKUP(A378,import!A:C,3,0)</f>
        <v>DOĞRU</v>
      </c>
      <c r="D378" s="22" t="s">
        <v>83</v>
      </c>
      <c r="E378" s="11" t="str">
        <f>VLOOKUP(A378,import!A:J,5,0)</f>
        <v/>
      </c>
      <c r="F378" s="11" t="str">
        <f>VLOOKUP(A378,import!A:J,6,0)</f>
        <v/>
      </c>
      <c r="G378" s="11">
        <f>VLOOKUP(A378,import!A:J,7,0)</f>
        <v>0</v>
      </c>
      <c r="H378" s="11">
        <f>VLOOKUP(A378,import!A:J,8,0)</f>
        <v>11</v>
      </c>
      <c r="I378" s="11">
        <f>VLOOKUP(A378,import!A:J,9,0)</f>
        <v>11</v>
      </c>
      <c r="J378" s="12">
        <f>VLOOKUP(A378,import!A:J,10,0)</f>
        <v>0</v>
      </c>
      <c r="K378" s="22" t="s">
        <v>1870</v>
      </c>
      <c r="L378" s="22">
        <v>5.550688338E9</v>
      </c>
      <c r="M378" s="22" t="s">
        <v>47</v>
      </c>
      <c r="N378" s="22" t="s">
        <v>1552</v>
      </c>
      <c r="O378" s="22" t="s">
        <v>1871</v>
      </c>
      <c r="P378" s="11" t="str">
        <f>VLOOKUP(A378,import!A:P,16,0)</f>
        <v>Geleneksel</v>
      </c>
      <c r="Q378" s="13"/>
      <c r="R378" s="13" t="b">
        <v>1</v>
      </c>
      <c r="S378" s="13" t="b">
        <v>0</v>
      </c>
      <c r="T378" s="14" t="s">
        <v>115</v>
      </c>
      <c r="U378" s="14"/>
      <c r="V378" s="30"/>
      <c r="W378" s="14" t="s">
        <v>1872</v>
      </c>
      <c r="X378" s="24"/>
      <c r="Y378" s="24"/>
      <c r="Z378" s="18"/>
      <c r="AA378" s="19" t="s">
        <v>54</v>
      </c>
      <c r="AB378" s="20">
        <v>44662.0</v>
      </c>
      <c r="AC378" s="19" t="s">
        <v>54</v>
      </c>
      <c r="AD378" s="20">
        <v>44676.0</v>
      </c>
      <c r="AE378" s="19"/>
      <c r="AF378" s="20"/>
      <c r="AG378" s="21"/>
      <c r="AH378" s="18"/>
      <c r="AI378" s="18"/>
      <c r="AJ378" s="18"/>
      <c r="AK378" s="19" t="s">
        <v>110</v>
      </c>
      <c r="AL378" s="19" t="s">
        <v>110</v>
      </c>
      <c r="AM378" s="19"/>
      <c r="AN378" s="18"/>
      <c r="AO378" s="18"/>
      <c r="AP378" s="22"/>
      <c r="AQ378" s="18"/>
    </row>
    <row r="379">
      <c r="A379" s="11" t="s">
        <v>1873</v>
      </c>
      <c r="B379" s="11" t="s">
        <v>1874</v>
      </c>
      <c r="C379" s="11" t="str">
        <f>VLOOKUP(A379,import!A:C,3,0)</f>
        <v>YANLIŞ</v>
      </c>
      <c r="D379" s="11" t="s">
        <v>172</v>
      </c>
      <c r="E379" s="11">
        <f>VLOOKUP(A379,import!A:J,5,0)</f>
        <v>580</v>
      </c>
      <c r="F379" s="11" t="str">
        <f>VLOOKUP(A379,import!A:J,6,0)</f>
        <v/>
      </c>
      <c r="G379" s="11">
        <f>VLOOKUP(A379,import!A:J,7,0)</f>
        <v>0</v>
      </c>
      <c r="H379" s="11">
        <f>VLOOKUP(A379,import!A:J,8,0)</f>
        <v>11</v>
      </c>
      <c r="I379" s="11">
        <f>VLOOKUP(A379,import!A:J,9,0)</f>
        <v>11</v>
      </c>
      <c r="J379" s="12">
        <f>VLOOKUP(A379,import!A:J,10,0)</f>
        <v>0</v>
      </c>
      <c r="K379" s="11" t="s">
        <v>1875</v>
      </c>
      <c r="L379" s="11">
        <v>5.054725759E9</v>
      </c>
      <c r="M379" s="11" t="s">
        <v>47</v>
      </c>
      <c r="N379" s="11" t="s">
        <v>1085</v>
      </c>
      <c r="O379" s="11" t="s">
        <v>1876</v>
      </c>
      <c r="P379" s="11" t="str">
        <f>VLOOKUP(A379,import!A:P,16,0)</f>
        <v>Geleneksel</v>
      </c>
      <c r="Q379" s="13"/>
      <c r="R379" s="13" t="b">
        <v>1</v>
      </c>
      <c r="S379" s="13" t="b">
        <v>0</v>
      </c>
      <c r="T379" s="14" t="s">
        <v>64</v>
      </c>
      <c r="U379" s="14"/>
      <c r="V379" s="14"/>
      <c r="W379" s="14" t="s">
        <v>1877</v>
      </c>
      <c r="X379" s="17"/>
      <c r="Y379" s="17"/>
      <c r="Z379" s="18"/>
      <c r="AA379" s="19" t="s">
        <v>78</v>
      </c>
      <c r="AB379" s="20">
        <v>44601.0</v>
      </c>
      <c r="AC379" s="18"/>
      <c r="AD379" s="18"/>
      <c r="AE379" s="21"/>
      <c r="AF379" s="18"/>
      <c r="AG379" s="21"/>
      <c r="AH379" s="18"/>
      <c r="AI379" s="18"/>
      <c r="AJ379" s="18"/>
      <c r="AK379" s="19" t="s">
        <v>110</v>
      </c>
      <c r="AL379" s="18"/>
      <c r="AM379" s="18"/>
      <c r="AN379" s="18"/>
      <c r="AO379" s="18"/>
      <c r="AP379" s="22" t="s">
        <v>56</v>
      </c>
      <c r="AQ379" s="18"/>
    </row>
    <row r="380">
      <c r="A380" s="11" t="s">
        <v>1878</v>
      </c>
      <c r="B380" s="11" t="s">
        <v>1879</v>
      </c>
      <c r="C380" s="11" t="str">
        <f>VLOOKUP(A380,import!A:C,3,0)</f>
        <v>DOĞRU</v>
      </c>
      <c r="D380" s="11" t="s">
        <v>172</v>
      </c>
      <c r="E380" s="11">
        <f>VLOOKUP(A380,import!A:J,5,0)</f>
        <v>1693</v>
      </c>
      <c r="F380" s="11">
        <f>VLOOKUP(A380,import!A:J,6,0)</f>
        <v>66</v>
      </c>
      <c r="G380" s="11">
        <f>VLOOKUP(A380,import!A:J,7,0)</f>
        <v>5</v>
      </c>
      <c r="H380" s="11">
        <f>VLOOKUP(A380,import!A:J,8,0)</f>
        <v>7</v>
      </c>
      <c r="I380" s="11">
        <f>VLOOKUP(A380,import!A:J,9,0)</f>
        <v>12</v>
      </c>
      <c r="J380" s="12">
        <f>VLOOKUP(A380,import!A:J,10,0)</f>
        <v>0.42</v>
      </c>
      <c r="K380" s="11" t="s">
        <v>1880</v>
      </c>
      <c r="L380" s="11">
        <v>3.525030141E9</v>
      </c>
      <c r="M380" s="11" t="s">
        <v>71</v>
      </c>
      <c r="N380" s="11" t="s">
        <v>72</v>
      </c>
      <c r="O380" s="11" t="s">
        <v>1881</v>
      </c>
      <c r="P380" s="11" t="str">
        <f>VLOOKUP(A380,import!A:P,16,0)</f>
        <v>Geleneksel</v>
      </c>
      <c r="Q380" s="13"/>
      <c r="R380" s="13" t="b">
        <v>1</v>
      </c>
      <c r="S380" s="13" t="b">
        <v>0</v>
      </c>
      <c r="T380" s="14" t="s">
        <v>74</v>
      </c>
      <c r="U380" s="14" t="s">
        <v>86</v>
      </c>
      <c r="V380" s="45">
        <v>44611.0</v>
      </c>
      <c r="W380" s="45">
        <v>44613.0</v>
      </c>
      <c r="X380" s="24"/>
      <c r="Y380" s="24"/>
      <c r="Z380" s="18"/>
      <c r="AA380" s="19" t="s">
        <v>54</v>
      </c>
      <c r="AB380" s="20">
        <v>44611.0</v>
      </c>
      <c r="AC380" s="19"/>
      <c r="AD380" s="20"/>
      <c r="AE380" s="21"/>
      <c r="AF380" s="18"/>
      <c r="AG380" s="21"/>
      <c r="AH380" s="18"/>
      <c r="AI380" s="18"/>
      <c r="AJ380" s="18"/>
      <c r="AK380" s="19" t="s">
        <v>86</v>
      </c>
      <c r="AL380" s="19"/>
      <c r="AM380" s="18"/>
      <c r="AN380" s="18"/>
      <c r="AO380" s="18"/>
      <c r="AP380" s="22"/>
      <c r="AQ380" s="18"/>
    </row>
    <row r="381">
      <c r="A381" s="11" t="s">
        <v>1882</v>
      </c>
      <c r="B381" s="11" t="s">
        <v>1883</v>
      </c>
      <c r="C381" s="11" t="str">
        <f>VLOOKUP(A381,import!A:C,3,0)</f>
        <v>DOĞRU</v>
      </c>
      <c r="D381" s="11" t="s">
        <v>172</v>
      </c>
      <c r="E381" s="11">
        <f>VLOOKUP(A381,import!A:J,5,0)</f>
        <v>1429</v>
      </c>
      <c r="F381" s="11" t="str">
        <f>VLOOKUP(A381,import!A:J,6,0)</f>
        <v/>
      </c>
      <c r="G381" s="11">
        <f>VLOOKUP(A381,import!A:J,7,0)</f>
        <v>0</v>
      </c>
      <c r="H381" s="11">
        <f>VLOOKUP(A381,import!A:J,8,0)</f>
        <v>37</v>
      </c>
      <c r="I381" s="11">
        <f>VLOOKUP(A381,import!A:J,9,0)</f>
        <v>37</v>
      </c>
      <c r="J381" s="12">
        <f>VLOOKUP(A381,import!A:J,10,0)</f>
        <v>0</v>
      </c>
      <c r="K381" s="11" t="s">
        <v>1884</v>
      </c>
      <c r="L381" s="11">
        <v>5.013201399E9</v>
      </c>
      <c r="M381" s="11" t="s">
        <v>47</v>
      </c>
      <c r="N381" s="11" t="s">
        <v>482</v>
      </c>
      <c r="O381" s="11" t="s">
        <v>1885</v>
      </c>
      <c r="P381" s="11" t="str">
        <f>VLOOKUP(A381,import!A:P,16,0)</f>
        <v>Geleneksel</v>
      </c>
      <c r="Q381" s="13"/>
      <c r="R381" s="13" t="b">
        <v>1</v>
      </c>
      <c r="S381" s="13" t="b">
        <v>0</v>
      </c>
      <c r="T381" s="14" t="s">
        <v>168</v>
      </c>
      <c r="U381" s="14"/>
      <c r="V381" s="14"/>
      <c r="W381" s="14" t="s">
        <v>1886</v>
      </c>
      <c r="X381" s="24"/>
      <c r="Y381" s="24"/>
      <c r="Z381" s="18"/>
      <c r="AA381" s="19" t="s">
        <v>54</v>
      </c>
      <c r="AB381" s="20">
        <v>44587.0</v>
      </c>
      <c r="AC381" s="19"/>
      <c r="AD381" s="20"/>
      <c r="AE381" s="21"/>
      <c r="AF381" s="18"/>
      <c r="AG381" s="21"/>
      <c r="AH381" s="18"/>
      <c r="AI381" s="18"/>
      <c r="AJ381" s="18"/>
      <c r="AK381" s="19" t="s">
        <v>110</v>
      </c>
      <c r="AL381" s="19"/>
      <c r="AM381" s="18"/>
      <c r="AN381" s="18"/>
      <c r="AO381" s="18"/>
      <c r="AP381" s="22" t="s">
        <v>56</v>
      </c>
      <c r="AQ381" s="18"/>
    </row>
    <row r="382">
      <c r="A382" s="11" t="s">
        <v>1887</v>
      </c>
      <c r="B382" s="11" t="s">
        <v>1888</v>
      </c>
      <c r="C382" s="11" t="str">
        <f>VLOOKUP(A382,import!A:C,3,0)</f>
        <v>DOĞRU</v>
      </c>
      <c r="D382" s="11" t="s">
        <v>172</v>
      </c>
      <c r="E382" s="11" t="str">
        <f>VLOOKUP(A382,import!A:J,5,0)</f>
        <v/>
      </c>
      <c r="F382" s="11" t="str">
        <f>VLOOKUP(A382,import!A:J,6,0)</f>
        <v/>
      </c>
      <c r="G382" s="11">
        <f>VLOOKUP(A382,import!A:J,7,0)</f>
        <v>0</v>
      </c>
      <c r="H382" s="11">
        <f>VLOOKUP(A382,import!A:J,8,0)</f>
        <v>3</v>
      </c>
      <c r="I382" s="11">
        <f>VLOOKUP(A382,import!A:J,9,0)</f>
        <v>3</v>
      </c>
      <c r="J382" s="12">
        <f>VLOOKUP(A382,import!A:J,10,0)</f>
        <v>0</v>
      </c>
      <c r="K382" s="11" t="s">
        <v>1889</v>
      </c>
      <c r="L382" s="11">
        <v>3.5222344E9</v>
      </c>
      <c r="M382" s="11" t="s">
        <v>71</v>
      </c>
      <c r="N382" s="11" t="s">
        <v>588</v>
      </c>
      <c r="O382" s="11" t="s">
        <v>1890</v>
      </c>
      <c r="P382" s="11" t="str">
        <f>VLOOKUP(A382,import!A:P,16,0)</f>
        <v>Geleneksel</v>
      </c>
      <c r="Q382" s="13"/>
      <c r="R382" s="13" t="b">
        <v>0</v>
      </c>
      <c r="S382" s="13" t="b">
        <v>0</v>
      </c>
      <c r="T382" s="14"/>
      <c r="U382" s="14"/>
      <c r="V382" s="14"/>
      <c r="W382" s="14" t="s">
        <v>1891</v>
      </c>
      <c r="X382" s="24"/>
      <c r="Y382" s="24"/>
      <c r="Z382" s="18"/>
      <c r="AA382" s="19" t="s">
        <v>54</v>
      </c>
      <c r="AB382" s="24">
        <v>44641.0</v>
      </c>
      <c r="AC382" s="19"/>
      <c r="AD382" s="20"/>
      <c r="AE382" s="19"/>
      <c r="AF382" s="20"/>
      <c r="AG382" s="21"/>
      <c r="AH382" s="18"/>
      <c r="AI382" s="18"/>
      <c r="AJ382" s="18"/>
      <c r="AK382" s="19" t="s">
        <v>75</v>
      </c>
      <c r="AL382" s="19"/>
      <c r="AM382" s="19"/>
      <c r="AN382" s="18"/>
      <c r="AO382" s="18"/>
      <c r="AP382" s="22"/>
      <c r="AQ382" s="18"/>
    </row>
    <row r="383">
      <c r="A383" s="11" t="s">
        <v>1892</v>
      </c>
      <c r="B383" s="11" t="s">
        <v>1893</v>
      </c>
      <c r="C383" s="11" t="str">
        <f>VLOOKUP(A383,import!A:C,3,0)</f>
        <v>DOĞRU</v>
      </c>
      <c r="D383" s="11" t="s">
        <v>172</v>
      </c>
      <c r="E383" s="11">
        <f>VLOOKUP(A383,import!A:J,5,0)</f>
        <v>527</v>
      </c>
      <c r="F383" s="11">
        <f>VLOOKUP(A383,import!A:J,6,0)</f>
        <v>83</v>
      </c>
      <c r="G383" s="11">
        <f>VLOOKUP(A383,import!A:J,7,0)</f>
        <v>12</v>
      </c>
      <c r="H383" s="11">
        <f>VLOOKUP(A383,import!A:J,8,0)</f>
        <v>0</v>
      </c>
      <c r="I383" s="11">
        <f>VLOOKUP(A383,import!A:J,9,0)</f>
        <v>12</v>
      </c>
      <c r="J383" s="12">
        <f>VLOOKUP(A383,import!A:J,10,0)</f>
        <v>1</v>
      </c>
      <c r="K383" s="11" t="s">
        <v>1894</v>
      </c>
      <c r="L383" s="11">
        <v>5.013280438E9</v>
      </c>
      <c r="M383" s="11" t="s">
        <v>71</v>
      </c>
      <c r="N383" s="11" t="s">
        <v>224</v>
      </c>
      <c r="O383" s="11" t="s">
        <v>1895</v>
      </c>
      <c r="P383" s="11" t="str">
        <f>VLOOKUP(A383,import!A:P,16,0)</f>
        <v>Geleneksel</v>
      </c>
      <c r="Q383" s="13"/>
      <c r="R383" s="13" t="b">
        <v>1</v>
      </c>
      <c r="S383" s="13" t="b">
        <v>0</v>
      </c>
      <c r="T383" s="14" t="s">
        <v>74</v>
      </c>
      <c r="U383" s="14" t="s">
        <v>66</v>
      </c>
      <c r="V383" s="30" t="s">
        <v>76</v>
      </c>
      <c r="W383" s="14"/>
      <c r="X383" s="24">
        <v>44614.0</v>
      </c>
      <c r="Y383" s="24">
        <v>44617.0</v>
      </c>
      <c r="Z383" s="18"/>
      <c r="AA383" s="19" t="s">
        <v>54</v>
      </c>
      <c r="AB383" s="20">
        <v>44614.0</v>
      </c>
      <c r="AC383" s="19"/>
      <c r="AD383" s="20"/>
      <c r="AE383" s="21"/>
      <c r="AF383" s="18"/>
      <c r="AG383" s="21"/>
      <c r="AH383" s="18"/>
      <c r="AI383" s="18"/>
      <c r="AJ383" s="18"/>
      <c r="AK383" s="19" t="s">
        <v>66</v>
      </c>
      <c r="AL383" s="19"/>
      <c r="AM383" s="18"/>
      <c r="AN383" s="18"/>
      <c r="AO383" s="18"/>
      <c r="AP383" s="22"/>
      <c r="AQ383" s="18"/>
    </row>
    <row r="384">
      <c r="A384" s="11" t="s">
        <v>1896</v>
      </c>
      <c r="B384" s="11" t="s">
        <v>1897</v>
      </c>
      <c r="C384" s="11" t="str">
        <f>VLOOKUP(A384,import!A:C,3,0)</f>
        <v>DOĞRU</v>
      </c>
      <c r="D384" s="11" t="s">
        <v>69</v>
      </c>
      <c r="E384" s="11">
        <f>VLOOKUP(A384,import!A:J,5,0)</f>
        <v>68</v>
      </c>
      <c r="F384" s="11">
        <f>VLOOKUP(A384,import!A:J,6,0)</f>
        <v>3</v>
      </c>
      <c r="G384" s="11">
        <f>VLOOKUP(A384,import!A:J,7,0)</f>
        <v>12</v>
      </c>
      <c r="H384" s="11">
        <f>VLOOKUP(A384,import!A:J,8,0)</f>
        <v>4</v>
      </c>
      <c r="I384" s="11">
        <f>VLOOKUP(A384,import!A:J,9,0)</f>
        <v>16</v>
      </c>
      <c r="J384" s="12">
        <f>VLOOKUP(A384,import!A:J,10,0)</f>
        <v>0.75</v>
      </c>
      <c r="K384" s="11" t="s">
        <v>1898</v>
      </c>
      <c r="L384" s="11">
        <v>3.525039737E9</v>
      </c>
      <c r="M384" s="11" t="s">
        <v>61</v>
      </c>
      <c r="N384" s="11" t="s">
        <v>62</v>
      </c>
      <c r="O384" s="11" t="s">
        <v>1899</v>
      </c>
      <c r="P384" s="11" t="str">
        <f>VLOOKUP(A384,import!A:P,16,0)</f>
        <v>Geleneksel</v>
      </c>
      <c r="Q384" s="13"/>
      <c r="R384" s="13" t="b">
        <v>1</v>
      </c>
      <c r="S384" s="13" t="b">
        <v>0</v>
      </c>
      <c r="T384" s="14" t="s">
        <v>74</v>
      </c>
      <c r="U384" s="14" t="s">
        <v>140</v>
      </c>
      <c r="V384" s="33" t="s">
        <v>76</v>
      </c>
      <c r="W384" s="14">
        <v>5.551604786E9</v>
      </c>
      <c r="X384" s="24">
        <v>44641.0</v>
      </c>
      <c r="Y384" s="24">
        <v>44641.0</v>
      </c>
      <c r="Z384" s="18"/>
      <c r="AA384" s="19" t="s">
        <v>53</v>
      </c>
      <c r="AB384" s="20">
        <v>44578.0</v>
      </c>
      <c r="AC384" s="19" t="s">
        <v>53</v>
      </c>
      <c r="AD384" s="20">
        <v>44635.0</v>
      </c>
      <c r="AE384" s="19" t="s">
        <v>53</v>
      </c>
      <c r="AF384" s="20">
        <v>44638.0</v>
      </c>
      <c r="AG384" s="19" t="s">
        <v>54</v>
      </c>
      <c r="AH384" s="20">
        <v>44641.0</v>
      </c>
      <c r="AI384" s="18"/>
      <c r="AJ384" s="18"/>
      <c r="AK384" s="19" t="s">
        <v>381</v>
      </c>
      <c r="AL384" s="19" t="s">
        <v>140</v>
      </c>
      <c r="AM384" s="19" t="s">
        <v>140</v>
      </c>
      <c r="AN384" s="19" t="s">
        <v>140</v>
      </c>
      <c r="AO384" s="18"/>
      <c r="AP384" s="22"/>
      <c r="AQ384" s="18"/>
    </row>
    <row r="385">
      <c r="A385" s="11" t="s">
        <v>1900</v>
      </c>
      <c r="B385" s="11" t="s">
        <v>1901</v>
      </c>
      <c r="C385" s="11" t="str">
        <f>VLOOKUP(A385,import!A:C,3,0)</f>
        <v>DOĞRU</v>
      </c>
      <c r="D385" s="11" t="s">
        <v>69</v>
      </c>
      <c r="E385" s="11">
        <f>VLOOKUP(A385,import!A:J,5,0)</f>
        <v>11</v>
      </c>
      <c r="F385" s="11">
        <f>VLOOKUP(A385,import!A:J,6,0)</f>
        <v>5</v>
      </c>
      <c r="G385" s="11">
        <f>VLOOKUP(A385,import!A:J,7,0)</f>
        <v>0</v>
      </c>
      <c r="H385" s="11">
        <f>VLOOKUP(A385,import!A:J,8,0)</f>
        <v>26</v>
      </c>
      <c r="I385" s="11">
        <f>VLOOKUP(A385,import!A:J,9,0)</f>
        <v>26</v>
      </c>
      <c r="J385" s="12">
        <f>VLOOKUP(A385,import!A:J,10,0)</f>
        <v>0</v>
      </c>
      <c r="K385" s="11" t="s">
        <v>1902</v>
      </c>
      <c r="L385" s="11">
        <v>5.41352026E9</v>
      </c>
      <c r="M385" s="11" t="s">
        <v>47</v>
      </c>
      <c r="N385" s="11" t="s">
        <v>401</v>
      </c>
      <c r="O385" s="11" t="s">
        <v>1903</v>
      </c>
      <c r="P385" s="11" t="str">
        <f>VLOOKUP(A385,import!A:P,16,0)</f>
        <v>Geleneksel</v>
      </c>
      <c r="Q385" s="13"/>
      <c r="R385" s="13" t="b">
        <v>1</v>
      </c>
      <c r="S385" s="13" t="b">
        <v>0</v>
      </c>
      <c r="T385" s="14" t="s">
        <v>168</v>
      </c>
      <c r="U385" s="14"/>
      <c r="V385" s="14"/>
      <c r="W385" s="14" t="s">
        <v>1904</v>
      </c>
      <c r="X385" s="24"/>
      <c r="Y385" s="24"/>
      <c r="Z385" s="18"/>
      <c r="AA385" s="19" t="s">
        <v>54</v>
      </c>
      <c r="AB385" s="20">
        <v>44634.0</v>
      </c>
      <c r="AC385" s="19"/>
      <c r="AD385" s="20"/>
      <c r="AE385" s="19"/>
      <c r="AF385" s="20"/>
      <c r="AG385" s="21"/>
      <c r="AH385" s="18"/>
      <c r="AI385" s="18"/>
      <c r="AJ385" s="18"/>
      <c r="AK385" s="19" t="s">
        <v>75</v>
      </c>
      <c r="AL385" s="19"/>
      <c r="AM385" s="19"/>
      <c r="AN385" s="18"/>
      <c r="AO385" s="18"/>
      <c r="AP385" s="22"/>
      <c r="AQ385" s="18"/>
    </row>
    <row r="386">
      <c r="A386" s="11" t="s">
        <v>1905</v>
      </c>
      <c r="B386" s="11" t="s">
        <v>1906</v>
      </c>
      <c r="C386" s="11" t="str">
        <f>VLOOKUP(A386,import!A:C,3,0)</f>
        <v>DOĞRU</v>
      </c>
      <c r="D386" s="11" t="s">
        <v>69</v>
      </c>
      <c r="E386" s="11">
        <f>VLOOKUP(A386,import!A:J,5,0)</f>
        <v>44</v>
      </c>
      <c r="F386" s="11">
        <f>VLOOKUP(A386,import!A:J,6,0)</f>
        <v>32</v>
      </c>
      <c r="G386" s="11">
        <f>VLOOKUP(A386,import!A:J,7,0)</f>
        <v>0</v>
      </c>
      <c r="H386" s="11">
        <f>VLOOKUP(A386,import!A:J,8,0)</f>
        <v>27</v>
      </c>
      <c r="I386" s="11">
        <f>VLOOKUP(A386,import!A:J,9,0)</f>
        <v>27</v>
      </c>
      <c r="J386" s="12">
        <f>VLOOKUP(A386,import!A:J,10,0)</f>
        <v>0</v>
      </c>
      <c r="K386" s="11" t="s">
        <v>1902</v>
      </c>
      <c r="L386" s="11">
        <v>5.422553138E9</v>
      </c>
      <c r="M386" s="11" t="s">
        <v>47</v>
      </c>
      <c r="N386" s="11" t="s">
        <v>1054</v>
      </c>
      <c r="O386" s="11" t="s">
        <v>1907</v>
      </c>
      <c r="P386" s="11" t="str">
        <f>VLOOKUP(A386,import!A:P,16,0)</f>
        <v>Geleneksel</v>
      </c>
      <c r="Q386" s="13"/>
      <c r="R386" s="13" t="b">
        <v>1</v>
      </c>
      <c r="S386" s="13" t="b">
        <v>0</v>
      </c>
      <c r="T386" s="14" t="s">
        <v>168</v>
      </c>
      <c r="U386" s="14"/>
      <c r="V386" s="14"/>
      <c r="W386" s="14" t="s">
        <v>1908</v>
      </c>
      <c r="X386" s="24"/>
      <c r="Y386" s="24"/>
      <c r="Z386" s="18"/>
      <c r="AA386" s="19" t="s">
        <v>54</v>
      </c>
      <c r="AB386" s="20">
        <v>44599.0</v>
      </c>
      <c r="AC386" s="19"/>
      <c r="AD386" s="20"/>
      <c r="AE386" s="19"/>
      <c r="AF386" s="20"/>
      <c r="AG386" s="21"/>
      <c r="AH386" s="18"/>
      <c r="AI386" s="18"/>
      <c r="AJ386" s="18"/>
      <c r="AK386" s="19" t="s">
        <v>110</v>
      </c>
      <c r="AL386" s="19"/>
      <c r="AM386" s="19"/>
      <c r="AN386" s="18"/>
      <c r="AO386" s="18"/>
      <c r="AP386" s="22"/>
      <c r="AQ386" s="18"/>
    </row>
    <row r="387">
      <c r="A387" s="11" t="s">
        <v>1909</v>
      </c>
      <c r="B387" s="11" t="s">
        <v>1910</v>
      </c>
      <c r="C387" s="11" t="str">
        <f>VLOOKUP(A387,import!A:C,3,0)</f>
        <v>DOĞRU</v>
      </c>
      <c r="D387" s="11" t="s">
        <v>172</v>
      </c>
      <c r="E387" s="11">
        <f>VLOOKUP(A387,import!A:J,5,0)</f>
        <v>780</v>
      </c>
      <c r="F387" s="11" t="str">
        <f>VLOOKUP(A387,import!A:J,6,0)</f>
        <v/>
      </c>
      <c r="G387" s="11">
        <f>VLOOKUP(A387,import!A:J,7,0)</f>
        <v>3</v>
      </c>
      <c r="H387" s="11">
        <f>VLOOKUP(A387,import!A:J,8,0)</f>
        <v>4</v>
      </c>
      <c r="I387" s="11">
        <f>VLOOKUP(A387,import!A:J,9,0)</f>
        <v>7</v>
      </c>
      <c r="J387" s="12">
        <f>VLOOKUP(A387,import!A:J,10,0)</f>
        <v>0.43</v>
      </c>
      <c r="K387" s="11" t="s">
        <v>1911</v>
      </c>
      <c r="L387" s="11">
        <v>3.52338104E9</v>
      </c>
      <c r="M387" s="11" t="s">
        <v>71</v>
      </c>
      <c r="N387" s="11" t="s">
        <v>1912</v>
      </c>
      <c r="O387" s="11" t="s">
        <v>1913</v>
      </c>
      <c r="P387" s="11" t="str">
        <f>VLOOKUP(A387,import!A:P,16,0)</f>
        <v>Geleneksel</v>
      </c>
      <c r="Q387" s="13"/>
      <c r="R387" s="13" t="b">
        <v>1</v>
      </c>
      <c r="S387" s="13" t="b">
        <v>0</v>
      </c>
      <c r="T387" s="14" t="s">
        <v>74</v>
      </c>
      <c r="U387" s="14" t="s">
        <v>75</v>
      </c>
      <c r="V387" s="30" t="s">
        <v>76</v>
      </c>
      <c r="W387" s="14" t="s">
        <v>1914</v>
      </c>
      <c r="X387" s="24">
        <v>44624.0</v>
      </c>
      <c r="Y387" s="24">
        <v>44627.0</v>
      </c>
      <c r="Z387" s="18"/>
      <c r="AA387" s="19" t="s">
        <v>54</v>
      </c>
      <c r="AB387" s="24">
        <v>44624.0</v>
      </c>
      <c r="AC387" s="19"/>
      <c r="AD387" s="20"/>
      <c r="AE387" s="21"/>
      <c r="AF387" s="18"/>
      <c r="AG387" s="21"/>
      <c r="AH387" s="18"/>
      <c r="AI387" s="18"/>
      <c r="AJ387" s="18"/>
      <c r="AK387" s="19" t="s">
        <v>75</v>
      </c>
      <c r="AL387" s="19"/>
      <c r="AM387" s="18"/>
      <c r="AN387" s="18"/>
      <c r="AO387" s="18"/>
      <c r="AP387" s="22"/>
      <c r="AQ387" s="18"/>
    </row>
    <row r="388">
      <c r="A388" s="11" t="s">
        <v>1915</v>
      </c>
      <c r="B388" s="11" t="s">
        <v>1916</v>
      </c>
      <c r="C388" s="11" t="str">
        <f>VLOOKUP(A388,import!A:C,3,0)</f>
        <v>DOĞRU</v>
      </c>
      <c r="D388" s="11" t="s">
        <v>69</v>
      </c>
      <c r="E388" s="11">
        <f>VLOOKUP(A388,import!A:J,5,0)</f>
        <v>442</v>
      </c>
      <c r="F388" s="11">
        <f>VLOOKUP(A388,import!A:J,6,0)</f>
        <v>83</v>
      </c>
      <c r="G388" s="11">
        <f>VLOOKUP(A388,import!A:J,7,0)</f>
        <v>12</v>
      </c>
      <c r="H388" s="11">
        <f>VLOOKUP(A388,import!A:J,8,0)</f>
        <v>28</v>
      </c>
      <c r="I388" s="11">
        <f>VLOOKUP(A388,import!A:J,9,0)</f>
        <v>40</v>
      </c>
      <c r="J388" s="12">
        <f>VLOOKUP(A388,import!A:J,10,0)</f>
        <v>0.3</v>
      </c>
      <c r="K388" s="11" t="s">
        <v>1917</v>
      </c>
      <c r="L388" s="11">
        <v>5.382853402E9</v>
      </c>
      <c r="M388" s="11" t="s">
        <v>47</v>
      </c>
      <c r="N388" s="11" t="s">
        <v>1091</v>
      </c>
      <c r="O388" s="11" t="s">
        <v>1918</v>
      </c>
      <c r="P388" s="11" t="str">
        <f>VLOOKUP(A388,import!A:P,16,0)</f>
        <v>Geleneksel</v>
      </c>
      <c r="Q388" s="13"/>
      <c r="R388" s="13" t="b">
        <v>1</v>
      </c>
      <c r="S388" s="13" t="b">
        <v>0</v>
      </c>
      <c r="T388" s="14" t="s">
        <v>74</v>
      </c>
      <c r="U388" s="14" t="s">
        <v>127</v>
      </c>
      <c r="V388" s="39" t="s">
        <v>76</v>
      </c>
      <c r="W388" s="14"/>
      <c r="X388" s="24">
        <v>44586.0</v>
      </c>
      <c r="Y388" s="24">
        <v>44587.0</v>
      </c>
      <c r="Z388" s="18"/>
      <c r="AA388" s="19" t="s">
        <v>54</v>
      </c>
      <c r="AB388" s="20">
        <v>44586.0</v>
      </c>
      <c r="AC388" s="19"/>
      <c r="AD388" s="20"/>
      <c r="AE388" s="21"/>
      <c r="AF388" s="18"/>
      <c r="AG388" s="21"/>
      <c r="AH388" s="18"/>
      <c r="AI388" s="18"/>
      <c r="AJ388" s="18"/>
      <c r="AK388" s="19" t="s">
        <v>127</v>
      </c>
      <c r="AL388" s="19"/>
      <c r="AM388" s="18"/>
      <c r="AN388" s="18"/>
      <c r="AO388" s="18"/>
      <c r="AP388" s="22"/>
      <c r="AQ388" s="18"/>
    </row>
    <row r="389">
      <c r="A389" s="22" t="s">
        <v>1919</v>
      </c>
      <c r="B389" s="22" t="s">
        <v>1920</v>
      </c>
      <c r="C389" s="11" t="str">
        <f>VLOOKUP(A389,import!A:C,3,0)</f>
        <v>DOĞRU</v>
      </c>
      <c r="D389" s="22" t="s">
        <v>165</v>
      </c>
      <c r="E389" s="11">
        <f>VLOOKUP(A389,import!A:J,5,0)</f>
        <v>15</v>
      </c>
      <c r="F389" s="11">
        <f>VLOOKUP(A389,import!A:J,6,0)</f>
        <v>15</v>
      </c>
      <c r="G389" s="11">
        <f>VLOOKUP(A389,import!A:J,7,0)</f>
        <v>0</v>
      </c>
      <c r="H389" s="11">
        <f>VLOOKUP(A389,import!A:J,8,0)</f>
        <v>59</v>
      </c>
      <c r="I389" s="11">
        <f>VLOOKUP(A389,import!A:J,9,0)</f>
        <v>59</v>
      </c>
      <c r="J389" s="12">
        <f>VLOOKUP(A389,import!A:J,10,0)</f>
        <v>0</v>
      </c>
      <c r="K389" s="22" t="s">
        <v>1921</v>
      </c>
      <c r="L389" s="22">
        <v>3.522226632E9</v>
      </c>
      <c r="M389" s="22" t="s">
        <v>71</v>
      </c>
      <c r="N389" s="22" t="s">
        <v>72</v>
      </c>
      <c r="O389" s="22" t="s">
        <v>1922</v>
      </c>
      <c r="P389" s="11" t="str">
        <f>VLOOKUP(A389,import!A:P,16,0)</f>
        <v>Geleneksel</v>
      </c>
      <c r="Q389" s="13"/>
      <c r="R389" s="13" t="b">
        <v>0</v>
      </c>
      <c r="S389" s="13" t="b">
        <v>0</v>
      </c>
      <c r="T389" s="14"/>
      <c r="U389" s="14"/>
      <c r="V389" s="14"/>
      <c r="W389" s="14"/>
      <c r="X389" s="24"/>
      <c r="Y389" s="24"/>
      <c r="Z389" s="18"/>
      <c r="AA389" s="19"/>
      <c r="AB389" s="20"/>
      <c r="AC389" s="19"/>
      <c r="AD389" s="20"/>
      <c r="AE389" s="19"/>
      <c r="AF389" s="20"/>
      <c r="AG389" s="21"/>
      <c r="AH389" s="18"/>
      <c r="AI389" s="18"/>
      <c r="AJ389" s="18"/>
      <c r="AK389" s="19"/>
      <c r="AL389" s="19"/>
      <c r="AM389" s="19"/>
      <c r="AN389" s="18"/>
      <c r="AO389" s="18"/>
      <c r="AP389" s="22"/>
      <c r="AQ389" s="18"/>
    </row>
    <row r="390">
      <c r="A390" s="11" t="s">
        <v>1923</v>
      </c>
      <c r="B390" s="11" t="s">
        <v>1924</v>
      </c>
      <c r="C390" s="11" t="str">
        <f>VLOOKUP(A390,import!A:C,3,0)</f>
        <v>DOĞRU</v>
      </c>
      <c r="D390" s="11" t="s">
        <v>69</v>
      </c>
      <c r="E390" s="11">
        <f>VLOOKUP(A390,import!A:J,5,0)</f>
        <v>14</v>
      </c>
      <c r="F390" s="11">
        <f>VLOOKUP(A390,import!A:J,6,0)</f>
        <v>11</v>
      </c>
      <c r="G390" s="11">
        <f>VLOOKUP(A390,import!A:J,7,0)</f>
        <v>0</v>
      </c>
      <c r="H390" s="11">
        <f>VLOOKUP(A390,import!A:J,8,0)</f>
        <v>5</v>
      </c>
      <c r="I390" s="11">
        <f>VLOOKUP(A390,import!A:J,9,0)</f>
        <v>5</v>
      </c>
      <c r="J390" s="12">
        <f>VLOOKUP(A390,import!A:J,10,0)</f>
        <v>0</v>
      </c>
      <c r="K390" s="11" t="s">
        <v>1925</v>
      </c>
      <c r="L390" s="11">
        <v>5.454363838E9</v>
      </c>
      <c r="M390" s="11" t="s">
        <v>71</v>
      </c>
      <c r="N390" s="11" t="s">
        <v>214</v>
      </c>
      <c r="O390" s="11" t="s">
        <v>1926</v>
      </c>
      <c r="P390" s="11" t="str">
        <f>VLOOKUP(A390,import!A:P,16,0)</f>
        <v>Geleneksel</v>
      </c>
      <c r="Q390" s="13"/>
      <c r="R390" s="13" t="b">
        <v>1</v>
      </c>
      <c r="S390" s="13" t="b">
        <v>0</v>
      </c>
      <c r="T390" s="14" t="s">
        <v>74</v>
      </c>
      <c r="U390" s="14" t="s">
        <v>75</v>
      </c>
      <c r="V390" s="30" t="s">
        <v>76</v>
      </c>
      <c r="W390" s="14" t="s">
        <v>1927</v>
      </c>
      <c r="X390" s="24">
        <v>44645.0</v>
      </c>
      <c r="Y390" s="24">
        <v>44648.0</v>
      </c>
      <c r="Z390" s="18"/>
      <c r="AA390" s="19" t="s">
        <v>54</v>
      </c>
      <c r="AB390" s="24">
        <v>44645.0</v>
      </c>
      <c r="AC390" s="19"/>
      <c r="AD390" s="20"/>
      <c r="AE390" s="19"/>
      <c r="AF390" s="20"/>
      <c r="AG390" s="21"/>
      <c r="AH390" s="18"/>
      <c r="AI390" s="18"/>
      <c r="AJ390" s="18"/>
      <c r="AK390" s="19" t="s">
        <v>75</v>
      </c>
      <c r="AL390" s="19"/>
      <c r="AM390" s="19"/>
      <c r="AN390" s="18"/>
      <c r="AO390" s="18"/>
      <c r="AP390" s="22"/>
      <c r="AQ390" s="18"/>
    </row>
    <row r="391">
      <c r="A391" s="11" t="s">
        <v>1928</v>
      </c>
      <c r="B391" s="11" t="s">
        <v>1929</v>
      </c>
      <c r="C391" s="11" t="str">
        <f>VLOOKUP(A391,import!A:C,3,0)</f>
        <v>DOĞRU</v>
      </c>
      <c r="D391" s="11" t="s">
        <v>368</v>
      </c>
      <c r="E391" s="11">
        <f>VLOOKUP(A391,import!A:J,5,0)</f>
        <v>2857</v>
      </c>
      <c r="F391" s="11">
        <f>VLOOKUP(A391,import!A:J,6,0)</f>
        <v>85</v>
      </c>
      <c r="G391" s="11">
        <f>VLOOKUP(A391,import!A:J,7,0)</f>
        <v>0</v>
      </c>
      <c r="H391" s="11">
        <f>VLOOKUP(A391,import!A:J,8,0)</f>
        <v>36</v>
      </c>
      <c r="I391" s="11">
        <f>VLOOKUP(A391,import!A:J,9,0)</f>
        <v>36</v>
      </c>
      <c r="J391" s="12">
        <f>VLOOKUP(A391,import!A:J,10,0)</f>
        <v>0</v>
      </c>
      <c r="K391" s="11" t="s">
        <v>605</v>
      </c>
      <c r="L391" s="11">
        <v>5.050856626E9</v>
      </c>
      <c r="M391" s="11" t="s">
        <v>61</v>
      </c>
      <c r="N391" s="11" t="s">
        <v>250</v>
      </c>
      <c r="O391" s="11" t="s">
        <v>606</v>
      </c>
      <c r="P391" s="11" t="str">
        <f>VLOOKUP(A391,import!A:P,16,0)</f>
        <v>Geleneksel</v>
      </c>
      <c r="Q391" s="13"/>
      <c r="R391" s="13" t="b">
        <v>1</v>
      </c>
      <c r="S391" s="13" t="b">
        <v>0</v>
      </c>
      <c r="T391" s="14" t="s">
        <v>74</v>
      </c>
      <c r="U391" s="14" t="s">
        <v>95</v>
      </c>
      <c r="V391" s="14" t="s">
        <v>121</v>
      </c>
      <c r="W391" s="14"/>
      <c r="X391" s="24">
        <v>44578.0</v>
      </c>
      <c r="Y391" s="24">
        <v>44579.0</v>
      </c>
      <c r="Z391" s="18"/>
      <c r="AA391" s="19" t="s">
        <v>54</v>
      </c>
      <c r="AB391" s="20">
        <v>44578.0</v>
      </c>
      <c r="AC391" s="19" t="s">
        <v>54</v>
      </c>
      <c r="AD391" s="20">
        <v>44631.0</v>
      </c>
      <c r="AE391" s="21"/>
      <c r="AF391" s="18"/>
      <c r="AG391" s="21"/>
      <c r="AH391" s="18"/>
      <c r="AI391" s="18"/>
      <c r="AJ391" s="18"/>
      <c r="AK391" s="19" t="s">
        <v>95</v>
      </c>
      <c r="AL391" s="19" t="s">
        <v>86</v>
      </c>
      <c r="AM391" s="18"/>
      <c r="AN391" s="18"/>
      <c r="AO391" s="18"/>
      <c r="AP391" s="22" t="s">
        <v>56</v>
      </c>
      <c r="AQ391" s="18"/>
    </row>
    <row r="392">
      <c r="A392" s="11" t="s">
        <v>1930</v>
      </c>
      <c r="B392" s="11" t="s">
        <v>1931</v>
      </c>
      <c r="C392" s="11" t="str">
        <f>VLOOKUP(A392,import!A:C,3,0)</f>
        <v>DOĞRU</v>
      </c>
      <c r="D392" s="11" t="s">
        <v>59</v>
      </c>
      <c r="E392" s="11">
        <f>VLOOKUP(A392,import!A:J,5,0)</f>
        <v>1022</v>
      </c>
      <c r="F392" s="11">
        <f>VLOOKUP(A392,import!A:J,6,0)</f>
        <v>64</v>
      </c>
      <c r="G392" s="11">
        <f>VLOOKUP(A392,import!A:J,7,0)</f>
        <v>5</v>
      </c>
      <c r="H392" s="11">
        <f>VLOOKUP(A392,import!A:J,8,0)</f>
        <v>14</v>
      </c>
      <c r="I392" s="11">
        <f>VLOOKUP(A392,import!A:J,9,0)</f>
        <v>19</v>
      </c>
      <c r="J392" s="12">
        <f>VLOOKUP(A392,import!A:J,10,0)</f>
        <v>0.26</v>
      </c>
      <c r="K392" s="11" t="s">
        <v>1932</v>
      </c>
      <c r="L392" s="11">
        <v>5.379353131E9</v>
      </c>
      <c r="M392" s="11" t="s">
        <v>61</v>
      </c>
      <c r="N392" s="11" t="s">
        <v>62</v>
      </c>
      <c r="O392" s="11" t="s">
        <v>1933</v>
      </c>
      <c r="P392" s="11" t="str">
        <f>VLOOKUP(A392,import!A:P,16,0)</f>
        <v>Geleneksel</v>
      </c>
      <c r="Q392" s="13"/>
      <c r="R392" s="13" t="b">
        <v>1</v>
      </c>
      <c r="S392" s="13" t="b">
        <v>0</v>
      </c>
      <c r="T392" s="14" t="s">
        <v>74</v>
      </c>
      <c r="U392" s="14" t="s">
        <v>95</v>
      </c>
      <c r="V392" s="31" t="s">
        <v>121</v>
      </c>
      <c r="W392" s="14"/>
      <c r="X392" s="24">
        <v>44578.0</v>
      </c>
      <c r="Y392" s="24">
        <v>44579.0</v>
      </c>
      <c r="Z392" s="18"/>
      <c r="AA392" s="19" t="s">
        <v>54</v>
      </c>
      <c r="AB392" s="20">
        <v>44578.0</v>
      </c>
      <c r="AC392" s="19"/>
      <c r="AD392" s="20"/>
      <c r="AE392" s="21"/>
      <c r="AF392" s="18"/>
      <c r="AG392" s="21"/>
      <c r="AH392" s="18"/>
      <c r="AI392" s="18"/>
      <c r="AJ392" s="18"/>
      <c r="AK392" s="19" t="s">
        <v>95</v>
      </c>
      <c r="AL392" s="19"/>
      <c r="AM392" s="18"/>
      <c r="AN392" s="18"/>
      <c r="AO392" s="18"/>
      <c r="AP392" s="22" t="s">
        <v>56</v>
      </c>
      <c r="AQ392" s="18"/>
    </row>
    <row r="393">
      <c r="A393" s="11" t="s">
        <v>1934</v>
      </c>
      <c r="B393" s="11" t="s">
        <v>1935</v>
      </c>
      <c r="C393" s="11" t="str">
        <f>VLOOKUP(A393,import!A:C,3,0)</f>
        <v>DOĞRU</v>
      </c>
      <c r="D393" s="11" t="s">
        <v>69</v>
      </c>
      <c r="E393" s="11">
        <f>VLOOKUP(A393,import!A:J,5,0)</f>
        <v>1547</v>
      </c>
      <c r="F393" s="11">
        <f>VLOOKUP(A393,import!A:J,6,0)</f>
        <v>128</v>
      </c>
      <c r="G393" s="11">
        <f>VLOOKUP(A393,import!A:J,7,0)</f>
        <v>3</v>
      </c>
      <c r="H393" s="11">
        <f>VLOOKUP(A393,import!A:J,8,0)</f>
        <v>21</v>
      </c>
      <c r="I393" s="11">
        <f>VLOOKUP(A393,import!A:J,9,0)</f>
        <v>24</v>
      </c>
      <c r="J393" s="12">
        <f>VLOOKUP(A393,import!A:J,10,0)</f>
        <v>0.13</v>
      </c>
      <c r="K393" s="11" t="s">
        <v>1936</v>
      </c>
      <c r="L393" s="11">
        <v>5.510798018E9</v>
      </c>
      <c r="M393" s="11" t="s">
        <v>61</v>
      </c>
      <c r="N393" s="11" t="s">
        <v>62</v>
      </c>
      <c r="O393" s="11" t="s">
        <v>1937</v>
      </c>
      <c r="P393" s="11" t="str">
        <f>VLOOKUP(A393,import!A:P,16,0)</f>
        <v>Geleneksel</v>
      </c>
      <c r="Q393" s="13"/>
      <c r="R393" s="13" t="b">
        <v>1</v>
      </c>
      <c r="S393" s="13" t="b">
        <v>0</v>
      </c>
      <c r="T393" s="14" t="s">
        <v>74</v>
      </c>
      <c r="U393" s="14" t="s">
        <v>381</v>
      </c>
      <c r="V393" s="23" t="s">
        <v>121</v>
      </c>
      <c r="W393" s="14"/>
      <c r="X393" s="24">
        <v>44578.0</v>
      </c>
      <c r="Y393" s="24">
        <v>44579.0</v>
      </c>
      <c r="Z393" s="18"/>
      <c r="AA393" s="19" t="s">
        <v>54</v>
      </c>
      <c r="AB393" s="20">
        <v>44578.0</v>
      </c>
      <c r="AC393" s="19"/>
      <c r="AD393" s="20"/>
      <c r="AE393" s="21"/>
      <c r="AF393" s="18"/>
      <c r="AG393" s="21"/>
      <c r="AH393" s="18"/>
      <c r="AI393" s="18"/>
      <c r="AJ393" s="18"/>
      <c r="AK393" s="19" t="s">
        <v>381</v>
      </c>
      <c r="AL393" s="19"/>
      <c r="AM393" s="18"/>
      <c r="AN393" s="18"/>
      <c r="AO393" s="18"/>
      <c r="AP393" s="22" t="s">
        <v>56</v>
      </c>
      <c r="AQ393" s="18"/>
    </row>
    <row r="394">
      <c r="A394" s="11" t="s">
        <v>1938</v>
      </c>
      <c r="B394" s="11" t="s">
        <v>1939</v>
      </c>
      <c r="C394" s="11" t="str">
        <f>VLOOKUP(A394,import!A:C,3,0)</f>
        <v>DOĞRU</v>
      </c>
      <c r="D394" s="11" t="s">
        <v>69</v>
      </c>
      <c r="E394" s="11">
        <f>VLOOKUP(A394,import!A:J,5,0)</f>
        <v>92</v>
      </c>
      <c r="F394" s="11">
        <f>VLOOKUP(A394,import!A:J,6,0)</f>
        <v>12</v>
      </c>
      <c r="G394" s="11">
        <f>VLOOKUP(A394,import!A:J,7,0)</f>
        <v>12</v>
      </c>
      <c r="H394" s="11">
        <f>VLOOKUP(A394,import!A:J,8,0)</f>
        <v>16</v>
      </c>
      <c r="I394" s="11">
        <f>VLOOKUP(A394,import!A:J,9,0)</f>
        <v>28</v>
      </c>
      <c r="J394" s="12">
        <f>VLOOKUP(A394,import!A:J,10,0)</f>
        <v>0.43</v>
      </c>
      <c r="K394" s="11" t="s">
        <v>1940</v>
      </c>
      <c r="L394" s="11">
        <v>5.013687251E9</v>
      </c>
      <c r="M394" s="11" t="s">
        <v>61</v>
      </c>
      <c r="N394" s="11" t="s">
        <v>62</v>
      </c>
      <c r="O394" s="11" t="s">
        <v>1941</v>
      </c>
      <c r="P394" s="11" t="str">
        <f>VLOOKUP(A394,import!A:P,16,0)</f>
        <v>Geleneksel</v>
      </c>
      <c r="Q394" s="13"/>
      <c r="R394" s="13" t="b">
        <v>1</v>
      </c>
      <c r="S394" s="13" t="b">
        <v>0</v>
      </c>
      <c r="T394" s="14" t="s">
        <v>74</v>
      </c>
      <c r="U394" s="14" t="s">
        <v>140</v>
      </c>
      <c r="V394" s="30" t="s">
        <v>76</v>
      </c>
      <c r="W394" s="14" t="s">
        <v>1942</v>
      </c>
      <c r="X394" s="24">
        <v>44620.0</v>
      </c>
      <c r="Y394" s="24">
        <v>44621.0</v>
      </c>
      <c r="Z394" s="18"/>
      <c r="AA394" s="19" t="s">
        <v>54</v>
      </c>
      <c r="AB394" s="20">
        <v>44620.0</v>
      </c>
      <c r="AC394" s="19"/>
      <c r="AD394" s="20"/>
      <c r="AE394" s="19"/>
      <c r="AF394" s="20"/>
      <c r="AG394" s="21"/>
      <c r="AH394" s="18"/>
      <c r="AI394" s="18"/>
      <c r="AJ394" s="18"/>
      <c r="AK394" s="19" t="s">
        <v>140</v>
      </c>
      <c r="AL394" s="19"/>
      <c r="AM394" s="19"/>
      <c r="AN394" s="18"/>
      <c r="AO394" s="18"/>
      <c r="AP394" s="22"/>
      <c r="AQ394" s="18"/>
    </row>
    <row r="395">
      <c r="A395" s="11" t="s">
        <v>1943</v>
      </c>
      <c r="B395" s="11" t="s">
        <v>1944</v>
      </c>
      <c r="C395" s="11" t="str">
        <f>VLOOKUP(A395,import!A:C,3,0)</f>
        <v>DOĞRU</v>
      </c>
      <c r="D395" s="11" t="s">
        <v>69</v>
      </c>
      <c r="E395" s="11">
        <f>VLOOKUP(A395,import!A:J,5,0)</f>
        <v>1181</v>
      </c>
      <c r="F395" s="11">
        <f>VLOOKUP(A395,import!A:J,6,0)</f>
        <v>8</v>
      </c>
      <c r="G395" s="11">
        <f>VLOOKUP(A395,import!A:J,7,0)</f>
        <v>0</v>
      </c>
      <c r="H395" s="11">
        <f>VLOOKUP(A395,import!A:J,8,0)</f>
        <v>19</v>
      </c>
      <c r="I395" s="11">
        <f>VLOOKUP(A395,import!A:J,9,0)</f>
        <v>19</v>
      </c>
      <c r="J395" s="12">
        <f>VLOOKUP(A395,import!A:J,10,0)</f>
        <v>0</v>
      </c>
      <c r="K395" s="11" t="s">
        <v>1945</v>
      </c>
      <c r="L395" s="11">
        <v>5.38951707E9</v>
      </c>
      <c r="M395" s="11" t="s">
        <v>61</v>
      </c>
      <c r="N395" s="11" t="s">
        <v>62</v>
      </c>
      <c r="O395" s="11" t="s">
        <v>1946</v>
      </c>
      <c r="P395" s="11" t="str">
        <f>VLOOKUP(A395,import!A:P,16,0)</f>
        <v>Geleneksel</v>
      </c>
      <c r="Q395" s="13"/>
      <c r="R395" s="13" t="b">
        <v>1</v>
      </c>
      <c r="S395" s="13" t="b">
        <v>0</v>
      </c>
      <c r="T395" s="14" t="s">
        <v>168</v>
      </c>
      <c r="U395" s="15"/>
      <c r="V395" s="15"/>
      <c r="W395" s="14" t="s">
        <v>1947</v>
      </c>
      <c r="X395" s="17"/>
      <c r="Y395" s="17"/>
      <c r="Z395" s="18"/>
      <c r="AA395" s="19" t="s">
        <v>54</v>
      </c>
      <c r="AB395" s="20">
        <v>44358.0</v>
      </c>
      <c r="AC395" s="19" t="s">
        <v>78</v>
      </c>
      <c r="AD395" s="20">
        <v>44377.0</v>
      </c>
      <c r="AE395" s="21"/>
      <c r="AF395" s="18"/>
      <c r="AG395" s="21"/>
      <c r="AH395" s="18"/>
      <c r="AI395" s="18"/>
      <c r="AJ395" s="18"/>
      <c r="AK395" s="19" t="s">
        <v>55</v>
      </c>
      <c r="AL395" s="19" t="s">
        <v>79</v>
      </c>
      <c r="AM395" s="18"/>
      <c r="AN395" s="18"/>
      <c r="AO395" s="18"/>
      <c r="AP395" s="22" t="s">
        <v>56</v>
      </c>
      <c r="AQ395" s="18"/>
    </row>
    <row r="396">
      <c r="A396" s="11" t="s">
        <v>1948</v>
      </c>
      <c r="B396" s="11" t="s">
        <v>1949</v>
      </c>
      <c r="C396" s="11" t="str">
        <f>VLOOKUP(A396,import!A:C,3,0)</f>
        <v>DOĞRU</v>
      </c>
      <c r="D396" s="11" t="s">
        <v>653</v>
      </c>
      <c r="E396" s="11">
        <f>VLOOKUP(A396,import!A:J,5,0)</f>
        <v>1141</v>
      </c>
      <c r="F396" s="11">
        <f>VLOOKUP(A396,import!A:J,6,0)</f>
        <v>10</v>
      </c>
      <c r="G396" s="11">
        <f>VLOOKUP(A396,import!A:J,7,0)</f>
        <v>0</v>
      </c>
      <c r="H396" s="11">
        <f>VLOOKUP(A396,import!A:J,8,0)</f>
        <v>2</v>
      </c>
      <c r="I396" s="11">
        <f>VLOOKUP(A396,import!A:J,9,0)</f>
        <v>2</v>
      </c>
      <c r="J396" s="12">
        <f>VLOOKUP(A396,import!A:J,10,0)</f>
        <v>0</v>
      </c>
      <c r="K396" s="11" t="s">
        <v>1950</v>
      </c>
      <c r="L396" s="11">
        <v>3.522233637E9</v>
      </c>
      <c r="M396" s="11" t="s">
        <v>71</v>
      </c>
      <c r="N396" s="11" t="s">
        <v>265</v>
      </c>
      <c r="O396" s="11" t="s">
        <v>1951</v>
      </c>
      <c r="P396" s="11" t="str">
        <f>VLOOKUP(A396,import!A:P,16,0)</f>
        <v>Geleneksel</v>
      </c>
      <c r="Q396" s="13"/>
      <c r="R396" s="13" t="b">
        <v>1</v>
      </c>
      <c r="S396" s="13" t="b">
        <v>1</v>
      </c>
      <c r="T396" s="14"/>
      <c r="U396" s="14"/>
      <c r="V396" s="14"/>
      <c r="W396" s="14" t="s">
        <v>1952</v>
      </c>
      <c r="X396" s="24"/>
      <c r="Y396" s="24"/>
      <c r="Z396" s="18"/>
      <c r="AA396" s="19" t="s">
        <v>347</v>
      </c>
      <c r="AB396" s="20">
        <v>44629.0</v>
      </c>
      <c r="AC396" s="18"/>
      <c r="AD396" s="18"/>
      <c r="AE396" s="21"/>
      <c r="AF396" s="18"/>
      <c r="AG396" s="21"/>
      <c r="AH396" s="18"/>
      <c r="AI396" s="18"/>
      <c r="AJ396" s="18"/>
      <c r="AK396" s="19" t="s">
        <v>75</v>
      </c>
      <c r="AL396" s="18"/>
      <c r="AM396" s="18"/>
      <c r="AN396" s="18"/>
      <c r="AO396" s="18"/>
      <c r="AP396" s="22" t="s">
        <v>56</v>
      </c>
      <c r="AQ396" s="18"/>
    </row>
    <row r="397">
      <c r="A397" s="11" t="s">
        <v>1953</v>
      </c>
      <c r="B397" s="11" t="s">
        <v>1954</v>
      </c>
      <c r="C397" s="11" t="str">
        <f>VLOOKUP(A397,import!A:C,3,0)</f>
        <v>DOĞRU</v>
      </c>
      <c r="D397" s="11" t="s">
        <v>172</v>
      </c>
      <c r="E397" s="11">
        <f>VLOOKUP(A397,import!A:J,5,0)</f>
        <v>438</v>
      </c>
      <c r="F397" s="11">
        <f>VLOOKUP(A397,import!A:J,6,0)</f>
        <v>37</v>
      </c>
      <c r="G397" s="11">
        <f>VLOOKUP(A397,import!A:J,7,0)</f>
        <v>7</v>
      </c>
      <c r="H397" s="11">
        <f>VLOOKUP(A397,import!A:J,8,0)</f>
        <v>11</v>
      </c>
      <c r="I397" s="11">
        <f>VLOOKUP(A397,import!A:J,9,0)</f>
        <v>18</v>
      </c>
      <c r="J397" s="12">
        <f>VLOOKUP(A397,import!A:J,10,0)</f>
        <v>0.39</v>
      </c>
      <c r="K397" s="11" t="s">
        <v>1955</v>
      </c>
      <c r="L397" s="11">
        <v>5.0134138E9</v>
      </c>
      <c r="M397" s="11" t="s">
        <v>47</v>
      </c>
      <c r="N397" s="11" t="s">
        <v>48</v>
      </c>
      <c r="O397" s="11" t="s">
        <v>1956</v>
      </c>
      <c r="P397" s="11" t="str">
        <f>VLOOKUP(A397,import!A:P,16,0)</f>
        <v>Geleneksel</v>
      </c>
      <c r="Q397" s="13"/>
      <c r="R397" s="13" t="b">
        <v>1</v>
      </c>
      <c r="S397" s="13" t="b">
        <v>0</v>
      </c>
      <c r="T397" s="14" t="s">
        <v>74</v>
      </c>
      <c r="U397" s="14" t="s">
        <v>110</v>
      </c>
      <c r="V397" s="23" t="s">
        <v>121</v>
      </c>
      <c r="W397" s="14"/>
      <c r="X397" s="24">
        <v>44571.0</v>
      </c>
      <c r="Y397" s="24">
        <v>44572.0</v>
      </c>
      <c r="Z397" s="18"/>
      <c r="AA397" s="19" t="s">
        <v>54</v>
      </c>
      <c r="AB397" s="20">
        <v>44571.0</v>
      </c>
      <c r="AC397" s="19"/>
      <c r="AD397" s="20"/>
      <c r="AE397" s="21"/>
      <c r="AF397" s="18"/>
      <c r="AG397" s="21"/>
      <c r="AH397" s="18"/>
      <c r="AI397" s="18"/>
      <c r="AJ397" s="18"/>
      <c r="AK397" s="19" t="s">
        <v>110</v>
      </c>
      <c r="AL397" s="19"/>
      <c r="AM397" s="18"/>
      <c r="AN397" s="18"/>
      <c r="AO397" s="18"/>
      <c r="AP397" s="22"/>
      <c r="AQ397" s="18"/>
    </row>
    <row r="398">
      <c r="A398" s="11" t="s">
        <v>1957</v>
      </c>
      <c r="B398" s="11" t="s">
        <v>1958</v>
      </c>
      <c r="C398" s="11" t="str">
        <f>VLOOKUP(A398,import!A:C,3,0)</f>
        <v>DOĞRU</v>
      </c>
      <c r="D398" s="11" t="s">
        <v>83</v>
      </c>
      <c r="E398" s="11">
        <f>VLOOKUP(A398,import!A:J,5,0)</f>
        <v>286</v>
      </c>
      <c r="F398" s="11">
        <f>VLOOKUP(A398,import!A:J,6,0)</f>
        <v>6</v>
      </c>
      <c r="G398" s="11">
        <f>VLOOKUP(A398,import!A:J,7,0)</f>
        <v>0</v>
      </c>
      <c r="H398" s="11">
        <f>VLOOKUP(A398,import!A:J,8,0)</f>
        <v>32</v>
      </c>
      <c r="I398" s="11">
        <f>VLOOKUP(A398,import!A:J,9,0)</f>
        <v>32</v>
      </c>
      <c r="J398" s="12">
        <f>VLOOKUP(A398,import!A:J,10,0)</f>
        <v>0</v>
      </c>
      <c r="K398" s="11" t="s">
        <v>1959</v>
      </c>
      <c r="L398" s="11">
        <v>5.459360038E9</v>
      </c>
      <c r="M398" s="11" t="s">
        <v>47</v>
      </c>
      <c r="N398" s="11" t="s">
        <v>339</v>
      </c>
      <c r="O398" s="11" t="s">
        <v>1960</v>
      </c>
      <c r="P398" s="11" t="str">
        <f>VLOOKUP(A398,import!A:P,16,0)</f>
        <v>Geleneksel</v>
      </c>
      <c r="Q398" s="13"/>
      <c r="R398" s="13" t="b">
        <v>1</v>
      </c>
      <c r="S398" s="13" t="b">
        <v>0</v>
      </c>
      <c r="T398" s="14" t="s">
        <v>64</v>
      </c>
      <c r="U398" s="14"/>
      <c r="V398" s="14"/>
      <c r="W398" s="14" t="s">
        <v>1961</v>
      </c>
      <c r="X398" s="17"/>
      <c r="Y398" s="17"/>
      <c r="Z398" s="18"/>
      <c r="AA398" s="19" t="s">
        <v>54</v>
      </c>
      <c r="AB398" s="20">
        <v>44354.0</v>
      </c>
      <c r="AC398" s="19" t="s">
        <v>54</v>
      </c>
      <c r="AD398" s="20">
        <v>44635.0</v>
      </c>
      <c r="AE398" s="21"/>
      <c r="AF398" s="18"/>
      <c r="AG398" s="21"/>
      <c r="AH398" s="18"/>
      <c r="AI398" s="18"/>
      <c r="AJ398" s="18"/>
      <c r="AK398" s="19" t="s">
        <v>79</v>
      </c>
      <c r="AL398" s="19" t="s">
        <v>110</v>
      </c>
      <c r="AM398" s="18"/>
      <c r="AN398" s="18"/>
      <c r="AO398" s="18"/>
      <c r="AP398" s="22" t="s">
        <v>56</v>
      </c>
      <c r="AQ398" s="18"/>
    </row>
    <row r="399">
      <c r="A399" s="11" t="s">
        <v>1962</v>
      </c>
      <c r="B399" s="11" t="s">
        <v>1963</v>
      </c>
      <c r="C399" s="11" t="str">
        <f>VLOOKUP(A399,import!A:C,3,0)</f>
        <v>DOĞRU</v>
      </c>
      <c r="D399" s="11" t="s">
        <v>165</v>
      </c>
      <c r="E399" s="11">
        <f>VLOOKUP(A399,import!A:J,5,0)</f>
        <v>27</v>
      </c>
      <c r="F399" s="11" t="str">
        <f>VLOOKUP(A399,import!A:J,6,0)</f>
        <v/>
      </c>
      <c r="G399" s="11">
        <f>VLOOKUP(A399,import!A:J,7,0)</f>
        <v>9</v>
      </c>
      <c r="H399" s="11">
        <f>VLOOKUP(A399,import!A:J,8,0)</f>
        <v>3</v>
      </c>
      <c r="I399" s="11">
        <f>VLOOKUP(A399,import!A:J,9,0)</f>
        <v>12</v>
      </c>
      <c r="J399" s="12">
        <f>VLOOKUP(A399,import!A:J,10,0)</f>
        <v>0.75</v>
      </c>
      <c r="K399" s="11" t="s">
        <v>1964</v>
      </c>
      <c r="L399" s="11">
        <v>3.522200034E9</v>
      </c>
      <c r="M399" s="11" t="s">
        <v>47</v>
      </c>
      <c r="N399" s="11" t="s">
        <v>339</v>
      </c>
      <c r="O399" s="11" t="s">
        <v>1965</v>
      </c>
      <c r="P399" s="11" t="str">
        <f>VLOOKUP(A399,import!A:P,16,0)</f>
        <v>Geleneksel</v>
      </c>
      <c r="Q399" s="13"/>
      <c r="R399" s="13" t="b">
        <v>1</v>
      </c>
      <c r="S399" s="13" t="b">
        <v>0</v>
      </c>
      <c r="T399" s="14" t="s">
        <v>74</v>
      </c>
      <c r="U399" s="14" t="s">
        <v>110</v>
      </c>
      <c r="V399" s="30" t="s">
        <v>76</v>
      </c>
      <c r="W399" s="14"/>
      <c r="X399" s="24">
        <v>44603.0</v>
      </c>
      <c r="Y399" s="24">
        <v>44608.0</v>
      </c>
      <c r="Z399" s="18"/>
      <c r="AA399" s="19" t="s">
        <v>53</v>
      </c>
      <c r="AB399" s="20">
        <v>44586.0</v>
      </c>
      <c r="AC399" s="19" t="s">
        <v>54</v>
      </c>
      <c r="AD399" s="20">
        <v>44601.0</v>
      </c>
      <c r="AE399" s="19" t="s">
        <v>54</v>
      </c>
      <c r="AF399" s="20">
        <v>44603.0</v>
      </c>
      <c r="AG399" s="21"/>
      <c r="AH399" s="18"/>
      <c r="AI399" s="18"/>
      <c r="AJ399" s="18"/>
      <c r="AK399" s="19" t="s">
        <v>140</v>
      </c>
      <c r="AL399" s="19" t="s">
        <v>110</v>
      </c>
      <c r="AM399" s="19" t="s">
        <v>110</v>
      </c>
      <c r="AN399" s="18"/>
      <c r="AO399" s="18"/>
      <c r="AP399" s="22"/>
      <c r="AQ399" s="18"/>
    </row>
    <row r="400">
      <c r="A400" s="11" t="s">
        <v>1966</v>
      </c>
      <c r="B400" s="11" t="s">
        <v>1967</v>
      </c>
      <c r="C400" s="11" t="str">
        <f>VLOOKUP(A400,import!A:C,3,0)</f>
        <v>DOĞRU</v>
      </c>
      <c r="D400" s="11" t="s">
        <v>505</v>
      </c>
      <c r="E400" s="11">
        <f>VLOOKUP(A400,import!A:J,5,0)</f>
        <v>489</v>
      </c>
      <c r="F400" s="11" t="str">
        <f>VLOOKUP(A400,import!A:J,6,0)</f>
        <v/>
      </c>
      <c r="G400" s="11">
        <f>VLOOKUP(A400,import!A:J,7,0)</f>
        <v>3</v>
      </c>
      <c r="H400" s="11">
        <f>VLOOKUP(A400,import!A:J,8,0)</f>
        <v>2</v>
      </c>
      <c r="I400" s="11">
        <f>VLOOKUP(A400,import!A:J,9,0)</f>
        <v>5</v>
      </c>
      <c r="J400" s="12">
        <f>VLOOKUP(A400,import!A:J,10,0)</f>
        <v>0.6</v>
      </c>
      <c r="K400" s="11" t="s">
        <v>1968</v>
      </c>
      <c r="L400" s="11">
        <v>5.360612556E9</v>
      </c>
      <c r="M400" s="11" t="s">
        <v>71</v>
      </c>
      <c r="N400" s="11" t="s">
        <v>62</v>
      </c>
      <c r="O400" s="11" t="s">
        <v>1969</v>
      </c>
      <c r="P400" s="11" t="str">
        <f>VLOOKUP(A400,import!A:P,16,0)</f>
        <v>Geleneksel</v>
      </c>
      <c r="Q400" s="13"/>
      <c r="R400" s="13" t="b">
        <v>1</v>
      </c>
      <c r="S400" s="13" t="b">
        <v>0</v>
      </c>
      <c r="T400" s="14" t="s">
        <v>74</v>
      </c>
      <c r="U400" s="14" t="s">
        <v>66</v>
      </c>
      <c r="V400" s="30" t="s">
        <v>76</v>
      </c>
      <c r="W400" s="14" t="s">
        <v>1970</v>
      </c>
      <c r="X400" s="24">
        <v>44613.0</v>
      </c>
      <c r="Y400" s="24">
        <v>44614.0</v>
      </c>
      <c r="Z400" s="18"/>
      <c r="AA400" s="19" t="s">
        <v>54</v>
      </c>
      <c r="AB400" s="20">
        <v>44613.0</v>
      </c>
      <c r="AC400" s="19"/>
      <c r="AD400" s="20"/>
      <c r="AE400" s="21"/>
      <c r="AF400" s="18"/>
      <c r="AG400" s="21"/>
      <c r="AH400" s="18"/>
      <c r="AI400" s="18"/>
      <c r="AJ400" s="18"/>
      <c r="AK400" s="19" t="s">
        <v>66</v>
      </c>
      <c r="AL400" s="19"/>
      <c r="AM400" s="18"/>
      <c r="AN400" s="18"/>
      <c r="AO400" s="18"/>
      <c r="AP400" s="22" t="s">
        <v>56</v>
      </c>
      <c r="AQ400" s="18"/>
    </row>
    <row r="401">
      <c r="A401" s="11" t="s">
        <v>1971</v>
      </c>
      <c r="B401" s="11" t="s">
        <v>1972</v>
      </c>
      <c r="C401" s="11" t="str">
        <f>VLOOKUP(A401,import!A:C,3,0)</f>
        <v>DOĞRU</v>
      </c>
      <c r="D401" s="11" t="s">
        <v>69</v>
      </c>
      <c r="E401" s="11" t="str">
        <f>VLOOKUP(A401,import!A:J,5,0)</f>
        <v/>
      </c>
      <c r="F401" s="11" t="str">
        <f>VLOOKUP(A401,import!A:J,6,0)</f>
        <v/>
      </c>
      <c r="G401" s="11">
        <f>VLOOKUP(A401,import!A:J,7,0)</f>
        <v>0</v>
      </c>
      <c r="H401" s="11">
        <f>VLOOKUP(A401,import!A:J,8,0)</f>
        <v>18</v>
      </c>
      <c r="I401" s="11">
        <f>VLOOKUP(A401,import!A:J,9,0)</f>
        <v>18</v>
      </c>
      <c r="J401" s="12">
        <f>VLOOKUP(A401,import!A:J,10,0)</f>
        <v>0</v>
      </c>
      <c r="K401" s="11" t="s">
        <v>1973</v>
      </c>
      <c r="L401" s="11">
        <v>5.074086767E9</v>
      </c>
      <c r="M401" s="11" t="s">
        <v>47</v>
      </c>
      <c r="N401" s="11" t="s">
        <v>1085</v>
      </c>
      <c r="O401" s="11" t="s">
        <v>1974</v>
      </c>
      <c r="P401" s="11" t="str">
        <f>VLOOKUP(A401,import!A:P,16,0)</f>
        <v>Geleneksel</v>
      </c>
      <c r="Q401" s="13"/>
      <c r="R401" s="13" t="b">
        <v>1</v>
      </c>
      <c r="S401" s="13" t="b">
        <v>0</v>
      </c>
      <c r="T401" s="14" t="s">
        <v>74</v>
      </c>
      <c r="U401" s="14" t="s">
        <v>110</v>
      </c>
      <c r="V401" s="30" t="s">
        <v>76</v>
      </c>
      <c r="W401" s="14"/>
      <c r="X401" s="24">
        <v>44662.0</v>
      </c>
      <c r="Y401" s="24">
        <v>44664.0</v>
      </c>
      <c r="Z401" s="18"/>
      <c r="AA401" s="19" t="s">
        <v>54</v>
      </c>
      <c r="AB401" s="20">
        <v>44662.0</v>
      </c>
      <c r="AC401" s="19"/>
      <c r="AD401" s="20"/>
      <c r="AE401" s="19"/>
      <c r="AF401" s="20"/>
      <c r="AG401" s="21"/>
      <c r="AH401" s="18"/>
      <c r="AI401" s="18"/>
      <c r="AJ401" s="18"/>
      <c r="AK401" s="19" t="s">
        <v>110</v>
      </c>
      <c r="AL401" s="19"/>
      <c r="AM401" s="19"/>
      <c r="AN401" s="18"/>
      <c r="AO401" s="18"/>
      <c r="AP401" s="22"/>
      <c r="AQ401" s="18"/>
    </row>
    <row r="402">
      <c r="A402" s="11" t="s">
        <v>1975</v>
      </c>
      <c r="B402" s="11" t="s">
        <v>1976</v>
      </c>
      <c r="C402" s="11" t="str">
        <f>VLOOKUP(A402,import!A:C,3,0)</f>
        <v>DOĞRU</v>
      </c>
      <c r="D402" s="11" t="s">
        <v>100</v>
      </c>
      <c r="E402" s="11">
        <f>VLOOKUP(A402,import!A:J,5,0)</f>
        <v>280</v>
      </c>
      <c r="F402" s="11">
        <f>VLOOKUP(A402,import!A:J,6,0)</f>
        <v>15</v>
      </c>
      <c r="G402" s="11">
        <f>VLOOKUP(A402,import!A:J,7,0)</f>
        <v>0</v>
      </c>
      <c r="H402" s="11">
        <f>VLOOKUP(A402,import!A:J,8,0)</f>
        <v>9</v>
      </c>
      <c r="I402" s="11">
        <f>VLOOKUP(A402,import!A:J,9,0)</f>
        <v>9</v>
      </c>
      <c r="J402" s="12">
        <f>VLOOKUP(A402,import!A:J,10,0)</f>
        <v>0</v>
      </c>
      <c r="K402" s="11" t="s">
        <v>1977</v>
      </c>
      <c r="L402" s="11">
        <v>3.523390999E9</v>
      </c>
      <c r="M402" s="11" t="s">
        <v>71</v>
      </c>
      <c r="N402" s="11" t="s">
        <v>62</v>
      </c>
      <c r="O402" s="11" t="s">
        <v>1978</v>
      </c>
      <c r="P402" s="11" t="str">
        <f>VLOOKUP(A402,import!A:P,16,0)</f>
        <v>Geleneksel</v>
      </c>
      <c r="Q402" s="13"/>
      <c r="R402" s="13" t="b">
        <v>1</v>
      </c>
      <c r="S402" s="13" t="b">
        <v>0</v>
      </c>
      <c r="T402" s="14" t="s">
        <v>74</v>
      </c>
      <c r="U402" s="14" t="s">
        <v>86</v>
      </c>
      <c r="V402" s="30" t="s">
        <v>76</v>
      </c>
      <c r="W402" s="14"/>
      <c r="X402" s="24">
        <v>44611.0</v>
      </c>
      <c r="Y402" s="24">
        <v>44614.0</v>
      </c>
      <c r="Z402" s="18"/>
      <c r="AA402" s="19" t="s">
        <v>54</v>
      </c>
      <c r="AB402" s="20">
        <v>44611.0</v>
      </c>
      <c r="AC402" s="19"/>
      <c r="AD402" s="20"/>
      <c r="AE402" s="21"/>
      <c r="AF402" s="18"/>
      <c r="AG402" s="21"/>
      <c r="AH402" s="18"/>
      <c r="AI402" s="18"/>
      <c r="AJ402" s="18"/>
      <c r="AK402" s="19" t="s">
        <v>86</v>
      </c>
      <c r="AL402" s="19"/>
      <c r="AM402" s="18"/>
      <c r="AN402" s="18"/>
      <c r="AO402" s="18"/>
      <c r="AP402" s="22" t="s">
        <v>56</v>
      </c>
      <c r="AQ402" s="18"/>
    </row>
    <row r="403">
      <c r="A403" s="11" t="s">
        <v>1979</v>
      </c>
      <c r="B403" s="11" t="s">
        <v>1980</v>
      </c>
      <c r="C403" s="11" t="str">
        <f>VLOOKUP(A403,import!A:C,3,0)</f>
        <v>DOĞRU</v>
      </c>
      <c r="D403" s="11" t="s">
        <v>100</v>
      </c>
      <c r="E403" s="11">
        <f>VLOOKUP(A403,import!A:J,5,0)</f>
        <v>191</v>
      </c>
      <c r="F403" s="11">
        <f>VLOOKUP(A403,import!A:J,6,0)</f>
        <v>5</v>
      </c>
      <c r="G403" s="11">
        <f>VLOOKUP(A403,import!A:J,7,0)</f>
        <v>4</v>
      </c>
      <c r="H403" s="11">
        <f>VLOOKUP(A403,import!A:J,8,0)</f>
        <v>19</v>
      </c>
      <c r="I403" s="11">
        <f>VLOOKUP(A403,import!A:J,9,0)</f>
        <v>23</v>
      </c>
      <c r="J403" s="12">
        <f>VLOOKUP(A403,import!A:J,10,0)</f>
        <v>0.17</v>
      </c>
      <c r="K403" s="11" t="s">
        <v>1981</v>
      </c>
      <c r="L403" s="11">
        <v>3.522454043E9</v>
      </c>
      <c r="M403" s="11" t="s">
        <v>71</v>
      </c>
      <c r="N403" s="11" t="s">
        <v>1982</v>
      </c>
      <c r="O403" s="11" t="s">
        <v>1983</v>
      </c>
      <c r="P403" s="11" t="str">
        <f>VLOOKUP(A403,import!A:P,16,0)</f>
        <v>Geleneksel</v>
      </c>
      <c r="Q403" s="13"/>
      <c r="R403" s="13" t="b">
        <v>1</v>
      </c>
      <c r="S403" s="13" t="b">
        <v>0</v>
      </c>
      <c r="T403" s="14" t="s">
        <v>74</v>
      </c>
      <c r="U403" s="14" t="s">
        <v>79</v>
      </c>
      <c r="V403" s="14" t="s">
        <v>96</v>
      </c>
      <c r="W403" s="14" t="s">
        <v>1984</v>
      </c>
      <c r="X403" s="24">
        <v>44361.0</v>
      </c>
      <c r="Y403" s="24">
        <v>44365.0</v>
      </c>
      <c r="Z403" s="19" t="s">
        <v>711</v>
      </c>
      <c r="AA403" s="19" t="s">
        <v>54</v>
      </c>
      <c r="AB403" s="20">
        <v>44348.0</v>
      </c>
      <c r="AC403" s="19" t="s">
        <v>54</v>
      </c>
      <c r="AD403" s="20">
        <v>44361.0</v>
      </c>
      <c r="AE403" s="21"/>
      <c r="AF403" s="18"/>
      <c r="AG403" s="21"/>
      <c r="AH403" s="18"/>
      <c r="AI403" s="18"/>
      <c r="AJ403" s="18"/>
      <c r="AK403" s="19" t="s">
        <v>55</v>
      </c>
      <c r="AL403" s="19" t="s">
        <v>79</v>
      </c>
      <c r="AM403" s="18"/>
      <c r="AN403" s="18"/>
      <c r="AO403" s="18"/>
      <c r="AP403" s="22" t="s">
        <v>56</v>
      </c>
      <c r="AQ403" s="18"/>
    </row>
    <row r="404">
      <c r="A404" s="11" t="s">
        <v>1985</v>
      </c>
      <c r="B404" s="11" t="s">
        <v>1986</v>
      </c>
      <c r="C404" s="11" t="str">
        <f>VLOOKUP(A404,import!A:C,3,0)</f>
        <v>DOĞRU</v>
      </c>
      <c r="D404" s="11" t="s">
        <v>100</v>
      </c>
      <c r="E404" s="11" t="str">
        <f>VLOOKUP(A404,import!A:J,5,0)</f>
        <v/>
      </c>
      <c r="F404" s="11" t="str">
        <f>VLOOKUP(A404,import!A:J,6,0)</f>
        <v/>
      </c>
      <c r="G404" s="11">
        <f>VLOOKUP(A404,import!A:J,7,0)</f>
        <v>0</v>
      </c>
      <c r="H404" s="11">
        <f>VLOOKUP(A404,import!A:J,8,0)</f>
        <v>9</v>
      </c>
      <c r="I404" s="11">
        <f>VLOOKUP(A404,import!A:J,9,0)</f>
        <v>9</v>
      </c>
      <c r="J404" s="12">
        <f>VLOOKUP(A404,import!A:J,10,0)</f>
        <v>0</v>
      </c>
      <c r="K404" s="11" t="s">
        <v>1987</v>
      </c>
      <c r="L404" s="11">
        <v>5.333437787E9</v>
      </c>
      <c r="M404" s="11" t="s">
        <v>47</v>
      </c>
      <c r="N404" s="11">
        <v>44803.0</v>
      </c>
      <c r="O404" s="11" t="s">
        <v>1988</v>
      </c>
      <c r="P404" s="11" t="str">
        <f>VLOOKUP(A404,import!A:P,16,0)</f>
        <v>Geleneksel</v>
      </c>
      <c r="Q404" s="13"/>
      <c r="R404" s="13" t="b">
        <v>1</v>
      </c>
      <c r="S404" s="13" t="b">
        <v>0</v>
      </c>
      <c r="T404" s="14"/>
      <c r="U404" s="14"/>
      <c r="V404" s="14"/>
      <c r="W404" s="14" t="s">
        <v>1989</v>
      </c>
      <c r="X404" s="24"/>
      <c r="Y404" s="24"/>
      <c r="Z404" s="18"/>
      <c r="AA404" s="19" t="s">
        <v>78</v>
      </c>
      <c r="AB404" s="20">
        <v>44648.0</v>
      </c>
      <c r="AC404" s="19"/>
      <c r="AD404" s="20"/>
      <c r="AE404" s="19"/>
      <c r="AF404" s="20"/>
      <c r="AG404" s="21"/>
      <c r="AH404" s="18"/>
      <c r="AI404" s="18"/>
      <c r="AJ404" s="18"/>
      <c r="AK404" s="19" t="s">
        <v>110</v>
      </c>
      <c r="AL404" s="19"/>
      <c r="AM404" s="19"/>
      <c r="AN404" s="18"/>
      <c r="AO404" s="18"/>
      <c r="AP404" s="22"/>
      <c r="AQ404" s="18"/>
    </row>
    <row r="405">
      <c r="A405" s="22" t="s">
        <v>1990</v>
      </c>
      <c r="B405" s="22" t="s">
        <v>1991</v>
      </c>
      <c r="C405" s="11" t="str">
        <f>VLOOKUP(A405,import!A:C,3,0)</f>
        <v>DOĞRU</v>
      </c>
      <c r="D405" s="22" t="s">
        <v>100</v>
      </c>
      <c r="E405" s="11">
        <f>VLOOKUP(A405,import!A:J,5,0)</f>
        <v>5</v>
      </c>
      <c r="F405" s="11">
        <f>VLOOKUP(A405,import!A:J,6,0)</f>
        <v>5</v>
      </c>
      <c r="G405" s="11">
        <f>VLOOKUP(A405,import!A:J,7,0)</f>
        <v>0</v>
      </c>
      <c r="H405" s="11">
        <f>VLOOKUP(A405,import!A:J,8,0)</f>
        <v>9</v>
      </c>
      <c r="I405" s="11">
        <f>VLOOKUP(A405,import!A:J,9,0)</f>
        <v>9</v>
      </c>
      <c r="J405" s="12">
        <f>VLOOKUP(A405,import!A:J,10,0)</f>
        <v>0</v>
      </c>
      <c r="K405" s="22" t="s">
        <v>1992</v>
      </c>
      <c r="L405" s="22">
        <v>3.523318866E9</v>
      </c>
      <c r="M405" s="22" t="s">
        <v>47</v>
      </c>
      <c r="N405" s="22" t="s">
        <v>277</v>
      </c>
      <c r="O405" s="22" t="s">
        <v>1993</v>
      </c>
      <c r="P405" s="11" t="str">
        <f>VLOOKUP(A405,import!A:P,16,0)</f>
        <v>Geleneksel</v>
      </c>
      <c r="Q405" s="13"/>
      <c r="R405" s="13" t="b">
        <v>1</v>
      </c>
      <c r="S405" s="13" t="b">
        <v>0</v>
      </c>
      <c r="T405" s="14" t="s">
        <v>74</v>
      </c>
      <c r="U405" s="14" t="s">
        <v>110</v>
      </c>
      <c r="V405" s="33" t="s">
        <v>76</v>
      </c>
      <c r="W405" s="14" t="s">
        <v>1994</v>
      </c>
      <c r="X405" s="24">
        <v>44676.0</v>
      </c>
      <c r="Y405" s="24">
        <v>44678.0</v>
      </c>
      <c r="Z405" s="18"/>
      <c r="AA405" s="19" t="s">
        <v>54</v>
      </c>
      <c r="AB405" s="20">
        <v>44676.0</v>
      </c>
      <c r="AC405" s="19"/>
      <c r="AD405" s="20"/>
      <c r="AE405" s="19"/>
      <c r="AF405" s="20"/>
      <c r="AG405" s="21"/>
      <c r="AH405" s="18"/>
      <c r="AI405" s="18"/>
      <c r="AJ405" s="18"/>
      <c r="AK405" s="19" t="s">
        <v>110</v>
      </c>
      <c r="AL405" s="19"/>
      <c r="AM405" s="19"/>
      <c r="AN405" s="18"/>
      <c r="AO405" s="18"/>
      <c r="AP405" s="22"/>
      <c r="AQ405" s="18"/>
    </row>
    <row r="406">
      <c r="A406" s="11" t="s">
        <v>1995</v>
      </c>
      <c r="B406" s="11" t="s">
        <v>1996</v>
      </c>
      <c r="C406" s="11" t="str">
        <f>VLOOKUP(A406,import!A:C,3,0)</f>
        <v>DOĞRU</v>
      </c>
      <c r="D406" s="11" t="s">
        <v>100</v>
      </c>
      <c r="E406" s="11">
        <f>VLOOKUP(A406,import!A:J,5,0)</f>
        <v>46</v>
      </c>
      <c r="F406" s="11">
        <f>VLOOKUP(A406,import!A:J,6,0)</f>
        <v>2</v>
      </c>
      <c r="G406" s="11">
        <f>VLOOKUP(A406,import!A:J,7,0)</f>
        <v>14</v>
      </c>
      <c r="H406" s="11">
        <f>VLOOKUP(A406,import!A:J,8,0)</f>
        <v>3</v>
      </c>
      <c r="I406" s="11">
        <f>VLOOKUP(A406,import!A:J,9,0)</f>
        <v>17</v>
      </c>
      <c r="J406" s="12">
        <f>VLOOKUP(A406,import!A:J,10,0)</f>
        <v>0.82</v>
      </c>
      <c r="K406" s="11" t="s">
        <v>1702</v>
      </c>
      <c r="L406" s="11">
        <v>5.013665001E9</v>
      </c>
      <c r="M406" s="11" t="s">
        <v>61</v>
      </c>
      <c r="N406" s="11" t="s">
        <v>62</v>
      </c>
      <c r="O406" s="11" t="s">
        <v>1703</v>
      </c>
      <c r="P406" s="11" t="str">
        <f>VLOOKUP(A406,import!A:P,16,0)</f>
        <v>Geleneksel</v>
      </c>
      <c r="Q406" s="13"/>
      <c r="R406" s="13" t="b">
        <v>1</v>
      </c>
      <c r="S406" s="13" t="b">
        <v>0</v>
      </c>
      <c r="T406" s="14" t="s">
        <v>133</v>
      </c>
      <c r="U406" s="14"/>
      <c r="V406" s="14"/>
      <c r="W406" s="14"/>
      <c r="X406" s="24"/>
      <c r="Y406" s="24"/>
      <c r="Z406" s="18"/>
      <c r="AA406" s="19" t="s">
        <v>54</v>
      </c>
      <c r="AB406" s="20">
        <v>44579.0</v>
      </c>
      <c r="AC406" s="19" t="s">
        <v>54</v>
      </c>
      <c r="AD406" s="20">
        <v>44593.0</v>
      </c>
      <c r="AE406" s="21"/>
      <c r="AF406" s="18"/>
      <c r="AG406" s="21"/>
      <c r="AH406" s="18"/>
      <c r="AI406" s="18"/>
      <c r="AJ406" s="18"/>
      <c r="AK406" s="19" t="s">
        <v>86</v>
      </c>
      <c r="AL406" s="19" t="s">
        <v>86</v>
      </c>
      <c r="AM406" s="18"/>
      <c r="AN406" s="18"/>
      <c r="AO406" s="18"/>
      <c r="AP406" s="22" t="s">
        <v>56</v>
      </c>
      <c r="AQ406" s="18"/>
    </row>
    <row r="407">
      <c r="A407" s="22" t="s">
        <v>1997</v>
      </c>
      <c r="B407" s="22" t="s">
        <v>1998</v>
      </c>
      <c r="C407" s="11" t="str">
        <f>VLOOKUP(A407,import!A:C,3,0)</f>
        <v>DOĞRU</v>
      </c>
      <c r="D407" s="22" t="s">
        <v>100</v>
      </c>
      <c r="E407" s="11">
        <f>VLOOKUP(A407,import!A:J,5,0)</f>
        <v>75</v>
      </c>
      <c r="F407" s="11">
        <f>VLOOKUP(A407,import!A:J,6,0)</f>
        <v>75</v>
      </c>
      <c r="G407" s="11">
        <f>VLOOKUP(A407,import!A:J,7,0)</f>
        <v>0</v>
      </c>
      <c r="H407" s="11">
        <f>VLOOKUP(A407,import!A:J,8,0)</f>
        <v>18</v>
      </c>
      <c r="I407" s="11">
        <f>VLOOKUP(A407,import!A:J,9,0)</f>
        <v>18</v>
      </c>
      <c r="J407" s="12">
        <f>VLOOKUP(A407,import!A:J,10,0)</f>
        <v>0</v>
      </c>
      <c r="K407" s="22" t="s">
        <v>1999</v>
      </c>
      <c r="L407" s="22">
        <v>5.551855588E9</v>
      </c>
      <c r="M407" s="22" t="s">
        <v>71</v>
      </c>
      <c r="N407" s="22" t="s">
        <v>588</v>
      </c>
      <c r="O407" s="22" t="s">
        <v>2000</v>
      </c>
      <c r="P407" s="11" t="str">
        <f>VLOOKUP(A407,import!A:P,16,0)</f>
        <v>Geleneksel</v>
      </c>
      <c r="Q407" s="13"/>
      <c r="R407" s="13" t="b">
        <v>1</v>
      </c>
      <c r="S407" s="13" t="b">
        <v>0</v>
      </c>
      <c r="T407" s="14" t="s">
        <v>74</v>
      </c>
      <c r="U407" s="14" t="s">
        <v>110</v>
      </c>
      <c r="V407" s="30" t="s">
        <v>76</v>
      </c>
      <c r="W407" s="14"/>
      <c r="X407" s="24">
        <v>44676.0</v>
      </c>
      <c r="Y407" s="24">
        <v>44677.0</v>
      </c>
      <c r="Z407" s="18"/>
      <c r="AA407" s="19" t="s">
        <v>54</v>
      </c>
      <c r="AB407" s="20">
        <v>44676.0</v>
      </c>
      <c r="AC407" s="19"/>
      <c r="AD407" s="20"/>
      <c r="AE407" s="19"/>
      <c r="AF407" s="20"/>
      <c r="AG407" s="21"/>
      <c r="AH407" s="18"/>
      <c r="AI407" s="18"/>
      <c r="AJ407" s="18"/>
      <c r="AK407" s="19" t="s">
        <v>110</v>
      </c>
      <c r="AL407" s="19"/>
      <c r="AM407" s="19"/>
      <c r="AN407" s="18"/>
      <c r="AO407" s="18"/>
      <c r="AP407" s="22"/>
      <c r="AQ407" s="18"/>
    </row>
    <row r="408">
      <c r="A408" s="11" t="s">
        <v>2001</v>
      </c>
      <c r="B408" s="11" t="s">
        <v>2002</v>
      </c>
      <c r="C408" s="11" t="str">
        <f>VLOOKUP(A408,import!A:C,3,0)</f>
        <v>DOĞRU</v>
      </c>
      <c r="D408" s="11" t="s">
        <v>69</v>
      </c>
      <c r="E408" s="11" t="str">
        <f>VLOOKUP(A408,import!A:J,5,0)</f>
        <v/>
      </c>
      <c r="F408" s="11" t="str">
        <f>VLOOKUP(A408,import!A:J,6,0)</f>
        <v/>
      </c>
      <c r="G408" s="11">
        <f>VLOOKUP(A408,import!A:J,7,0)</f>
        <v>0</v>
      </c>
      <c r="H408" s="11">
        <f>VLOOKUP(A408,import!A:J,8,0)</f>
        <v>37</v>
      </c>
      <c r="I408" s="11">
        <f>VLOOKUP(A408,import!A:J,9,0)</f>
        <v>37</v>
      </c>
      <c r="J408" s="12">
        <f>VLOOKUP(A408,import!A:J,10,0)</f>
        <v>0</v>
      </c>
      <c r="K408" s="11" t="s">
        <v>2003</v>
      </c>
      <c r="L408" s="11">
        <v>5.372469507E9</v>
      </c>
      <c r="M408" s="11" t="s">
        <v>47</v>
      </c>
      <c r="N408" s="11" t="s">
        <v>408</v>
      </c>
      <c r="O408" s="11" t="s">
        <v>2004</v>
      </c>
      <c r="P408" s="11" t="str">
        <f>VLOOKUP(A408,import!A:P,16,0)</f>
        <v>Geleneksel</v>
      </c>
      <c r="Q408" s="13"/>
      <c r="R408" s="13" t="b">
        <v>1</v>
      </c>
      <c r="S408" s="13" t="b">
        <v>0</v>
      </c>
      <c r="T408" s="14" t="s">
        <v>74</v>
      </c>
      <c r="U408" s="14" t="s">
        <v>86</v>
      </c>
      <c r="V408" s="30" t="s">
        <v>76</v>
      </c>
      <c r="W408" s="14"/>
      <c r="X408" s="24">
        <v>44631.0</v>
      </c>
      <c r="Y408" s="24">
        <v>44634.0</v>
      </c>
      <c r="Z408" s="18"/>
      <c r="AA408" s="19" t="s">
        <v>54</v>
      </c>
      <c r="AB408" s="20">
        <v>44587.0</v>
      </c>
      <c r="AC408" s="19" t="s">
        <v>54</v>
      </c>
      <c r="AD408" s="20">
        <v>44599.0</v>
      </c>
      <c r="AE408" s="19" t="s">
        <v>54</v>
      </c>
      <c r="AF408" s="20">
        <v>44631.0</v>
      </c>
      <c r="AG408" s="21"/>
      <c r="AH408" s="18"/>
      <c r="AI408" s="18"/>
      <c r="AJ408" s="18"/>
      <c r="AK408" s="19" t="s">
        <v>86</v>
      </c>
      <c r="AL408" s="19" t="s">
        <v>110</v>
      </c>
      <c r="AM408" s="19" t="s">
        <v>86</v>
      </c>
      <c r="AN408" s="18"/>
      <c r="AO408" s="18"/>
      <c r="AP408" s="22"/>
      <c r="AQ408" s="18"/>
    </row>
    <row r="409">
      <c r="A409" s="11" t="s">
        <v>2005</v>
      </c>
      <c r="B409" s="11" t="s">
        <v>2006</v>
      </c>
      <c r="C409" s="11" t="str">
        <f>VLOOKUP(A409,import!A:C,3,0)</f>
        <v>DOĞRU</v>
      </c>
      <c r="D409" s="11" t="s">
        <v>45</v>
      </c>
      <c r="E409" s="11">
        <f>VLOOKUP(A409,import!A:J,5,0)</f>
        <v>709</v>
      </c>
      <c r="F409" s="11">
        <f>VLOOKUP(A409,import!A:J,6,0)</f>
        <v>6</v>
      </c>
      <c r="G409" s="11">
        <f>VLOOKUP(A409,import!A:J,7,0)</f>
        <v>0</v>
      </c>
      <c r="H409" s="11">
        <f>VLOOKUP(A409,import!A:J,8,0)</f>
        <v>13</v>
      </c>
      <c r="I409" s="11">
        <f>VLOOKUP(A409,import!A:J,9,0)</f>
        <v>13</v>
      </c>
      <c r="J409" s="12">
        <f>VLOOKUP(A409,import!A:J,10,0)</f>
        <v>0</v>
      </c>
      <c r="K409" s="11" t="s">
        <v>2007</v>
      </c>
      <c r="L409" s="11">
        <v>5.452494745E9</v>
      </c>
      <c r="M409" s="11" t="s">
        <v>61</v>
      </c>
      <c r="N409" s="11" t="s">
        <v>250</v>
      </c>
      <c r="O409" s="11" t="s">
        <v>2008</v>
      </c>
      <c r="P409" s="11" t="str">
        <f>VLOOKUP(A409,import!A:P,16,0)</f>
        <v>Geleneksel</v>
      </c>
      <c r="Q409" s="13"/>
      <c r="R409" s="13" t="b">
        <v>1</v>
      </c>
      <c r="S409" s="13" t="b">
        <v>0</v>
      </c>
      <c r="T409" s="14" t="s">
        <v>168</v>
      </c>
      <c r="U409" s="14"/>
      <c r="V409" s="14"/>
      <c r="W409" s="14" t="s">
        <v>2009</v>
      </c>
      <c r="X409" s="24"/>
      <c r="Y409" s="24"/>
      <c r="Z409" s="18"/>
      <c r="AA409" s="19" t="s">
        <v>54</v>
      </c>
      <c r="AB409" s="20">
        <v>44593.0</v>
      </c>
      <c r="AC409" s="19"/>
      <c r="AD409" s="20"/>
      <c r="AE409" s="21"/>
      <c r="AF409" s="18"/>
      <c r="AG409" s="21"/>
      <c r="AH409" s="18"/>
      <c r="AI409" s="18"/>
      <c r="AJ409" s="18"/>
      <c r="AK409" s="19" t="s">
        <v>381</v>
      </c>
      <c r="AL409" s="19"/>
      <c r="AM409" s="18"/>
      <c r="AN409" s="18"/>
      <c r="AO409" s="18"/>
      <c r="AP409" s="22"/>
      <c r="AQ409" s="18"/>
    </row>
    <row r="410">
      <c r="A410" s="11" t="s">
        <v>2010</v>
      </c>
      <c r="B410" s="11" t="s">
        <v>2011</v>
      </c>
      <c r="C410" s="11" t="str">
        <f>VLOOKUP(A410,import!A:C,3,0)</f>
        <v>DOĞRU</v>
      </c>
      <c r="D410" s="11" t="s">
        <v>453</v>
      </c>
      <c r="E410" s="11">
        <f>VLOOKUP(A410,import!A:J,5,0)</f>
        <v>6312</v>
      </c>
      <c r="F410" s="11">
        <f>VLOOKUP(A410,import!A:J,6,0)</f>
        <v>346</v>
      </c>
      <c r="G410" s="11">
        <f>VLOOKUP(A410,import!A:J,7,0)</f>
        <v>11</v>
      </c>
      <c r="H410" s="11">
        <f>VLOOKUP(A410,import!A:J,8,0)</f>
        <v>15</v>
      </c>
      <c r="I410" s="11">
        <f>VLOOKUP(A410,import!A:J,9,0)</f>
        <v>26</v>
      </c>
      <c r="J410" s="12">
        <f>VLOOKUP(A410,import!A:J,10,0)</f>
        <v>0.42</v>
      </c>
      <c r="K410" s="11" t="s">
        <v>2012</v>
      </c>
      <c r="L410" s="11">
        <v>5.332940066E9</v>
      </c>
      <c r="M410" s="11" t="s">
        <v>61</v>
      </c>
      <c r="N410" s="11" t="s">
        <v>107</v>
      </c>
      <c r="O410" s="11" t="s">
        <v>2013</v>
      </c>
      <c r="P410" s="11" t="str">
        <f>VLOOKUP(A410,import!A:P,16,0)</f>
        <v>Geleneksel</v>
      </c>
      <c r="Q410" s="13"/>
      <c r="R410" s="13" t="b">
        <v>1</v>
      </c>
      <c r="S410" s="13" t="b">
        <v>0</v>
      </c>
      <c r="T410" s="14" t="s">
        <v>74</v>
      </c>
      <c r="U410" s="14" t="s">
        <v>75</v>
      </c>
      <c r="V410" s="23" t="s">
        <v>76</v>
      </c>
      <c r="W410" s="14" t="s">
        <v>2014</v>
      </c>
      <c r="X410" s="24">
        <v>44595.0</v>
      </c>
      <c r="Y410" s="24">
        <v>44596.0</v>
      </c>
      <c r="Z410" s="18"/>
      <c r="AA410" s="19" t="s">
        <v>54</v>
      </c>
      <c r="AB410" s="20">
        <v>44595.0</v>
      </c>
      <c r="AC410" s="18"/>
      <c r="AD410" s="18"/>
      <c r="AE410" s="21"/>
      <c r="AF410" s="18"/>
      <c r="AG410" s="21"/>
      <c r="AH410" s="18"/>
      <c r="AI410" s="18"/>
      <c r="AJ410" s="18"/>
      <c r="AK410" s="19" t="s">
        <v>75</v>
      </c>
      <c r="AL410" s="18"/>
      <c r="AM410" s="18"/>
      <c r="AN410" s="18"/>
      <c r="AO410" s="18"/>
      <c r="AP410" s="22" t="s">
        <v>56</v>
      </c>
      <c r="AQ410" s="18"/>
    </row>
    <row r="411">
      <c r="A411" s="11" t="s">
        <v>2015</v>
      </c>
      <c r="B411" s="11" t="s">
        <v>2016</v>
      </c>
      <c r="C411" s="11" t="str">
        <f>VLOOKUP(A411,import!A:C,3,0)</f>
        <v>DOĞRU</v>
      </c>
      <c r="D411" s="11" t="s">
        <v>406</v>
      </c>
      <c r="E411" s="11">
        <f>VLOOKUP(A411,import!A:J,5,0)</f>
        <v>189</v>
      </c>
      <c r="F411" s="11">
        <f>VLOOKUP(A411,import!A:J,6,0)</f>
        <v>57</v>
      </c>
      <c r="G411" s="11">
        <f>VLOOKUP(A411,import!A:J,7,0)</f>
        <v>15</v>
      </c>
      <c r="H411" s="11">
        <f>VLOOKUP(A411,import!A:J,8,0)</f>
        <v>1</v>
      </c>
      <c r="I411" s="11">
        <f>VLOOKUP(A411,import!A:J,9,0)</f>
        <v>16</v>
      </c>
      <c r="J411" s="12">
        <f>VLOOKUP(A411,import!A:J,10,0)</f>
        <v>0.94</v>
      </c>
      <c r="K411" s="11" t="s">
        <v>2017</v>
      </c>
      <c r="L411" s="11">
        <v>3.523388787E9</v>
      </c>
      <c r="M411" s="11" t="s">
        <v>71</v>
      </c>
      <c r="N411" s="11" t="s">
        <v>62</v>
      </c>
      <c r="O411" s="11" t="s">
        <v>2018</v>
      </c>
      <c r="P411" s="11" t="str">
        <f>VLOOKUP(A411,import!A:P,16,0)</f>
        <v>Geleneksel</v>
      </c>
      <c r="Q411" s="13"/>
      <c r="R411" s="13" t="b">
        <v>1</v>
      </c>
      <c r="S411" s="13" t="b">
        <v>0</v>
      </c>
      <c r="T411" s="14" t="s">
        <v>74</v>
      </c>
      <c r="U411" s="14" t="s">
        <v>75</v>
      </c>
      <c r="V411" s="30" t="s">
        <v>76</v>
      </c>
      <c r="W411" s="14" t="s">
        <v>2019</v>
      </c>
      <c r="X411" s="24">
        <v>44642.0</v>
      </c>
      <c r="Y411" s="24">
        <v>44644.0</v>
      </c>
      <c r="Z411" s="18"/>
      <c r="AA411" s="19" t="s">
        <v>54</v>
      </c>
      <c r="AB411" s="24">
        <v>44642.0</v>
      </c>
      <c r="AC411" s="19"/>
      <c r="AD411" s="20"/>
      <c r="AE411" s="19"/>
      <c r="AF411" s="20"/>
      <c r="AG411" s="21"/>
      <c r="AH411" s="18"/>
      <c r="AI411" s="18"/>
      <c r="AJ411" s="18"/>
      <c r="AK411" s="19" t="s">
        <v>75</v>
      </c>
      <c r="AL411" s="19"/>
      <c r="AM411" s="19"/>
      <c r="AN411" s="18"/>
      <c r="AO411" s="18"/>
      <c r="AP411" s="22"/>
      <c r="AQ411" s="18"/>
    </row>
    <row r="412">
      <c r="A412" s="11" t="s">
        <v>2020</v>
      </c>
      <c r="B412" s="11" t="s">
        <v>2021</v>
      </c>
      <c r="C412" s="11" t="str">
        <f>VLOOKUP(A412,import!A:C,3,0)</f>
        <v>DOĞRU</v>
      </c>
      <c r="D412" s="11" t="s">
        <v>45</v>
      </c>
      <c r="E412" s="11">
        <f>VLOOKUP(A412,import!A:J,5,0)</f>
        <v>1111</v>
      </c>
      <c r="F412" s="11">
        <f>VLOOKUP(A412,import!A:J,6,0)</f>
        <v>16</v>
      </c>
      <c r="G412" s="11">
        <f>VLOOKUP(A412,import!A:J,7,0)</f>
        <v>0</v>
      </c>
      <c r="H412" s="11">
        <f>VLOOKUP(A412,import!A:J,8,0)</f>
        <v>47</v>
      </c>
      <c r="I412" s="11">
        <f>VLOOKUP(A412,import!A:J,9,0)</f>
        <v>47</v>
      </c>
      <c r="J412" s="12">
        <f>VLOOKUP(A412,import!A:J,10,0)</f>
        <v>0</v>
      </c>
      <c r="K412" s="11" t="s">
        <v>2022</v>
      </c>
      <c r="L412" s="11">
        <v>5.308296632E9</v>
      </c>
      <c r="M412" s="11" t="s">
        <v>61</v>
      </c>
      <c r="N412" s="11" t="s">
        <v>62</v>
      </c>
      <c r="O412" s="11" t="s">
        <v>2023</v>
      </c>
      <c r="P412" s="11" t="str">
        <f>VLOOKUP(A412,import!A:P,16,0)</f>
        <v>Geleneksel</v>
      </c>
      <c r="Q412" s="13"/>
      <c r="R412" s="13" t="b">
        <v>1</v>
      </c>
      <c r="S412" s="13" t="b">
        <v>0</v>
      </c>
      <c r="T412" s="14" t="s">
        <v>64</v>
      </c>
      <c r="U412" s="14"/>
      <c r="V412" s="31"/>
      <c r="W412" s="14" t="s">
        <v>2024</v>
      </c>
      <c r="X412" s="24"/>
      <c r="Y412" s="24"/>
      <c r="Z412" s="18"/>
      <c r="AA412" s="19" t="s">
        <v>64</v>
      </c>
      <c r="AB412" s="20">
        <v>44578.0</v>
      </c>
      <c r="AC412" s="19" t="s">
        <v>53</v>
      </c>
      <c r="AD412" s="20">
        <v>44608.0</v>
      </c>
      <c r="AE412" s="21"/>
      <c r="AF412" s="18"/>
      <c r="AG412" s="21"/>
      <c r="AH412" s="18"/>
      <c r="AI412" s="18"/>
      <c r="AJ412" s="18"/>
      <c r="AK412" s="19" t="s">
        <v>95</v>
      </c>
      <c r="AL412" s="19" t="s">
        <v>66</v>
      </c>
      <c r="AM412" s="18"/>
      <c r="AN412" s="18"/>
      <c r="AO412" s="18"/>
      <c r="AP412" s="22" t="s">
        <v>56</v>
      </c>
      <c r="AQ412" s="18"/>
    </row>
    <row r="413">
      <c r="A413" s="11" t="s">
        <v>2025</v>
      </c>
      <c r="B413" s="11" t="s">
        <v>2026</v>
      </c>
      <c r="C413" s="11" t="str">
        <f>VLOOKUP(A413,import!A:C,3,0)</f>
        <v>DOĞRU</v>
      </c>
      <c r="D413" s="11" t="s">
        <v>45</v>
      </c>
      <c r="E413" s="11">
        <f>VLOOKUP(A413,import!A:J,5,0)</f>
        <v>6647</v>
      </c>
      <c r="F413" s="11">
        <f>VLOOKUP(A413,import!A:J,6,0)</f>
        <v>169</v>
      </c>
      <c r="G413" s="11">
        <f>VLOOKUP(A413,import!A:J,7,0)</f>
        <v>0</v>
      </c>
      <c r="H413" s="11">
        <f>VLOOKUP(A413,import!A:J,8,0)</f>
        <v>28</v>
      </c>
      <c r="I413" s="11">
        <f>VLOOKUP(A413,import!A:J,9,0)</f>
        <v>28</v>
      </c>
      <c r="J413" s="12">
        <f>VLOOKUP(A413,import!A:J,10,0)</f>
        <v>0</v>
      </c>
      <c r="K413" s="11" t="s">
        <v>2027</v>
      </c>
      <c r="L413" s="11">
        <v>5.38376376E9</v>
      </c>
      <c r="M413" s="11" t="s">
        <v>61</v>
      </c>
      <c r="N413" s="11" t="s">
        <v>62</v>
      </c>
      <c r="O413" s="11" t="s">
        <v>2028</v>
      </c>
      <c r="P413" s="11" t="str">
        <f>VLOOKUP(A413,import!A:P,16,0)</f>
        <v>Geleneksel</v>
      </c>
      <c r="Q413" s="13"/>
      <c r="R413" s="13" t="b">
        <v>1</v>
      </c>
      <c r="S413" s="13" t="b">
        <v>0</v>
      </c>
      <c r="T413" s="14" t="s">
        <v>74</v>
      </c>
      <c r="U413" s="14"/>
      <c r="V413" s="14"/>
      <c r="W413" s="14" t="s">
        <v>2029</v>
      </c>
      <c r="X413" s="24"/>
      <c r="Y413" s="24"/>
      <c r="Z413" s="18"/>
      <c r="AA413" s="19"/>
      <c r="AB413" s="20"/>
      <c r="AC413" s="19"/>
      <c r="AD413" s="20"/>
      <c r="AE413" s="21"/>
      <c r="AF413" s="18"/>
      <c r="AG413" s="21"/>
      <c r="AH413" s="18"/>
      <c r="AI413" s="18"/>
      <c r="AJ413" s="18"/>
      <c r="AK413" s="19"/>
      <c r="AL413" s="19"/>
      <c r="AM413" s="18"/>
      <c r="AN413" s="18"/>
      <c r="AO413" s="18"/>
      <c r="AP413" s="22" t="s">
        <v>56</v>
      </c>
      <c r="AQ413" s="18"/>
    </row>
    <row r="414">
      <c r="A414" s="11" t="s">
        <v>2030</v>
      </c>
      <c r="B414" s="11" t="s">
        <v>2031</v>
      </c>
      <c r="C414" s="11" t="str">
        <f>VLOOKUP(A414,import!A:C,3,0)</f>
        <v>DOĞRU</v>
      </c>
      <c r="D414" s="11" t="s">
        <v>100</v>
      </c>
      <c r="E414" s="11">
        <f>VLOOKUP(A414,import!A:J,5,0)</f>
        <v>1082</v>
      </c>
      <c r="F414" s="11">
        <f>VLOOKUP(A414,import!A:J,6,0)</f>
        <v>12</v>
      </c>
      <c r="G414" s="11">
        <f>VLOOKUP(A414,import!A:J,7,0)</f>
        <v>41</v>
      </c>
      <c r="H414" s="11">
        <f>VLOOKUP(A414,import!A:J,8,0)</f>
        <v>2</v>
      </c>
      <c r="I414" s="11">
        <f>VLOOKUP(A414,import!A:J,9,0)</f>
        <v>43</v>
      </c>
      <c r="J414" s="12">
        <f>VLOOKUP(A414,import!A:J,10,0)</f>
        <v>0.95</v>
      </c>
      <c r="K414" s="11" t="s">
        <v>2032</v>
      </c>
      <c r="L414" s="11">
        <v>5.453503271E9</v>
      </c>
      <c r="M414" s="11" t="s">
        <v>71</v>
      </c>
      <c r="N414" s="11" t="s">
        <v>224</v>
      </c>
      <c r="O414" s="11" t="s">
        <v>2033</v>
      </c>
      <c r="P414" s="11" t="str">
        <f>VLOOKUP(A414,import!A:P,16,0)</f>
        <v>Key</v>
      </c>
      <c r="Q414" s="13"/>
      <c r="R414" s="13" t="b">
        <v>0</v>
      </c>
      <c r="S414" s="13" t="b">
        <v>0</v>
      </c>
      <c r="T414" s="14" t="s">
        <v>50</v>
      </c>
      <c r="U414" s="14"/>
      <c r="V414" s="16"/>
      <c r="W414" s="15"/>
      <c r="X414" s="24"/>
      <c r="Y414" s="24"/>
      <c r="Z414" s="18"/>
      <c r="AA414" s="18"/>
      <c r="AB414" s="18"/>
      <c r="AC414" s="18"/>
      <c r="AD414" s="18"/>
      <c r="AE414" s="21"/>
      <c r="AF414" s="18"/>
      <c r="AG414" s="21"/>
      <c r="AH414" s="18"/>
      <c r="AI414" s="18"/>
      <c r="AJ414" s="18"/>
      <c r="AK414" s="18"/>
      <c r="AL414" s="18"/>
      <c r="AM414" s="18"/>
      <c r="AN414" s="18"/>
      <c r="AO414" s="18"/>
      <c r="AP414" s="22" t="s">
        <v>2034</v>
      </c>
      <c r="AQ414" s="18"/>
    </row>
    <row r="415">
      <c r="A415" s="11" t="s">
        <v>2035</v>
      </c>
      <c r="B415" s="11" t="s">
        <v>2036</v>
      </c>
      <c r="C415" s="11" t="str">
        <f>VLOOKUP(A415,import!A:C,3,0)</f>
        <v>DOĞRU</v>
      </c>
      <c r="D415" s="11" t="s">
        <v>100</v>
      </c>
      <c r="E415" s="11">
        <f>VLOOKUP(A415,import!A:J,5,0)</f>
        <v>128</v>
      </c>
      <c r="F415" s="11" t="str">
        <f>VLOOKUP(A415,import!A:J,6,0)</f>
        <v/>
      </c>
      <c r="G415" s="11">
        <f>VLOOKUP(A415,import!A:J,7,0)</f>
        <v>38</v>
      </c>
      <c r="H415" s="11">
        <f>VLOOKUP(A415,import!A:J,8,0)</f>
        <v>4</v>
      </c>
      <c r="I415" s="11">
        <f>VLOOKUP(A415,import!A:J,9,0)</f>
        <v>42</v>
      </c>
      <c r="J415" s="12">
        <f>VLOOKUP(A415,import!A:J,10,0)</f>
        <v>0.9</v>
      </c>
      <c r="K415" s="11" t="s">
        <v>2037</v>
      </c>
      <c r="L415" s="11">
        <v>5.415538674E9</v>
      </c>
      <c r="M415" s="11" t="s">
        <v>71</v>
      </c>
      <c r="N415" s="11" t="s">
        <v>209</v>
      </c>
      <c r="O415" s="11" t="s">
        <v>2038</v>
      </c>
      <c r="P415" s="11" t="str">
        <f>VLOOKUP(A415,import!A:P,16,0)</f>
        <v>Key</v>
      </c>
      <c r="Q415" s="13"/>
      <c r="R415" s="13" t="b">
        <v>0</v>
      </c>
      <c r="S415" s="13" t="b">
        <v>0</v>
      </c>
      <c r="T415" s="14" t="s">
        <v>50</v>
      </c>
      <c r="U415" s="15"/>
      <c r="V415" s="15"/>
      <c r="W415" s="15"/>
      <c r="X415" s="17"/>
      <c r="Y415" s="17"/>
      <c r="Z415" s="18"/>
      <c r="AA415" s="18"/>
      <c r="AB415" s="18"/>
      <c r="AC415" s="18"/>
      <c r="AD415" s="18"/>
      <c r="AE415" s="21"/>
      <c r="AF415" s="18"/>
      <c r="AG415" s="21"/>
      <c r="AH415" s="18"/>
      <c r="AI415" s="18"/>
      <c r="AJ415" s="18"/>
      <c r="AK415" s="18"/>
      <c r="AL415" s="18"/>
      <c r="AM415" s="18"/>
      <c r="AN415" s="18"/>
      <c r="AO415" s="18"/>
      <c r="AP415" s="22" t="s">
        <v>2034</v>
      </c>
      <c r="AQ415" s="18"/>
    </row>
    <row r="416">
      <c r="A416" s="11" t="s">
        <v>2039</v>
      </c>
      <c r="B416" s="11" t="s">
        <v>2040</v>
      </c>
      <c r="C416" s="11" t="str">
        <f>VLOOKUP(A416,import!A:C,3,0)</f>
        <v>DOĞRU</v>
      </c>
      <c r="D416" s="11" t="s">
        <v>100</v>
      </c>
      <c r="E416" s="11">
        <f>VLOOKUP(A416,import!A:J,5,0)</f>
        <v>460</v>
      </c>
      <c r="F416" s="11">
        <f>VLOOKUP(A416,import!A:J,6,0)</f>
        <v>5</v>
      </c>
      <c r="G416" s="11">
        <f>VLOOKUP(A416,import!A:J,7,0)</f>
        <v>67</v>
      </c>
      <c r="H416" s="11">
        <f>VLOOKUP(A416,import!A:J,8,0)</f>
        <v>0</v>
      </c>
      <c r="I416" s="11">
        <f>VLOOKUP(A416,import!A:J,9,0)</f>
        <v>67</v>
      </c>
      <c r="J416" s="12">
        <f>VLOOKUP(A416,import!A:J,10,0)</f>
        <v>1</v>
      </c>
      <c r="K416" s="11" t="s">
        <v>2041</v>
      </c>
      <c r="L416" s="11">
        <v>3.523373355E9</v>
      </c>
      <c r="M416" s="11" t="s">
        <v>71</v>
      </c>
      <c r="N416" s="11" t="s">
        <v>442</v>
      </c>
      <c r="O416" s="11" t="s">
        <v>2042</v>
      </c>
      <c r="P416" s="11" t="str">
        <f>VLOOKUP(A416,import!A:P,16,0)</f>
        <v>Key</v>
      </c>
      <c r="Q416" s="13"/>
      <c r="R416" s="13" t="b">
        <v>0</v>
      </c>
      <c r="S416" s="13" t="b">
        <v>0</v>
      </c>
      <c r="T416" s="14" t="s">
        <v>50</v>
      </c>
      <c r="U416" s="15"/>
      <c r="V416" s="37"/>
      <c r="W416" s="15"/>
      <c r="X416" s="17"/>
      <c r="Y416" s="17"/>
      <c r="Z416" s="18"/>
      <c r="AA416" s="18"/>
      <c r="AB416" s="18"/>
      <c r="AC416" s="18"/>
      <c r="AD416" s="18"/>
      <c r="AE416" s="21"/>
      <c r="AF416" s="18"/>
      <c r="AG416" s="21"/>
      <c r="AH416" s="18"/>
      <c r="AI416" s="18"/>
      <c r="AJ416" s="18"/>
      <c r="AK416" s="18"/>
      <c r="AL416" s="18"/>
      <c r="AM416" s="18"/>
      <c r="AN416" s="18"/>
      <c r="AO416" s="18"/>
      <c r="AP416" s="22" t="s">
        <v>2034</v>
      </c>
      <c r="AQ416" s="18"/>
    </row>
    <row r="417">
      <c r="A417" s="11" t="s">
        <v>2043</v>
      </c>
      <c r="B417" s="11" t="s">
        <v>2044</v>
      </c>
      <c r="C417" s="11" t="str">
        <f>VLOOKUP(A417,import!A:C,3,0)</f>
        <v>DOĞRU</v>
      </c>
      <c r="D417" s="11" t="s">
        <v>100</v>
      </c>
      <c r="E417" s="11">
        <f>VLOOKUP(A417,import!A:J,5,0)</f>
        <v>103</v>
      </c>
      <c r="F417" s="11" t="str">
        <f>VLOOKUP(A417,import!A:J,6,0)</f>
        <v/>
      </c>
      <c r="G417" s="11">
        <f>VLOOKUP(A417,import!A:J,7,0)</f>
        <v>97</v>
      </c>
      <c r="H417" s="11">
        <f>VLOOKUP(A417,import!A:J,8,0)</f>
        <v>92</v>
      </c>
      <c r="I417" s="11">
        <f>VLOOKUP(A417,import!A:J,9,0)</f>
        <v>189</v>
      </c>
      <c r="J417" s="12">
        <f>VLOOKUP(A417,import!A:J,10,0)</f>
        <v>0.51</v>
      </c>
      <c r="K417" s="11" t="s">
        <v>2045</v>
      </c>
      <c r="L417" s="11">
        <v>3.523384412E9</v>
      </c>
      <c r="M417" s="11" t="s">
        <v>71</v>
      </c>
      <c r="N417" s="11" t="s">
        <v>2046</v>
      </c>
      <c r="O417" s="11" t="s">
        <v>2047</v>
      </c>
      <c r="P417" s="11" t="str">
        <f>VLOOKUP(A417,import!A:P,16,0)</f>
        <v>Key</v>
      </c>
      <c r="Q417" s="13"/>
      <c r="R417" s="13" t="b">
        <v>0</v>
      </c>
      <c r="S417" s="13" t="b">
        <v>0</v>
      </c>
      <c r="T417" s="14" t="s">
        <v>50</v>
      </c>
      <c r="U417" s="15"/>
      <c r="V417" s="40"/>
      <c r="W417" s="14"/>
      <c r="X417" s="17"/>
      <c r="Y417" s="17"/>
      <c r="Z417" s="18"/>
      <c r="AA417" s="18"/>
      <c r="AB417" s="18"/>
      <c r="AC417" s="18"/>
      <c r="AD417" s="18"/>
      <c r="AE417" s="21"/>
      <c r="AF417" s="18"/>
      <c r="AG417" s="21"/>
      <c r="AH417" s="18"/>
      <c r="AI417" s="18"/>
      <c r="AJ417" s="18"/>
      <c r="AK417" s="18"/>
      <c r="AL417" s="18"/>
      <c r="AM417" s="18"/>
      <c r="AN417" s="18"/>
      <c r="AO417" s="18"/>
      <c r="AP417" s="22" t="s">
        <v>2034</v>
      </c>
      <c r="AQ417" s="18"/>
    </row>
    <row r="418">
      <c r="A418" s="11" t="s">
        <v>2048</v>
      </c>
      <c r="B418" s="11" t="s">
        <v>2049</v>
      </c>
      <c r="C418" s="11" t="str">
        <f>VLOOKUP(A418,import!A:C,3,0)</f>
        <v>YANLIŞ</v>
      </c>
      <c r="D418" s="11" t="s">
        <v>100</v>
      </c>
      <c r="E418" s="11">
        <f>VLOOKUP(A418,import!A:J,5,0)</f>
        <v>51</v>
      </c>
      <c r="F418" s="11" t="str">
        <f>VLOOKUP(A418,import!A:J,6,0)</f>
        <v/>
      </c>
      <c r="G418" s="11">
        <f>VLOOKUP(A418,import!A:J,7,0)</f>
        <v>97</v>
      </c>
      <c r="H418" s="11">
        <f>VLOOKUP(A418,import!A:J,8,0)</f>
        <v>92</v>
      </c>
      <c r="I418" s="11">
        <f>VLOOKUP(A418,import!A:J,9,0)</f>
        <v>189</v>
      </c>
      <c r="J418" s="12">
        <f>VLOOKUP(A418,import!A:J,10,0)</f>
        <v>0.51</v>
      </c>
      <c r="K418" s="11" t="s">
        <v>2050</v>
      </c>
      <c r="L418" s="11">
        <v>5.510677769E9</v>
      </c>
      <c r="M418" s="11" t="s">
        <v>71</v>
      </c>
      <c r="N418" s="11" t="s">
        <v>748</v>
      </c>
      <c r="O418" s="11" t="s">
        <v>2051</v>
      </c>
      <c r="P418" s="11" t="str">
        <f>VLOOKUP(A418,import!A:P,16,0)</f>
        <v>Key</v>
      </c>
      <c r="Q418" s="13"/>
      <c r="R418" s="13" t="b">
        <v>0</v>
      </c>
      <c r="S418" s="13" t="b">
        <v>0</v>
      </c>
      <c r="T418" s="14" t="s">
        <v>50</v>
      </c>
      <c r="U418" s="15"/>
      <c r="V418" s="15"/>
      <c r="W418" s="14"/>
      <c r="X418" s="17"/>
      <c r="Y418" s="17"/>
      <c r="Z418" s="18"/>
      <c r="AA418" s="18"/>
      <c r="AB418" s="18"/>
      <c r="AC418" s="18"/>
      <c r="AD418" s="18"/>
      <c r="AE418" s="21"/>
      <c r="AF418" s="18"/>
      <c r="AG418" s="21"/>
      <c r="AH418" s="18"/>
      <c r="AI418" s="18"/>
      <c r="AJ418" s="18"/>
      <c r="AK418" s="18"/>
      <c r="AL418" s="18"/>
      <c r="AM418" s="18"/>
      <c r="AN418" s="18"/>
      <c r="AO418" s="18"/>
      <c r="AP418" s="22" t="s">
        <v>2034</v>
      </c>
      <c r="AQ418" s="18"/>
    </row>
    <row r="419">
      <c r="A419" s="11" t="s">
        <v>2052</v>
      </c>
      <c r="B419" s="11" t="s">
        <v>2053</v>
      </c>
      <c r="C419" s="11" t="str">
        <f>VLOOKUP(A419,import!A:C,3,0)</f>
        <v>DOĞRU</v>
      </c>
      <c r="D419" s="11" t="s">
        <v>100</v>
      </c>
      <c r="E419" s="11">
        <f>VLOOKUP(A419,import!A:J,5,0)</f>
        <v>555</v>
      </c>
      <c r="F419" s="11">
        <f>VLOOKUP(A419,import!A:J,6,0)</f>
        <v>21</v>
      </c>
      <c r="G419" s="11">
        <f>VLOOKUP(A419,import!A:J,7,0)</f>
        <v>61</v>
      </c>
      <c r="H419" s="11">
        <f>VLOOKUP(A419,import!A:J,8,0)</f>
        <v>8</v>
      </c>
      <c r="I419" s="11">
        <f>VLOOKUP(A419,import!A:J,9,0)</f>
        <v>69</v>
      </c>
      <c r="J419" s="12">
        <f>VLOOKUP(A419,import!A:J,10,0)</f>
        <v>0.88</v>
      </c>
      <c r="K419" s="11" t="s">
        <v>2054</v>
      </c>
      <c r="L419" s="11">
        <v>5.370629671E9</v>
      </c>
      <c r="M419" s="11" t="s">
        <v>47</v>
      </c>
      <c r="N419" s="11" t="s">
        <v>1091</v>
      </c>
      <c r="O419" s="11" t="s">
        <v>1918</v>
      </c>
      <c r="P419" s="11" t="str">
        <f>VLOOKUP(A419,import!A:P,16,0)</f>
        <v>Key</v>
      </c>
      <c r="Q419" s="13"/>
      <c r="R419" s="13" t="b">
        <v>1</v>
      </c>
      <c r="S419" s="13" t="b">
        <v>0</v>
      </c>
      <c r="T419" s="25" t="s">
        <v>50</v>
      </c>
      <c r="U419" s="25"/>
      <c r="V419" s="46"/>
      <c r="W419" s="14"/>
      <c r="X419" s="34"/>
      <c r="Y419" s="34"/>
      <c r="Z419" s="18"/>
      <c r="AA419" s="18"/>
      <c r="AB419" s="18"/>
      <c r="AC419" s="18"/>
      <c r="AD419" s="18"/>
      <c r="AE419" s="21"/>
      <c r="AF419" s="18"/>
      <c r="AG419" s="21"/>
      <c r="AH419" s="18"/>
      <c r="AI419" s="18"/>
      <c r="AJ419" s="18"/>
      <c r="AK419" s="18"/>
      <c r="AL419" s="18"/>
      <c r="AM419" s="18"/>
      <c r="AN419" s="18"/>
      <c r="AO419" s="18"/>
      <c r="AP419" s="22" t="s">
        <v>2034</v>
      </c>
      <c r="AQ419" s="18"/>
    </row>
    <row r="420">
      <c r="A420" s="11" t="s">
        <v>2055</v>
      </c>
      <c r="B420" s="11" t="s">
        <v>2056</v>
      </c>
      <c r="C420" s="11" t="str">
        <f>VLOOKUP(A420,import!A:C,3,0)</f>
        <v>DOĞRU</v>
      </c>
      <c r="D420" s="11" t="s">
        <v>100</v>
      </c>
      <c r="E420" s="11">
        <f>VLOOKUP(A420,import!A:J,5,0)</f>
        <v>1085</v>
      </c>
      <c r="F420" s="11">
        <f>VLOOKUP(A420,import!A:J,6,0)</f>
        <v>39</v>
      </c>
      <c r="G420" s="11">
        <f>VLOOKUP(A420,import!A:J,7,0)</f>
        <v>40</v>
      </c>
      <c r="H420" s="11">
        <f>VLOOKUP(A420,import!A:J,8,0)</f>
        <v>5</v>
      </c>
      <c r="I420" s="11">
        <f>VLOOKUP(A420,import!A:J,9,0)</f>
        <v>45</v>
      </c>
      <c r="J420" s="12">
        <f>VLOOKUP(A420,import!A:J,10,0)</f>
        <v>0.89</v>
      </c>
      <c r="K420" s="11" t="s">
        <v>1902</v>
      </c>
      <c r="L420" s="11">
        <v>5.422553138E9</v>
      </c>
      <c r="M420" s="11" t="s">
        <v>47</v>
      </c>
      <c r="N420" s="11" t="s">
        <v>307</v>
      </c>
      <c r="O420" s="11" t="s">
        <v>1907</v>
      </c>
      <c r="P420" s="11" t="str">
        <f>VLOOKUP(A420,import!A:P,16,0)</f>
        <v>Key</v>
      </c>
      <c r="Q420" s="13"/>
      <c r="R420" s="13" t="b">
        <v>1</v>
      </c>
      <c r="S420" s="13" t="b">
        <v>0</v>
      </c>
      <c r="T420" s="14" t="s">
        <v>50</v>
      </c>
      <c r="U420" s="15"/>
      <c r="V420" s="37"/>
      <c r="W420" s="14" t="s">
        <v>2057</v>
      </c>
      <c r="X420" s="17"/>
      <c r="Y420" s="17"/>
      <c r="Z420" s="18"/>
      <c r="AA420" s="18"/>
      <c r="AB420" s="18"/>
      <c r="AC420" s="18"/>
      <c r="AD420" s="18"/>
      <c r="AE420" s="21"/>
      <c r="AF420" s="18"/>
      <c r="AG420" s="21"/>
      <c r="AH420" s="18"/>
      <c r="AI420" s="18"/>
      <c r="AJ420" s="18"/>
      <c r="AK420" s="18"/>
      <c r="AL420" s="18"/>
      <c r="AM420" s="18"/>
      <c r="AN420" s="18"/>
      <c r="AO420" s="18"/>
      <c r="AP420" s="22" t="s">
        <v>2034</v>
      </c>
      <c r="AQ420" s="18"/>
    </row>
    <row r="421">
      <c r="A421" s="11" t="s">
        <v>2058</v>
      </c>
      <c r="B421" s="11" t="s">
        <v>2059</v>
      </c>
      <c r="C421" s="11" t="str">
        <f>VLOOKUP(A421,import!A:C,3,0)</f>
        <v>DOĞRU</v>
      </c>
      <c r="D421" s="11" t="s">
        <v>100</v>
      </c>
      <c r="E421" s="11">
        <f>VLOOKUP(A421,import!A:J,5,0)</f>
        <v>1071</v>
      </c>
      <c r="F421" s="11">
        <f>VLOOKUP(A421,import!A:J,6,0)</f>
        <v>23</v>
      </c>
      <c r="G421" s="11">
        <f>VLOOKUP(A421,import!A:J,7,0)</f>
        <v>46</v>
      </c>
      <c r="H421" s="11">
        <f>VLOOKUP(A421,import!A:J,8,0)</f>
        <v>7</v>
      </c>
      <c r="I421" s="11">
        <f>VLOOKUP(A421,import!A:J,9,0)</f>
        <v>53</v>
      </c>
      <c r="J421" s="12">
        <f>VLOOKUP(A421,import!A:J,10,0)</f>
        <v>0.87</v>
      </c>
      <c r="K421" s="11" t="s">
        <v>332</v>
      </c>
      <c r="L421" s="11">
        <v>5.454619844E9</v>
      </c>
      <c r="M421" s="11" t="s">
        <v>47</v>
      </c>
      <c r="N421" s="11" t="s">
        <v>125</v>
      </c>
      <c r="O421" s="11" t="s">
        <v>334</v>
      </c>
      <c r="P421" s="11" t="str">
        <f>VLOOKUP(A421,import!A:P,16,0)</f>
        <v>Key</v>
      </c>
      <c r="Q421" s="13"/>
      <c r="R421" s="13" t="b">
        <v>1</v>
      </c>
      <c r="S421" s="13" t="b">
        <v>0</v>
      </c>
      <c r="T421" s="14" t="s">
        <v>50</v>
      </c>
      <c r="U421" s="14"/>
      <c r="V421" s="14"/>
      <c r="W421" s="14" t="s">
        <v>2057</v>
      </c>
      <c r="X421" s="24"/>
      <c r="Y421" s="24"/>
      <c r="Z421" s="18"/>
      <c r="AA421" s="18"/>
      <c r="AB421" s="18"/>
      <c r="AC421" s="18"/>
      <c r="AD421" s="18"/>
      <c r="AE421" s="21"/>
      <c r="AF421" s="18"/>
      <c r="AG421" s="21"/>
      <c r="AH421" s="18"/>
      <c r="AI421" s="18"/>
      <c r="AJ421" s="18"/>
      <c r="AK421" s="19" t="s">
        <v>79</v>
      </c>
      <c r="AL421" s="18"/>
      <c r="AM421" s="18"/>
      <c r="AN421" s="18"/>
      <c r="AO421" s="18"/>
      <c r="AP421" s="22" t="s">
        <v>2034</v>
      </c>
      <c r="AQ421" s="18"/>
    </row>
    <row r="422">
      <c r="A422" s="11" t="s">
        <v>2060</v>
      </c>
      <c r="B422" s="11" t="s">
        <v>2061</v>
      </c>
      <c r="C422" s="11" t="str">
        <f>VLOOKUP(A422,import!A:C,3,0)</f>
        <v>DOĞRU</v>
      </c>
      <c r="D422" s="11" t="s">
        <v>100</v>
      </c>
      <c r="E422" s="11">
        <f>VLOOKUP(A422,import!A:J,5,0)</f>
        <v>648</v>
      </c>
      <c r="F422" s="11">
        <f>VLOOKUP(A422,import!A:J,6,0)</f>
        <v>10</v>
      </c>
      <c r="G422" s="11">
        <f>VLOOKUP(A422,import!A:J,7,0)</f>
        <v>77</v>
      </c>
      <c r="H422" s="11">
        <f>VLOOKUP(A422,import!A:J,8,0)</f>
        <v>29</v>
      </c>
      <c r="I422" s="11">
        <f>VLOOKUP(A422,import!A:J,9,0)</f>
        <v>106</v>
      </c>
      <c r="J422" s="12">
        <f>VLOOKUP(A422,import!A:J,10,0)</f>
        <v>0.73</v>
      </c>
      <c r="K422" s="11" t="s">
        <v>486</v>
      </c>
      <c r="L422" s="11">
        <v>3.523323221E9</v>
      </c>
      <c r="M422" s="11" t="s">
        <v>47</v>
      </c>
      <c r="N422" s="11" t="s">
        <v>277</v>
      </c>
      <c r="O422" s="11" t="s">
        <v>487</v>
      </c>
      <c r="P422" s="11" t="str">
        <f>VLOOKUP(A422,import!A:P,16,0)</f>
        <v>Key</v>
      </c>
      <c r="Q422" s="13"/>
      <c r="R422" s="13" t="b">
        <v>1</v>
      </c>
      <c r="S422" s="13" t="b">
        <v>0</v>
      </c>
      <c r="T422" s="14" t="s">
        <v>50</v>
      </c>
      <c r="U422" s="14" t="s">
        <v>95</v>
      </c>
      <c r="V422" s="14" t="s">
        <v>96</v>
      </c>
      <c r="W422" s="14"/>
      <c r="X422" s="24">
        <v>44327.0</v>
      </c>
      <c r="Y422" s="24">
        <v>44333.0</v>
      </c>
      <c r="Z422" s="18"/>
      <c r="AA422" s="18"/>
      <c r="AB422" s="18"/>
      <c r="AC422" s="18"/>
      <c r="AD422" s="18"/>
      <c r="AE422" s="21"/>
      <c r="AF422" s="18"/>
      <c r="AG422" s="21"/>
      <c r="AH422" s="18"/>
      <c r="AI422" s="18"/>
      <c r="AJ422" s="18"/>
      <c r="AK422" s="18"/>
      <c r="AL422" s="18"/>
      <c r="AM422" s="18"/>
      <c r="AN422" s="18"/>
      <c r="AO422" s="18"/>
      <c r="AP422" s="22" t="s">
        <v>2034</v>
      </c>
      <c r="AQ422" s="18"/>
    </row>
    <row r="423">
      <c r="A423" s="11" t="s">
        <v>2062</v>
      </c>
      <c r="B423" s="11" t="s">
        <v>2061</v>
      </c>
      <c r="C423" s="11" t="str">
        <f>VLOOKUP(A423,import!A:C,3,0)</f>
        <v>DOĞRU</v>
      </c>
      <c r="D423" s="11" t="s">
        <v>100</v>
      </c>
      <c r="E423" s="11">
        <f>VLOOKUP(A423,import!A:J,5,0)</f>
        <v>115</v>
      </c>
      <c r="F423" s="11">
        <f>VLOOKUP(A423,import!A:J,6,0)</f>
        <v>9</v>
      </c>
      <c r="G423" s="11">
        <f>VLOOKUP(A423,import!A:J,7,0)</f>
        <v>76</v>
      </c>
      <c r="H423" s="11">
        <f>VLOOKUP(A423,import!A:J,8,0)</f>
        <v>25</v>
      </c>
      <c r="I423" s="11">
        <f>VLOOKUP(A423,import!A:J,9,0)</f>
        <v>101</v>
      </c>
      <c r="J423" s="12">
        <f>VLOOKUP(A423,import!A:J,10,0)</f>
        <v>0.75</v>
      </c>
      <c r="K423" s="11" t="s">
        <v>2063</v>
      </c>
      <c r="L423" s="11">
        <v>3.523325626E9</v>
      </c>
      <c r="M423" s="11" t="s">
        <v>47</v>
      </c>
      <c r="N423" s="11" t="s">
        <v>277</v>
      </c>
      <c r="O423" s="11" t="s">
        <v>2064</v>
      </c>
      <c r="P423" s="11" t="str">
        <f>VLOOKUP(A423,import!A:P,16,0)</f>
        <v>Key</v>
      </c>
      <c r="Q423" s="13"/>
      <c r="R423" s="13" t="b">
        <v>1</v>
      </c>
      <c r="S423" s="13" t="b">
        <v>0</v>
      </c>
      <c r="T423" s="14" t="s">
        <v>50</v>
      </c>
      <c r="U423" s="15"/>
      <c r="V423" s="15"/>
      <c r="W423" s="14" t="s">
        <v>2057</v>
      </c>
      <c r="X423" s="17"/>
      <c r="Y423" s="17"/>
      <c r="Z423" s="18"/>
      <c r="AA423" s="18"/>
      <c r="AB423" s="18"/>
      <c r="AC423" s="18"/>
      <c r="AD423" s="18"/>
      <c r="AE423" s="21"/>
      <c r="AF423" s="18"/>
      <c r="AG423" s="21"/>
      <c r="AH423" s="18"/>
      <c r="AI423" s="18"/>
      <c r="AJ423" s="18"/>
      <c r="AK423" s="18"/>
      <c r="AL423" s="18"/>
      <c r="AM423" s="18"/>
      <c r="AN423" s="18"/>
      <c r="AO423" s="18"/>
      <c r="AP423" s="22" t="s">
        <v>2034</v>
      </c>
      <c r="AQ423" s="18"/>
    </row>
    <row r="424">
      <c r="A424" s="11" t="s">
        <v>2065</v>
      </c>
      <c r="B424" s="11" t="s">
        <v>2066</v>
      </c>
      <c r="C424" s="11" t="str">
        <f>VLOOKUP(A424,import!A:C,3,0)</f>
        <v>DOĞRU</v>
      </c>
      <c r="D424" s="11" t="s">
        <v>100</v>
      </c>
      <c r="E424" s="11">
        <f>VLOOKUP(A424,import!A:J,5,0)</f>
        <v>1553</v>
      </c>
      <c r="F424" s="11">
        <f>VLOOKUP(A424,import!A:J,6,0)</f>
        <v>11</v>
      </c>
      <c r="G424" s="11">
        <f>VLOOKUP(A424,import!A:J,7,0)</f>
        <v>29</v>
      </c>
      <c r="H424" s="11">
        <f>VLOOKUP(A424,import!A:J,8,0)</f>
        <v>6</v>
      </c>
      <c r="I424" s="11">
        <f>VLOOKUP(A424,import!A:J,9,0)</f>
        <v>35</v>
      </c>
      <c r="J424" s="12">
        <f>VLOOKUP(A424,import!A:J,10,0)</f>
        <v>0.83</v>
      </c>
      <c r="K424" s="11" t="s">
        <v>332</v>
      </c>
      <c r="L424" s="11">
        <v>3.52408863E9</v>
      </c>
      <c r="M424" s="11" t="s">
        <v>47</v>
      </c>
      <c r="N424" s="11" t="s">
        <v>125</v>
      </c>
      <c r="O424" s="11" t="s">
        <v>491</v>
      </c>
      <c r="P424" s="11" t="str">
        <f>VLOOKUP(A424,import!A:P,16,0)</f>
        <v>Key</v>
      </c>
      <c r="Q424" s="13"/>
      <c r="R424" s="13" t="b">
        <v>1</v>
      </c>
      <c r="S424" s="13" t="b">
        <v>0</v>
      </c>
      <c r="T424" s="14" t="s">
        <v>50</v>
      </c>
      <c r="U424" s="26"/>
      <c r="V424" s="26"/>
      <c r="W424" s="14" t="s">
        <v>2057</v>
      </c>
      <c r="X424" s="27"/>
      <c r="Y424" s="27"/>
      <c r="Z424" s="18"/>
      <c r="AA424" s="18"/>
      <c r="AB424" s="18"/>
      <c r="AC424" s="18"/>
      <c r="AD424" s="18"/>
      <c r="AE424" s="21"/>
      <c r="AF424" s="18"/>
      <c r="AG424" s="21"/>
      <c r="AH424" s="18"/>
      <c r="AI424" s="18"/>
      <c r="AJ424" s="18"/>
      <c r="AK424" s="18"/>
      <c r="AL424" s="18"/>
      <c r="AM424" s="18"/>
      <c r="AN424" s="18"/>
      <c r="AO424" s="18"/>
      <c r="AP424" s="22" t="s">
        <v>2034</v>
      </c>
      <c r="AQ424" s="18"/>
    </row>
    <row r="425">
      <c r="A425" s="11" t="s">
        <v>2067</v>
      </c>
      <c r="B425" s="11" t="s">
        <v>2068</v>
      </c>
      <c r="C425" s="11" t="str">
        <f>VLOOKUP(A425,import!A:C,3,0)</f>
        <v>DOĞRU</v>
      </c>
      <c r="D425" s="11" t="s">
        <v>100</v>
      </c>
      <c r="E425" s="11">
        <f>VLOOKUP(A425,import!A:J,5,0)</f>
        <v>1070</v>
      </c>
      <c r="F425" s="11">
        <f>VLOOKUP(A425,import!A:J,6,0)</f>
        <v>26</v>
      </c>
      <c r="G425" s="11">
        <f>VLOOKUP(A425,import!A:J,7,0)</f>
        <v>65</v>
      </c>
      <c r="H425" s="11">
        <f>VLOOKUP(A425,import!A:J,8,0)</f>
        <v>36</v>
      </c>
      <c r="I425" s="11">
        <f>VLOOKUP(A425,import!A:J,9,0)</f>
        <v>101</v>
      </c>
      <c r="J425" s="12">
        <f>VLOOKUP(A425,import!A:J,10,0)</f>
        <v>0.64</v>
      </c>
      <c r="K425" s="11" t="s">
        <v>495</v>
      </c>
      <c r="L425" s="11">
        <v>5.345888618E9</v>
      </c>
      <c r="M425" s="11" t="s">
        <v>47</v>
      </c>
      <c r="N425" s="11" t="s">
        <v>496</v>
      </c>
      <c r="O425" s="11" t="s">
        <v>2069</v>
      </c>
      <c r="P425" s="11" t="str">
        <f>VLOOKUP(A425,import!A:P,16,0)</f>
        <v>Key</v>
      </c>
      <c r="Q425" s="13"/>
      <c r="R425" s="13" t="b">
        <v>1</v>
      </c>
      <c r="S425" s="13" t="b">
        <v>0</v>
      </c>
      <c r="T425" s="14" t="s">
        <v>133</v>
      </c>
      <c r="U425" s="14" t="s">
        <v>110</v>
      </c>
      <c r="V425" s="30" t="s">
        <v>76</v>
      </c>
      <c r="W425" s="14" t="s">
        <v>2070</v>
      </c>
      <c r="X425" s="24">
        <v>44676.0</v>
      </c>
      <c r="Y425" s="24">
        <v>44678.0</v>
      </c>
      <c r="Z425" s="18"/>
      <c r="AA425" s="19" t="s">
        <v>54</v>
      </c>
      <c r="AB425" s="20">
        <v>44676.0</v>
      </c>
      <c r="AC425" s="18"/>
      <c r="AD425" s="18"/>
      <c r="AE425" s="21"/>
      <c r="AF425" s="18"/>
      <c r="AG425" s="21"/>
      <c r="AH425" s="18"/>
      <c r="AI425" s="18"/>
      <c r="AJ425" s="18"/>
      <c r="AK425" s="19" t="s">
        <v>110</v>
      </c>
      <c r="AL425" s="18"/>
      <c r="AM425" s="18"/>
      <c r="AN425" s="18"/>
      <c r="AO425" s="18"/>
      <c r="AP425" s="22" t="s">
        <v>2034</v>
      </c>
      <c r="AQ425" s="18"/>
    </row>
    <row r="426">
      <c r="A426" s="11" t="s">
        <v>2071</v>
      </c>
      <c r="B426" s="11" t="s">
        <v>2072</v>
      </c>
      <c r="C426" s="11" t="str">
        <f>VLOOKUP(A426,import!A:C,3,0)</f>
        <v>DOĞRU</v>
      </c>
      <c r="D426" s="11" t="s">
        <v>100</v>
      </c>
      <c r="E426" s="11">
        <f>VLOOKUP(A426,import!A:J,5,0)</f>
        <v>33</v>
      </c>
      <c r="F426" s="11" t="str">
        <f>VLOOKUP(A426,import!A:J,6,0)</f>
        <v/>
      </c>
      <c r="G426" s="11">
        <f>VLOOKUP(A426,import!A:J,7,0)</f>
        <v>74</v>
      </c>
      <c r="H426" s="11">
        <f>VLOOKUP(A426,import!A:J,8,0)</f>
        <v>2</v>
      </c>
      <c r="I426" s="11">
        <f>VLOOKUP(A426,import!A:J,9,0)</f>
        <v>76</v>
      </c>
      <c r="J426" s="12">
        <f>VLOOKUP(A426,import!A:J,10,0)</f>
        <v>0.97</v>
      </c>
      <c r="K426" s="11" t="s">
        <v>1917</v>
      </c>
      <c r="L426" s="11">
        <v>5.382853402E9</v>
      </c>
      <c r="M426" s="11" t="s">
        <v>47</v>
      </c>
      <c r="N426" s="11" t="s">
        <v>155</v>
      </c>
      <c r="O426" s="11" t="s">
        <v>2073</v>
      </c>
      <c r="P426" s="11" t="str">
        <f>VLOOKUP(A426,import!A:P,16,0)</f>
        <v>Key</v>
      </c>
      <c r="Q426" s="13"/>
      <c r="R426" s="13" t="b">
        <v>1</v>
      </c>
      <c r="S426" s="13" t="b">
        <v>0</v>
      </c>
      <c r="T426" s="14" t="s">
        <v>50</v>
      </c>
      <c r="U426" s="15"/>
      <c r="V426" s="15"/>
      <c r="W426" s="14" t="s">
        <v>2057</v>
      </c>
      <c r="X426" s="17"/>
      <c r="Y426" s="17"/>
      <c r="Z426" s="18"/>
      <c r="AA426" s="18"/>
      <c r="AB426" s="18"/>
      <c r="AC426" s="18"/>
      <c r="AD426" s="18"/>
      <c r="AE426" s="21"/>
      <c r="AF426" s="18"/>
      <c r="AG426" s="21"/>
      <c r="AH426" s="18"/>
      <c r="AI426" s="18"/>
      <c r="AJ426" s="18"/>
      <c r="AK426" s="18"/>
      <c r="AL426" s="18"/>
      <c r="AM426" s="18"/>
      <c r="AN426" s="18"/>
      <c r="AO426" s="18"/>
      <c r="AP426" s="22" t="s">
        <v>2034</v>
      </c>
      <c r="AQ426" s="18"/>
    </row>
    <row r="427">
      <c r="A427" s="11" t="s">
        <v>2074</v>
      </c>
      <c r="B427" s="11" t="s">
        <v>2075</v>
      </c>
      <c r="C427" s="11" t="str">
        <f>VLOOKUP(A427,import!A:C,3,0)</f>
        <v>DOĞRU</v>
      </c>
      <c r="D427" s="11" t="s">
        <v>100</v>
      </c>
      <c r="E427" s="11">
        <f>VLOOKUP(A427,import!A:J,5,0)</f>
        <v>384</v>
      </c>
      <c r="F427" s="11" t="str">
        <f>VLOOKUP(A427,import!A:J,6,0)</f>
        <v/>
      </c>
      <c r="G427" s="11">
        <f>VLOOKUP(A427,import!A:J,7,0)</f>
        <v>66</v>
      </c>
      <c r="H427" s="11">
        <f>VLOOKUP(A427,import!A:J,8,0)</f>
        <v>28</v>
      </c>
      <c r="I427" s="11">
        <f>VLOOKUP(A427,import!A:J,9,0)</f>
        <v>94</v>
      </c>
      <c r="J427" s="12">
        <f>VLOOKUP(A427,import!A:J,10,0)</f>
        <v>0.7</v>
      </c>
      <c r="K427" s="11" t="s">
        <v>2076</v>
      </c>
      <c r="L427" s="11">
        <v>5.39217885E9</v>
      </c>
      <c r="M427" s="11" t="s">
        <v>47</v>
      </c>
      <c r="N427" s="11" t="s">
        <v>138</v>
      </c>
      <c r="O427" s="11" t="s">
        <v>2077</v>
      </c>
      <c r="P427" s="11" t="str">
        <f>VLOOKUP(A427,import!A:P,16,0)</f>
        <v>Key</v>
      </c>
      <c r="Q427" s="13"/>
      <c r="R427" s="13" t="b">
        <v>1</v>
      </c>
      <c r="S427" s="13" t="b">
        <v>0</v>
      </c>
      <c r="T427" s="14" t="s">
        <v>50</v>
      </c>
      <c r="U427" s="25"/>
      <c r="V427" s="14"/>
      <c r="W427" s="14" t="s">
        <v>2057</v>
      </c>
      <c r="X427" s="24"/>
      <c r="Y427" s="24"/>
      <c r="Z427" s="18"/>
      <c r="AA427" s="18"/>
      <c r="AB427" s="18"/>
      <c r="AC427" s="18"/>
      <c r="AD427" s="18"/>
      <c r="AE427" s="21"/>
      <c r="AF427" s="18"/>
      <c r="AG427" s="21"/>
      <c r="AH427" s="18"/>
      <c r="AI427" s="18"/>
      <c r="AJ427" s="18"/>
      <c r="AK427" s="18"/>
      <c r="AL427" s="18"/>
      <c r="AM427" s="18"/>
      <c r="AN427" s="18"/>
      <c r="AO427" s="18"/>
      <c r="AP427" s="22" t="s">
        <v>2034</v>
      </c>
      <c r="AQ427" s="18"/>
    </row>
    <row r="428">
      <c r="A428" s="11" t="s">
        <v>2078</v>
      </c>
      <c r="B428" s="11" t="s">
        <v>2079</v>
      </c>
      <c r="C428" s="11" t="str">
        <f>VLOOKUP(A428,import!A:C,3,0)</f>
        <v>DOĞRU</v>
      </c>
      <c r="D428" s="11" t="s">
        <v>100</v>
      </c>
      <c r="E428" s="11">
        <f>VLOOKUP(A428,import!A:J,5,0)</f>
        <v>1304</v>
      </c>
      <c r="F428" s="11">
        <f>VLOOKUP(A428,import!A:J,6,0)</f>
        <v>62</v>
      </c>
      <c r="G428" s="11">
        <f>VLOOKUP(A428,import!A:J,7,0)</f>
        <v>39</v>
      </c>
      <c r="H428" s="11">
        <f>VLOOKUP(A428,import!A:J,8,0)</f>
        <v>30</v>
      </c>
      <c r="I428" s="11">
        <f>VLOOKUP(A428,import!A:J,9,0)</f>
        <v>69</v>
      </c>
      <c r="J428" s="12">
        <f>VLOOKUP(A428,import!A:J,10,0)</f>
        <v>0.57</v>
      </c>
      <c r="K428" s="11" t="s">
        <v>2080</v>
      </c>
      <c r="L428" s="11">
        <v>5.510798018E9</v>
      </c>
      <c r="M428" s="11" t="s">
        <v>61</v>
      </c>
      <c r="N428" s="11" t="s">
        <v>62</v>
      </c>
      <c r="O428" s="11" t="s">
        <v>1937</v>
      </c>
      <c r="P428" s="11" t="str">
        <f>VLOOKUP(A428,import!A:P,16,0)</f>
        <v>Key</v>
      </c>
      <c r="Q428" s="13"/>
      <c r="R428" s="13" t="b">
        <v>0</v>
      </c>
      <c r="S428" s="13" t="b">
        <v>0</v>
      </c>
      <c r="T428" s="14" t="s">
        <v>50</v>
      </c>
      <c r="U428" s="15"/>
      <c r="V428" s="37"/>
      <c r="W428" s="14"/>
      <c r="X428" s="17"/>
      <c r="Y428" s="17"/>
      <c r="Z428" s="18"/>
      <c r="AA428" s="18"/>
      <c r="AB428" s="18"/>
      <c r="AC428" s="18"/>
      <c r="AD428" s="18"/>
      <c r="AE428" s="21"/>
      <c r="AF428" s="18"/>
      <c r="AG428" s="21"/>
      <c r="AH428" s="18"/>
      <c r="AI428" s="18"/>
      <c r="AJ428" s="18"/>
      <c r="AK428" s="18"/>
      <c r="AL428" s="18"/>
      <c r="AM428" s="18"/>
      <c r="AN428" s="18"/>
      <c r="AO428" s="18"/>
      <c r="AP428" s="22" t="s">
        <v>2034</v>
      </c>
      <c r="AQ428" s="18"/>
    </row>
    <row r="429">
      <c r="A429" s="11" t="s">
        <v>2081</v>
      </c>
      <c r="B429" s="11" t="s">
        <v>2082</v>
      </c>
      <c r="C429" s="11" t="str">
        <f>VLOOKUP(A429,import!A:C,3,0)</f>
        <v>DOĞRU</v>
      </c>
      <c r="D429" s="11" t="s">
        <v>100</v>
      </c>
      <c r="E429" s="11">
        <f>VLOOKUP(A429,import!A:J,5,0)</f>
        <v>2478</v>
      </c>
      <c r="F429" s="11">
        <f>VLOOKUP(A429,import!A:J,6,0)</f>
        <v>19</v>
      </c>
      <c r="G429" s="11">
        <f>VLOOKUP(A429,import!A:J,7,0)</f>
        <v>39</v>
      </c>
      <c r="H429" s="11">
        <f>VLOOKUP(A429,import!A:J,8,0)</f>
        <v>0</v>
      </c>
      <c r="I429" s="11">
        <f>VLOOKUP(A429,import!A:J,9,0)</f>
        <v>39</v>
      </c>
      <c r="J429" s="12">
        <f>VLOOKUP(A429,import!A:J,10,0)</f>
        <v>1</v>
      </c>
      <c r="K429" s="11" t="s">
        <v>500</v>
      </c>
      <c r="L429" s="11">
        <v>5.495092224E9</v>
      </c>
      <c r="M429" s="11" t="s">
        <v>61</v>
      </c>
      <c r="N429" s="11" t="s">
        <v>62</v>
      </c>
      <c r="O429" s="11" t="s">
        <v>501</v>
      </c>
      <c r="P429" s="11" t="str">
        <f>VLOOKUP(A429,import!A:P,16,0)</f>
        <v>Key</v>
      </c>
      <c r="Q429" s="13"/>
      <c r="R429" s="13" t="b">
        <v>0</v>
      </c>
      <c r="S429" s="13" t="b">
        <v>0</v>
      </c>
      <c r="T429" s="14" t="s">
        <v>50</v>
      </c>
      <c r="U429" s="14"/>
      <c r="V429" s="14"/>
      <c r="W429" s="14"/>
      <c r="X429" s="24"/>
      <c r="Y429" s="24"/>
      <c r="Z429" s="47"/>
      <c r="AA429" s="47"/>
      <c r="AB429" s="47"/>
      <c r="AC429" s="18"/>
      <c r="AD429" s="47"/>
      <c r="AE429" s="21"/>
      <c r="AF429" s="47"/>
      <c r="AG429" s="47"/>
      <c r="AH429" s="47"/>
      <c r="AI429" s="18"/>
      <c r="AJ429" s="47"/>
      <c r="AK429" s="47"/>
      <c r="AL429" s="47"/>
      <c r="AM429" s="47"/>
      <c r="AN429" s="47"/>
      <c r="AO429" s="47"/>
      <c r="AP429" s="22" t="s">
        <v>2034</v>
      </c>
      <c r="AQ429" s="47"/>
    </row>
    <row r="430">
      <c r="A430" s="22" t="s">
        <v>2083</v>
      </c>
      <c r="B430" s="22" t="s">
        <v>2084</v>
      </c>
      <c r="C430" s="11" t="str">
        <f>VLOOKUP(A430,import!A:C,3,0)</f>
        <v>DOĞRU</v>
      </c>
      <c r="D430" s="22" t="s">
        <v>69</v>
      </c>
      <c r="E430" s="11" t="str">
        <f>VLOOKUP(A430,import!A:J,5,0)</f>
        <v/>
      </c>
      <c r="F430" s="11" t="str">
        <f>VLOOKUP(A430,import!A:J,6,0)</f>
        <v/>
      </c>
      <c r="G430" s="11">
        <f>VLOOKUP(A430,import!A:J,7,0)</f>
        <v>0</v>
      </c>
      <c r="H430" s="11">
        <f>VLOOKUP(A430,import!A:J,8,0)</f>
        <v>64</v>
      </c>
      <c r="I430" s="11">
        <f>VLOOKUP(A430,import!A:J,9,0)</f>
        <v>64</v>
      </c>
      <c r="J430" s="12">
        <f>VLOOKUP(A430,import!A:J,10,0)</f>
        <v>0</v>
      </c>
      <c r="K430" s="22" t="s">
        <v>2085</v>
      </c>
      <c r="L430" s="22">
        <v>3.523391034E9</v>
      </c>
      <c r="M430" s="22" t="s">
        <v>71</v>
      </c>
      <c r="N430" s="22" t="s">
        <v>2046</v>
      </c>
      <c r="O430" s="22" t="s">
        <v>2086</v>
      </c>
      <c r="P430" s="11" t="str">
        <f>VLOOKUP(A430,import!A:P,16,0)</f>
        <v>Geleneksel</v>
      </c>
      <c r="Q430" s="13"/>
      <c r="R430" s="13" t="b">
        <v>0</v>
      </c>
      <c r="S430" s="13" t="b">
        <v>0</v>
      </c>
      <c r="T430" s="14"/>
      <c r="U430" s="14"/>
      <c r="V430" s="14"/>
      <c r="W430" s="14"/>
      <c r="X430" s="24"/>
      <c r="Y430" s="24"/>
      <c r="Z430" s="18"/>
      <c r="AA430" s="19"/>
      <c r="AB430" s="20"/>
      <c r="AC430" s="19"/>
      <c r="AD430" s="20"/>
      <c r="AE430" s="19"/>
      <c r="AF430" s="20"/>
      <c r="AG430" s="21"/>
      <c r="AH430" s="18"/>
      <c r="AI430" s="18"/>
      <c r="AJ430" s="18"/>
      <c r="AK430" s="19"/>
      <c r="AL430" s="19"/>
      <c r="AM430" s="19"/>
      <c r="AN430" s="18"/>
      <c r="AO430" s="18"/>
      <c r="AP430" s="22"/>
      <c r="AQ430" s="18"/>
    </row>
    <row r="431">
      <c r="A431" s="22" t="s">
        <v>2087</v>
      </c>
      <c r="B431" s="22" t="s">
        <v>2088</v>
      </c>
      <c r="C431" s="11" t="str">
        <f>VLOOKUP(A431,import!A:C,3,0)</f>
        <v>DOĞRU</v>
      </c>
      <c r="D431" s="22" t="s">
        <v>69</v>
      </c>
      <c r="E431" s="11">
        <f>VLOOKUP(A431,import!A:J,5,0)</f>
        <v>65</v>
      </c>
      <c r="F431" s="11">
        <f>VLOOKUP(A431,import!A:J,6,0)</f>
        <v>65</v>
      </c>
      <c r="G431" s="11">
        <f>VLOOKUP(A431,import!A:J,7,0)</f>
        <v>0</v>
      </c>
      <c r="H431" s="11">
        <f>VLOOKUP(A431,import!A:J,8,0)</f>
        <v>23</v>
      </c>
      <c r="I431" s="11">
        <f>VLOOKUP(A431,import!A:J,9,0)</f>
        <v>23</v>
      </c>
      <c r="J431" s="12">
        <f>VLOOKUP(A431,import!A:J,10,0)</f>
        <v>0</v>
      </c>
      <c r="K431" s="22" t="s">
        <v>1936</v>
      </c>
      <c r="L431" s="22">
        <v>5.510798018E9</v>
      </c>
      <c r="M431" s="22" t="s">
        <v>61</v>
      </c>
      <c r="N431" s="22" t="s">
        <v>250</v>
      </c>
      <c r="O431" s="22" t="s">
        <v>1937</v>
      </c>
      <c r="P431" s="11" t="str">
        <f>VLOOKUP(A431,import!A:P,16,0)</f>
        <v>Geleneksel</v>
      </c>
      <c r="Q431" s="13"/>
      <c r="R431" s="13" t="b">
        <v>1</v>
      </c>
      <c r="S431" s="13" t="b">
        <v>1</v>
      </c>
      <c r="T431" s="14"/>
      <c r="U431" s="14"/>
      <c r="V431" s="14"/>
      <c r="W431" s="14" t="s">
        <v>2089</v>
      </c>
      <c r="X431" s="24"/>
      <c r="Y431" s="24"/>
      <c r="Z431" s="18"/>
      <c r="AA431" s="19" t="s">
        <v>54</v>
      </c>
      <c r="AB431" s="20">
        <v>44679.0</v>
      </c>
      <c r="AC431" s="19"/>
      <c r="AD431" s="20"/>
      <c r="AE431" s="19"/>
      <c r="AF431" s="20"/>
      <c r="AG431" s="21"/>
      <c r="AH431" s="18"/>
      <c r="AI431" s="18"/>
      <c r="AJ431" s="18"/>
      <c r="AK431" s="19" t="s">
        <v>75</v>
      </c>
      <c r="AL431" s="19"/>
      <c r="AM431" s="19"/>
      <c r="AN431" s="18"/>
      <c r="AO431" s="18"/>
      <c r="AP431" s="22"/>
      <c r="AQ431" s="18"/>
    </row>
    <row r="432">
      <c r="A432" s="11" t="s">
        <v>2090</v>
      </c>
      <c r="B432" s="11" t="s">
        <v>2091</v>
      </c>
      <c r="C432" s="11" t="str">
        <f>VLOOKUP(A432,import!A:C,3,0)</f>
        <v>DOĞRU</v>
      </c>
      <c r="D432" s="11" t="s">
        <v>406</v>
      </c>
      <c r="E432" s="11">
        <f>VLOOKUP(A432,import!A:J,5,0)</f>
        <v>76</v>
      </c>
      <c r="F432" s="11">
        <f>VLOOKUP(A432,import!A:J,6,0)</f>
        <v>6</v>
      </c>
      <c r="G432" s="11">
        <f>VLOOKUP(A432,import!A:J,7,0)</f>
        <v>31</v>
      </c>
      <c r="H432" s="11">
        <f>VLOOKUP(A432,import!A:J,8,0)</f>
        <v>5</v>
      </c>
      <c r="I432" s="11">
        <f>VLOOKUP(A432,import!A:J,9,0)</f>
        <v>36</v>
      </c>
      <c r="J432" s="12">
        <f>VLOOKUP(A432,import!A:J,10,0)</f>
        <v>0.86</v>
      </c>
      <c r="K432" s="11" t="s">
        <v>2092</v>
      </c>
      <c r="L432" s="11">
        <v>3.525033888E9</v>
      </c>
      <c r="M432" s="11" t="s">
        <v>71</v>
      </c>
      <c r="N432" s="11" t="s">
        <v>1116</v>
      </c>
      <c r="O432" s="11" t="s">
        <v>2093</v>
      </c>
      <c r="P432" s="11" t="str">
        <f>VLOOKUP(A432,import!A:P,16,0)</f>
        <v>Geleneksel</v>
      </c>
      <c r="Q432" s="13"/>
      <c r="R432" s="13" t="b">
        <v>1</v>
      </c>
      <c r="S432" s="13" t="b">
        <v>0</v>
      </c>
      <c r="T432" s="14" t="s">
        <v>74</v>
      </c>
      <c r="U432" s="14" t="s">
        <v>75</v>
      </c>
      <c r="V432" s="30" t="s">
        <v>76</v>
      </c>
      <c r="W432" s="14" t="s">
        <v>2094</v>
      </c>
      <c r="X432" s="24">
        <v>44624.0</v>
      </c>
      <c r="Y432" s="24">
        <v>44627.0</v>
      </c>
      <c r="Z432" s="18"/>
      <c r="AA432" s="19" t="s">
        <v>54</v>
      </c>
      <c r="AB432" s="24">
        <v>44624.0</v>
      </c>
      <c r="AC432" s="19"/>
      <c r="AD432" s="20"/>
      <c r="AE432" s="21"/>
      <c r="AF432" s="18"/>
      <c r="AG432" s="21"/>
      <c r="AH432" s="18"/>
      <c r="AI432" s="18"/>
      <c r="AJ432" s="18"/>
      <c r="AK432" s="19" t="s">
        <v>75</v>
      </c>
      <c r="AL432" s="19"/>
      <c r="AM432" s="18"/>
      <c r="AN432" s="18"/>
      <c r="AO432" s="18"/>
      <c r="AP432" s="22"/>
      <c r="AQ432" s="18"/>
    </row>
    <row r="433">
      <c r="A433" s="11" t="s">
        <v>2095</v>
      </c>
      <c r="B433" s="11" t="s">
        <v>2096</v>
      </c>
      <c r="C433" s="11" t="str">
        <f>VLOOKUP(A433,import!A:C,3,0)</f>
        <v>DOĞRU</v>
      </c>
      <c r="D433" s="11" t="s">
        <v>69</v>
      </c>
      <c r="E433" s="11">
        <f>VLOOKUP(A433,import!A:J,5,0)</f>
        <v>1146</v>
      </c>
      <c r="F433" s="11">
        <f>VLOOKUP(A433,import!A:J,6,0)</f>
        <v>19</v>
      </c>
      <c r="G433" s="11">
        <f>VLOOKUP(A433,import!A:J,7,0)</f>
        <v>0</v>
      </c>
      <c r="H433" s="11">
        <f>VLOOKUP(A433,import!A:J,8,0)</f>
        <v>15</v>
      </c>
      <c r="I433" s="11">
        <f>VLOOKUP(A433,import!A:J,9,0)</f>
        <v>15</v>
      </c>
      <c r="J433" s="12">
        <f>VLOOKUP(A433,import!A:J,10,0)</f>
        <v>0</v>
      </c>
      <c r="K433" s="11" t="s">
        <v>2097</v>
      </c>
      <c r="L433" s="11">
        <v>5.445446926E9</v>
      </c>
      <c r="M433" s="11" t="s">
        <v>61</v>
      </c>
      <c r="N433" s="11" t="s">
        <v>62</v>
      </c>
      <c r="O433" s="11" t="s">
        <v>2098</v>
      </c>
      <c r="P433" s="11" t="str">
        <f>VLOOKUP(A433,import!A:P,16,0)</f>
        <v>Geleneksel</v>
      </c>
      <c r="Q433" s="13"/>
      <c r="R433" s="13" t="b">
        <v>1</v>
      </c>
      <c r="S433" s="13" t="b">
        <v>0</v>
      </c>
      <c r="T433" s="25" t="s">
        <v>168</v>
      </c>
      <c r="U433" s="25"/>
      <c r="V433" s="25"/>
      <c r="W433" s="25" t="s">
        <v>2099</v>
      </c>
      <c r="X433" s="34"/>
      <c r="Y433" s="34"/>
      <c r="Z433" s="18"/>
      <c r="AA433" s="19" t="s">
        <v>78</v>
      </c>
      <c r="AB433" s="20">
        <v>44377.0</v>
      </c>
      <c r="AC433" s="18"/>
      <c r="AD433" s="18"/>
      <c r="AE433" s="21"/>
      <c r="AF433" s="18"/>
      <c r="AG433" s="21"/>
      <c r="AH433" s="18"/>
      <c r="AI433" s="18"/>
      <c r="AJ433" s="18"/>
      <c r="AK433" s="19" t="s">
        <v>79</v>
      </c>
      <c r="AL433" s="18"/>
      <c r="AM433" s="18"/>
      <c r="AN433" s="18"/>
      <c r="AO433" s="18"/>
      <c r="AP433" s="22" t="s">
        <v>56</v>
      </c>
      <c r="AQ433" s="18"/>
    </row>
    <row r="434">
      <c r="A434" s="11" t="s">
        <v>2100</v>
      </c>
      <c r="B434" s="11" t="s">
        <v>2101</v>
      </c>
      <c r="C434" s="11" t="str">
        <f>VLOOKUP(A434,import!A:C,3,0)</f>
        <v>DOĞRU</v>
      </c>
      <c r="D434" s="11" t="s">
        <v>165</v>
      </c>
      <c r="E434" s="11">
        <f>VLOOKUP(A434,import!A:J,5,0)</f>
        <v>191</v>
      </c>
      <c r="F434" s="11">
        <f>VLOOKUP(A434,import!A:J,6,0)</f>
        <v>11</v>
      </c>
      <c r="G434" s="11">
        <f>VLOOKUP(A434,import!A:J,7,0)</f>
        <v>0</v>
      </c>
      <c r="H434" s="11">
        <f>VLOOKUP(A434,import!A:J,8,0)</f>
        <v>9</v>
      </c>
      <c r="I434" s="11">
        <f>VLOOKUP(A434,import!A:J,9,0)</f>
        <v>9</v>
      </c>
      <c r="J434" s="12">
        <f>VLOOKUP(A434,import!A:J,10,0)</f>
        <v>0</v>
      </c>
      <c r="K434" s="11" t="s">
        <v>2102</v>
      </c>
      <c r="L434" s="11">
        <v>3.522355558E9</v>
      </c>
      <c r="M434" s="11" t="s">
        <v>71</v>
      </c>
      <c r="N434" s="11" t="s">
        <v>588</v>
      </c>
      <c r="O434" s="11" t="s">
        <v>2103</v>
      </c>
      <c r="P434" s="11" t="str">
        <f>VLOOKUP(A434,import!A:P,16,0)</f>
        <v>Geleneksel</v>
      </c>
      <c r="Q434" s="13"/>
      <c r="R434" s="13" t="b">
        <v>1</v>
      </c>
      <c r="S434" s="13" t="b">
        <v>0</v>
      </c>
      <c r="T434" s="14"/>
      <c r="U434" s="14"/>
      <c r="V434" s="14"/>
      <c r="W434" s="14" t="s">
        <v>2104</v>
      </c>
      <c r="X434" s="24"/>
      <c r="Y434" s="24"/>
      <c r="Z434" s="18"/>
      <c r="AA434" s="19" t="s">
        <v>54</v>
      </c>
      <c r="AB434" s="20">
        <v>44613.0</v>
      </c>
      <c r="AC434" s="19"/>
      <c r="AD434" s="20"/>
      <c r="AE434" s="19"/>
      <c r="AF434" s="20"/>
      <c r="AG434" s="21"/>
      <c r="AH434" s="18"/>
      <c r="AI434" s="18"/>
      <c r="AJ434" s="18"/>
      <c r="AK434" s="19" t="s">
        <v>66</v>
      </c>
      <c r="AL434" s="19"/>
      <c r="AM434" s="19"/>
      <c r="AN434" s="18"/>
      <c r="AO434" s="18"/>
      <c r="AP434" s="22"/>
      <c r="AQ434" s="18"/>
    </row>
    <row r="435">
      <c r="A435" s="32" t="s">
        <v>2105</v>
      </c>
      <c r="B435" s="32" t="s">
        <v>2106</v>
      </c>
      <c r="C435" s="11" t="str">
        <f>VLOOKUP(A435,import!A:C,3,0)</f>
        <v>DOĞRU</v>
      </c>
      <c r="D435" s="32" t="s">
        <v>172</v>
      </c>
      <c r="E435" s="11">
        <f>VLOOKUP(A435,import!A:J,5,0)</f>
        <v>525</v>
      </c>
      <c r="F435" s="11">
        <f>VLOOKUP(A435,import!A:J,6,0)</f>
        <v>51</v>
      </c>
      <c r="G435" s="11">
        <f>VLOOKUP(A435,import!A:J,7,0)</f>
        <v>11</v>
      </c>
      <c r="H435" s="11">
        <f>VLOOKUP(A435,import!A:J,8,0)</f>
        <v>23</v>
      </c>
      <c r="I435" s="11">
        <f>VLOOKUP(A435,import!A:J,9,0)</f>
        <v>34</v>
      </c>
      <c r="J435" s="12">
        <f>VLOOKUP(A435,import!A:J,10,0)</f>
        <v>0.32</v>
      </c>
      <c r="K435" s="32" t="s">
        <v>2107</v>
      </c>
      <c r="L435" s="32">
        <v>3.524373838E9</v>
      </c>
      <c r="M435" s="32" t="s">
        <v>61</v>
      </c>
      <c r="N435" s="32" t="s">
        <v>107</v>
      </c>
      <c r="O435" s="32" t="s">
        <v>2108</v>
      </c>
      <c r="P435" s="11" t="str">
        <f>VLOOKUP(A435,import!A:P,16,0)</f>
        <v>Geleneksel</v>
      </c>
      <c r="Q435" s="13"/>
      <c r="R435" s="13" t="b">
        <v>1</v>
      </c>
      <c r="S435" s="13" t="b">
        <v>0</v>
      </c>
      <c r="T435" s="14" t="s">
        <v>74</v>
      </c>
      <c r="U435" s="14" t="s">
        <v>75</v>
      </c>
      <c r="V435" s="23" t="s">
        <v>76</v>
      </c>
      <c r="W435" s="14" t="s">
        <v>2109</v>
      </c>
      <c r="X435" s="24">
        <v>44623.0</v>
      </c>
      <c r="Y435" s="24">
        <v>44638.0</v>
      </c>
      <c r="Z435" s="18"/>
      <c r="AA435" s="19" t="s">
        <v>64</v>
      </c>
      <c r="AB435" s="20">
        <v>44608.0</v>
      </c>
      <c r="AC435" s="19" t="s">
        <v>54</v>
      </c>
      <c r="AD435" s="20">
        <v>44638.0</v>
      </c>
      <c r="AE435" s="19"/>
      <c r="AF435" s="20"/>
      <c r="AG435" s="21"/>
      <c r="AH435" s="18"/>
      <c r="AI435" s="18"/>
      <c r="AJ435" s="18"/>
      <c r="AK435" s="19" t="s">
        <v>66</v>
      </c>
      <c r="AL435" s="19" t="s">
        <v>140</v>
      </c>
      <c r="AM435" s="19"/>
      <c r="AN435" s="18"/>
      <c r="AO435" s="18"/>
      <c r="AP435" s="22"/>
      <c r="AQ435" s="18"/>
    </row>
    <row r="436">
      <c r="A436" s="22" t="s">
        <v>2110</v>
      </c>
      <c r="B436" s="22" t="s">
        <v>2111</v>
      </c>
      <c r="C436" s="11" t="str">
        <f>VLOOKUP(A436,import!A:C,3,0)</f>
        <v>DOĞRU</v>
      </c>
      <c r="D436" s="22" t="s">
        <v>165</v>
      </c>
      <c r="E436" s="11">
        <f>VLOOKUP(A436,import!A:J,5,0)</f>
        <v>7</v>
      </c>
      <c r="F436" s="11" t="str">
        <f>VLOOKUP(A436,import!A:J,6,0)</f>
        <v/>
      </c>
      <c r="G436" s="11">
        <f>VLOOKUP(A436,import!A:J,7,0)</f>
        <v>0</v>
      </c>
      <c r="H436" s="11">
        <f>VLOOKUP(A436,import!A:J,8,0)</f>
        <v>8</v>
      </c>
      <c r="I436" s="11">
        <f>VLOOKUP(A436,import!A:J,9,0)</f>
        <v>8</v>
      </c>
      <c r="J436" s="12">
        <f>VLOOKUP(A436,import!A:J,10,0)</f>
        <v>0</v>
      </c>
      <c r="K436" s="22" t="s">
        <v>2112</v>
      </c>
      <c r="L436" s="22">
        <v>3.524310132E9</v>
      </c>
      <c r="M436" s="22" t="s">
        <v>61</v>
      </c>
      <c r="N436" s="22" t="s">
        <v>62</v>
      </c>
      <c r="O436" s="22" t="s">
        <v>2113</v>
      </c>
      <c r="P436" s="11" t="str">
        <f>VLOOKUP(A436,import!A:P,16,0)</f>
        <v>Geleneksel</v>
      </c>
      <c r="Q436" s="13"/>
      <c r="R436" s="13" t="b">
        <v>0</v>
      </c>
      <c r="S436" s="13" t="b">
        <v>0</v>
      </c>
      <c r="T436" s="14"/>
      <c r="U436" s="14"/>
      <c r="V436" s="30"/>
      <c r="W436" s="14"/>
      <c r="X436" s="24"/>
      <c r="Y436" s="24"/>
      <c r="Z436" s="18"/>
      <c r="AA436" s="19"/>
      <c r="AB436" s="20"/>
      <c r="AC436" s="19"/>
      <c r="AD436" s="20"/>
      <c r="AE436" s="19"/>
      <c r="AF436" s="20"/>
      <c r="AG436" s="21"/>
      <c r="AH436" s="18"/>
      <c r="AI436" s="18"/>
      <c r="AJ436" s="18"/>
      <c r="AK436" s="19"/>
      <c r="AL436" s="19"/>
      <c r="AM436" s="19"/>
      <c r="AN436" s="18"/>
      <c r="AO436" s="18"/>
      <c r="AP436" s="22"/>
      <c r="AQ436" s="18"/>
    </row>
    <row r="437">
      <c r="A437" s="22" t="s">
        <v>2114</v>
      </c>
      <c r="B437" s="22" t="s">
        <v>2115</v>
      </c>
      <c r="C437" s="11" t="str">
        <f>VLOOKUP(A437,import!A:C,3,0)</f>
        <v>DOĞRU</v>
      </c>
      <c r="D437" s="22" t="s">
        <v>855</v>
      </c>
      <c r="E437" s="11">
        <f>VLOOKUP(A437,import!A:J,5,0)</f>
        <v>1</v>
      </c>
      <c r="F437" s="11">
        <f>VLOOKUP(A437,import!A:J,6,0)</f>
        <v>1</v>
      </c>
      <c r="G437" s="11">
        <f>VLOOKUP(A437,import!A:J,7,0)</f>
        <v>0</v>
      </c>
      <c r="H437" s="11">
        <f>VLOOKUP(A437,import!A:J,8,0)</f>
        <v>15</v>
      </c>
      <c r="I437" s="11">
        <f>VLOOKUP(A437,import!A:J,9,0)</f>
        <v>15</v>
      </c>
      <c r="J437" s="12">
        <f>VLOOKUP(A437,import!A:J,10,0)</f>
        <v>0</v>
      </c>
      <c r="K437" s="22" t="s">
        <v>2116</v>
      </c>
      <c r="L437" s="22">
        <v>5.344626355E9</v>
      </c>
      <c r="M437" s="22" t="s">
        <v>47</v>
      </c>
      <c r="N437" s="22" t="s">
        <v>48</v>
      </c>
      <c r="O437" s="22" t="s">
        <v>2117</v>
      </c>
      <c r="P437" s="11" t="str">
        <f>VLOOKUP(A437,import!A:P,16,0)</f>
        <v>Geleneksel</v>
      </c>
      <c r="Q437" s="13"/>
      <c r="R437" s="13" t="b">
        <v>1</v>
      </c>
      <c r="S437" s="13" t="b">
        <v>0</v>
      </c>
      <c r="T437" s="14" t="s">
        <v>74</v>
      </c>
      <c r="U437" s="14" t="s">
        <v>110</v>
      </c>
      <c r="V437" s="33" t="s">
        <v>76</v>
      </c>
      <c r="W437" s="14"/>
      <c r="X437" s="24">
        <v>44676.0</v>
      </c>
      <c r="Y437" s="24">
        <v>44678.0</v>
      </c>
      <c r="Z437" s="18"/>
      <c r="AA437" s="19" t="s">
        <v>54</v>
      </c>
      <c r="AB437" s="20">
        <v>44676.0</v>
      </c>
      <c r="AC437" s="19"/>
      <c r="AD437" s="20"/>
      <c r="AE437" s="19"/>
      <c r="AF437" s="20"/>
      <c r="AG437" s="21"/>
      <c r="AH437" s="18"/>
      <c r="AI437" s="18"/>
      <c r="AJ437" s="18"/>
      <c r="AK437" s="19" t="s">
        <v>110</v>
      </c>
      <c r="AL437" s="19"/>
      <c r="AM437" s="19"/>
      <c r="AN437" s="18"/>
      <c r="AO437" s="18"/>
      <c r="AP437" s="22"/>
      <c r="AQ437" s="18"/>
    </row>
    <row r="438">
      <c r="A438" s="11" t="s">
        <v>2118</v>
      </c>
      <c r="B438" s="11" t="s">
        <v>2119</v>
      </c>
      <c r="C438" s="11" t="str">
        <f>VLOOKUP(A438,import!A:C,3,0)</f>
        <v>DOĞRU</v>
      </c>
      <c r="D438" s="11" t="s">
        <v>855</v>
      </c>
      <c r="E438" s="11">
        <f>VLOOKUP(A438,import!A:J,5,0)</f>
        <v>153</v>
      </c>
      <c r="F438" s="11">
        <f>VLOOKUP(A438,import!A:J,6,0)</f>
        <v>11</v>
      </c>
      <c r="G438" s="11">
        <f>VLOOKUP(A438,import!A:J,7,0)</f>
        <v>4</v>
      </c>
      <c r="H438" s="11">
        <f>VLOOKUP(A438,import!A:J,8,0)</f>
        <v>4</v>
      </c>
      <c r="I438" s="11">
        <f>VLOOKUP(A438,import!A:J,9,0)</f>
        <v>8</v>
      </c>
      <c r="J438" s="12">
        <f>VLOOKUP(A438,import!A:J,10,0)</f>
        <v>0.5</v>
      </c>
      <c r="K438" s="11" t="s">
        <v>2120</v>
      </c>
      <c r="L438" s="11">
        <v>3.52503422E9</v>
      </c>
      <c r="M438" s="11" t="s">
        <v>61</v>
      </c>
      <c r="N438" s="11" t="s">
        <v>62</v>
      </c>
      <c r="O438" s="11" t="s">
        <v>2121</v>
      </c>
      <c r="P438" s="11" t="str">
        <f>VLOOKUP(A438,import!A:P,16,0)</f>
        <v>Geleneksel</v>
      </c>
      <c r="Q438" s="13"/>
      <c r="R438" s="13" t="b">
        <v>1</v>
      </c>
      <c r="S438" s="13" t="b">
        <v>0</v>
      </c>
      <c r="T438" s="14" t="s">
        <v>74</v>
      </c>
      <c r="U438" s="14" t="s">
        <v>86</v>
      </c>
      <c r="V438" s="33" t="s">
        <v>76</v>
      </c>
      <c r="W438" s="14"/>
      <c r="X438" s="24">
        <v>44606.0</v>
      </c>
      <c r="Y438" s="24">
        <v>44607.0</v>
      </c>
      <c r="Z438" s="18"/>
      <c r="AA438" s="19" t="s">
        <v>54</v>
      </c>
      <c r="AB438" s="20">
        <v>44579.0</v>
      </c>
      <c r="AC438" s="19" t="s">
        <v>54</v>
      </c>
      <c r="AD438" s="20">
        <v>44606.0</v>
      </c>
      <c r="AE438" s="21"/>
      <c r="AF438" s="18"/>
      <c r="AG438" s="21"/>
      <c r="AH438" s="18"/>
      <c r="AI438" s="18"/>
      <c r="AJ438" s="18"/>
      <c r="AK438" s="19" t="s">
        <v>86</v>
      </c>
      <c r="AL438" s="19" t="s">
        <v>86</v>
      </c>
      <c r="AM438" s="18"/>
      <c r="AN438" s="18"/>
      <c r="AO438" s="18"/>
      <c r="AP438" s="22" t="s">
        <v>56</v>
      </c>
      <c r="AQ438" s="18"/>
    </row>
    <row r="439">
      <c r="A439" s="11" t="s">
        <v>2122</v>
      </c>
      <c r="B439" s="11" t="s">
        <v>2123</v>
      </c>
      <c r="C439" s="11" t="str">
        <f>VLOOKUP(A439,import!A:C,3,0)</f>
        <v>DOĞRU</v>
      </c>
      <c r="D439" s="11" t="s">
        <v>855</v>
      </c>
      <c r="E439" s="11">
        <f>VLOOKUP(A439,import!A:J,5,0)</f>
        <v>142</v>
      </c>
      <c r="F439" s="11">
        <f>VLOOKUP(A439,import!A:J,6,0)</f>
        <v>21</v>
      </c>
      <c r="G439" s="11">
        <f>VLOOKUP(A439,import!A:J,7,0)</f>
        <v>0</v>
      </c>
      <c r="H439" s="11">
        <f>VLOOKUP(A439,import!A:J,8,0)</f>
        <v>15</v>
      </c>
      <c r="I439" s="11">
        <f>VLOOKUP(A439,import!A:J,9,0)</f>
        <v>15</v>
      </c>
      <c r="J439" s="12">
        <f>VLOOKUP(A439,import!A:J,10,0)</f>
        <v>0</v>
      </c>
      <c r="K439" s="11" t="s">
        <v>2116</v>
      </c>
      <c r="L439" s="11">
        <v>5.523525338E9</v>
      </c>
      <c r="M439" s="11" t="s">
        <v>61</v>
      </c>
      <c r="N439" s="11" t="s">
        <v>250</v>
      </c>
      <c r="O439" s="11" t="s">
        <v>2124</v>
      </c>
      <c r="P439" s="11" t="str">
        <f>VLOOKUP(A439,import!A:P,16,0)</f>
        <v>Geleneksel</v>
      </c>
      <c r="Q439" s="13"/>
      <c r="R439" s="13" t="b">
        <v>1</v>
      </c>
      <c r="S439" s="13" t="b">
        <v>0</v>
      </c>
      <c r="T439" s="14" t="s">
        <v>133</v>
      </c>
      <c r="U439" s="14"/>
      <c r="V439" s="14"/>
      <c r="W439" s="14" t="s">
        <v>2125</v>
      </c>
      <c r="X439" s="24"/>
      <c r="Y439" s="24"/>
      <c r="Z439" s="18"/>
      <c r="AA439" s="19" t="s">
        <v>54</v>
      </c>
      <c r="AB439" s="20">
        <v>44666.0</v>
      </c>
      <c r="AC439" s="19"/>
      <c r="AD439" s="20"/>
      <c r="AE439" s="21"/>
      <c r="AF439" s="18"/>
      <c r="AG439" s="21"/>
      <c r="AH439" s="18"/>
      <c r="AI439" s="18"/>
      <c r="AJ439" s="18"/>
      <c r="AK439" s="19" t="s">
        <v>110</v>
      </c>
      <c r="AL439" s="19"/>
      <c r="AM439" s="18"/>
      <c r="AN439" s="18"/>
      <c r="AO439" s="18"/>
      <c r="AP439" s="22" t="s">
        <v>56</v>
      </c>
      <c r="AQ439" s="18"/>
    </row>
    <row r="440">
      <c r="A440" s="11" t="s">
        <v>2126</v>
      </c>
      <c r="B440" s="11" t="s">
        <v>2127</v>
      </c>
      <c r="C440" s="11" t="str">
        <f>VLOOKUP(A440,import!A:C,3,0)</f>
        <v>DOĞRU</v>
      </c>
      <c r="D440" s="11" t="s">
        <v>406</v>
      </c>
      <c r="E440" s="11">
        <f>VLOOKUP(A440,import!A:J,5,0)</f>
        <v>988</v>
      </c>
      <c r="F440" s="11" t="str">
        <f>VLOOKUP(A440,import!A:J,6,0)</f>
        <v/>
      </c>
      <c r="G440" s="11">
        <f>VLOOKUP(A440,import!A:J,7,0)</f>
        <v>0</v>
      </c>
      <c r="H440" s="11">
        <f>VLOOKUP(A440,import!A:J,8,0)</f>
        <v>12</v>
      </c>
      <c r="I440" s="11">
        <f>VLOOKUP(A440,import!A:J,9,0)</f>
        <v>12</v>
      </c>
      <c r="J440" s="12">
        <f>VLOOKUP(A440,import!A:J,10,0)</f>
        <v>0</v>
      </c>
      <c r="K440" s="11" t="s">
        <v>2128</v>
      </c>
      <c r="L440" s="11">
        <v>5.52721752E9</v>
      </c>
      <c r="M440" s="11" t="s">
        <v>47</v>
      </c>
      <c r="N440" s="11" t="s">
        <v>884</v>
      </c>
      <c r="O440" s="11" t="s">
        <v>2129</v>
      </c>
      <c r="P440" s="11" t="str">
        <f>VLOOKUP(A440,import!A:P,16,0)</f>
        <v>Geleneksel</v>
      </c>
      <c r="Q440" s="13"/>
      <c r="R440" s="13" t="b">
        <v>1</v>
      </c>
      <c r="S440" s="13" t="b">
        <v>0</v>
      </c>
      <c r="T440" s="14" t="s">
        <v>53</v>
      </c>
      <c r="U440" s="14"/>
      <c r="V440" s="40"/>
      <c r="W440" s="14" t="s">
        <v>2130</v>
      </c>
      <c r="X440" s="24"/>
      <c r="Y440" s="24"/>
      <c r="Z440" s="18"/>
      <c r="AA440" s="19" t="s">
        <v>64</v>
      </c>
      <c r="AB440" s="20">
        <v>44358.0</v>
      </c>
      <c r="AC440" s="19" t="s">
        <v>53</v>
      </c>
      <c r="AD440" s="20">
        <v>44631.0</v>
      </c>
      <c r="AE440" s="21"/>
      <c r="AF440" s="18"/>
      <c r="AG440" s="21"/>
      <c r="AH440" s="18"/>
      <c r="AI440" s="18"/>
      <c r="AJ440" s="18"/>
      <c r="AK440" s="19" t="s">
        <v>55</v>
      </c>
      <c r="AL440" s="19" t="s">
        <v>86</v>
      </c>
      <c r="AM440" s="18"/>
      <c r="AN440" s="18"/>
      <c r="AO440" s="18"/>
      <c r="AP440" s="22" t="s">
        <v>56</v>
      </c>
      <c r="AQ440" s="18"/>
    </row>
    <row r="441">
      <c r="A441" s="11" t="s">
        <v>2131</v>
      </c>
      <c r="B441" s="11" t="s">
        <v>2132</v>
      </c>
      <c r="C441" s="11" t="str">
        <f>VLOOKUP(A441,import!A:C,3,0)</f>
        <v>DOĞRU</v>
      </c>
      <c r="D441" s="11" t="s">
        <v>172</v>
      </c>
      <c r="E441" s="11">
        <f>VLOOKUP(A441,import!A:J,5,0)</f>
        <v>3710</v>
      </c>
      <c r="F441" s="11">
        <f>VLOOKUP(A441,import!A:J,6,0)</f>
        <v>149</v>
      </c>
      <c r="G441" s="11">
        <f>VLOOKUP(A441,import!A:J,7,0)</f>
        <v>0</v>
      </c>
      <c r="H441" s="11">
        <f>VLOOKUP(A441,import!A:J,8,0)</f>
        <v>22</v>
      </c>
      <c r="I441" s="11">
        <f>VLOOKUP(A441,import!A:J,9,0)</f>
        <v>22</v>
      </c>
      <c r="J441" s="12">
        <f>VLOOKUP(A441,import!A:J,10,0)</f>
        <v>0</v>
      </c>
      <c r="K441" s="11" t="s">
        <v>2133</v>
      </c>
      <c r="L441" s="11">
        <v>5.075646919E9</v>
      </c>
      <c r="M441" s="11" t="s">
        <v>47</v>
      </c>
      <c r="N441" s="11" t="s">
        <v>525</v>
      </c>
      <c r="O441" s="11" t="s">
        <v>2134</v>
      </c>
      <c r="P441" s="11" t="str">
        <f>VLOOKUP(A441,import!A:P,16,0)</f>
        <v>Geleneksel</v>
      </c>
      <c r="Q441" s="13"/>
      <c r="R441" s="13" t="b">
        <v>1</v>
      </c>
      <c r="S441" s="13" t="b">
        <v>0</v>
      </c>
      <c r="T441" s="14" t="s">
        <v>168</v>
      </c>
      <c r="U441" s="14"/>
      <c r="V441" s="31"/>
      <c r="W441" s="14" t="s">
        <v>2135</v>
      </c>
      <c r="X441" s="24"/>
      <c r="Y441" s="24"/>
      <c r="Z441" s="18"/>
      <c r="AA441" s="19" t="s">
        <v>54</v>
      </c>
      <c r="AB441" s="20">
        <v>44588.0</v>
      </c>
      <c r="AC441" s="19" t="s">
        <v>53</v>
      </c>
      <c r="AD441" s="20">
        <v>44603.0</v>
      </c>
      <c r="AE441" s="19" t="s">
        <v>54</v>
      </c>
      <c r="AF441" s="20">
        <v>44631.0</v>
      </c>
      <c r="AG441" s="21"/>
      <c r="AH441" s="18"/>
      <c r="AI441" s="18"/>
      <c r="AJ441" s="18"/>
      <c r="AK441" s="19" t="s">
        <v>110</v>
      </c>
      <c r="AL441" s="19" t="s">
        <v>75</v>
      </c>
      <c r="AM441" s="19" t="s">
        <v>86</v>
      </c>
      <c r="AN441" s="18"/>
      <c r="AO441" s="18"/>
      <c r="AP441" s="22" t="s">
        <v>56</v>
      </c>
      <c r="AQ441" s="18"/>
    </row>
    <row r="442">
      <c r="A442" s="32" t="s">
        <v>2136</v>
      </c>
      <c r="B442" s="32" t="s">
        <v>2137</v>
      </c>
      <c r="C442" s="11" t="str">
        <f>VLOOKUP(A442,import!A:C,3,0)</f>
        <v>DOĞRU</v>
      </c>
      <c r="D442" s="32" t="s">
        <v>165</v>
      </c>
      <c r="E442" s="11">
        <f>VLOOKUP(A442,import!A:J,5,0)</f>
        <v>40</v>
      </c>
      <c r="F442" s="11">
        <f>VLOOKUP(A442,import!A:J,6,0)</f>
        <v>13</v>
      </c>
      <c r="G442" s="11">
        <f>VLOOKUP(A442,import!A:J,7,0)</f>
        <v>8</v>
      </c>
      <c r="H442" s="11">
        <f>VLOOKUP(A442,import!A:J,8,0)</f>
        <v>2</v>
      </c>
      <c r="I442" s="11">
        <f>VLOOKUP(A442,import!A:J,9,0)</f>
        <v>10</v>
      </c>
      <c r="J442" s="12">
        <f>VLOOKUP(A442,import!A:J,10,0)</f>
        <v>0.8</v>
      </c>
      <c r="K442" s="32" t="s">
        <v>2138</v>
      </c>
      <c r="L442" s="32">
        <v>5.386273867E9</v>
      </c>
      <c r="M442" s="32" t="s">
        <v>47</v>
      </c>
      <c r="N442" s="32" t="s">
        <v>2139</v>
      </c>
      <c r="O442" s="32" t="s">
        <v>2140</v>
      </c>
      <c r="P442" s="11" t="str">
        <f>VLOOKUP(A442,import!A:P,16,0)</f>
        <v>Geleneksel</v>
      </c>
      <c r="Q442" s="13"/>
      <c r="R442" s="13" t="b">
        <v>1</v>
      </c>
      <c r="S442" s="13" t="b">
        <v>0</v>
      </c>
      <c r="T442" s="14" t="s">
        <v>74</v>
      </c>
      <c r="U442" s="14" t="s">
        <v>75</v>
      </c>
      <c r="V442" s="30" t="s">
        <v>76</v>
      </c>
      <c r="W442" s="14"/>
      <c r="X442" s="24">
        <v>44637.0</v>
      </c>
      <c r="Y442" s="24">
        <v>44642.0</v>
      </c>
      <c r="Z442" s="18"/>
      <c r="AA442" s="19" t="s">
        <v>54</v>
      </c>
      <c r="AB442" s="24">
        <v>44634.0</v>
      </c>
      <c r="AC442" s="19" t="s">
        <v>54</v>
      </c>
      <c r="AD442" s="20">
        <v>44637.0</v>
      </c>
      <c r="AE442" s="19" t="s">
        <v>54</v>
      </c>
      <c r="AF442" s="20">
        <v>44638.0</v>
      </c>
      <c r="AG442" s="21"/>
      <c r="AH442" s="18"/>
      <c r="AI442" s="18"/>
      <c r="AJ442" s="18"/>
      <c r="AK442" s="19" t="s">
        <v>75</v>
      </c>
      <c r="AL442" s="19" t="s">
        <v>75</v>
      </c>
      <c r="AM442" s="19" t="s">
        <v>75</v>
      </c>
      <c r="AN442" s="18"/>
      <c r="AO442" s="18"/>
      <c r="AP442" s="22"/>
      <c r="AQ442" s="18"/>
    </row>
    <row r="443">
      <c r="A443" s="22" t="s">
        <v>2141</v>
      </c>
      <c r="B443" s="22" t="s">
        <v>2142</v>
      </c>
      <c r="C443" s="11" t="str">
        <f>VLOOKUP(A443,import!A:C,3,0)</f>
        <v>DOĞRU</v>
      </c>
      <c r="D443" s="22" t="s">
        <v>165</v>
      </c>
      <c r="E443" s="11">
        <f>VLOOKUP(A443,import!A:J,5,0)</f>
        <v>1</v>
      </c>
      <c r="F443" s="11" t="str">
        <f>VLOOKUP(A443,import!A:J,6,0)</f>
        <v/>
      </c>
      <c r="G443" s="11">
        <f>VLOOKUP(A443,import!A:J,7,0)</f>
        <v>0</v>
      </c>
      <c r="H443" s="11">
        <f>VLOOKUP(A443,import!A:J,8,0)</f>
        <v>7</v>
      </c>
      <c r="I443" s="11">
        <f>VLOOKUP(A443,import!A:J,9,0)</f>
        <v>7</v>
      </c>
      <c r="J443" s="12">
        <f>VLOOKUP(A443,import!A:J,10,0)</f>
        <v>0</v>
      </c>
      <c r="K443" s="22" t="s">
        <v>2143</v>
      </c>
      <c r="L443" s="22">
        <v>5.516395509E9</v>
      </c>
      <c r="M443" s="22" t="s">
        <v>71</v>
      </c>
      <c r="N443" s="22" t="s">
        <v>1148</v>
      </c>
      <c r="O443" s="22" t="s">
        <v>2144</v>
      </c>
      <c r="P443" s="11" t="str">
        <f>VLOOKUP(A443,import!A:P,16,0)</f>
        <v>Geleneksel</v>
      </c>
      <c r="Q443" s="13"/>
      <c r="R443" s="13" t="b">
        <v>1</v>
      </c>
      <c r="S443" s="13" t="b">
        <v>0</v>
      </c>
      <c r="T443" s="14" t="s">
        <v>133</v>
      </c>
      <c r="U443" s="14"/>
      <c r="V443" s="30"/>
      <c r="W443" s="14" t="s">
        <v>2145</v>
      </c>
      <c r="X443" s="24"/>
      <c r="Y443" s="24"/>
      <c r="Z443" s="18"/>
      <c r="AA443" s="19" t="s">
        <v>54</v>
      </c>
      <c r="AB443" s="20">
        <v>44662.0</v>
      </c>
      <c r="AC443" s="19"/>
      <c r="AD443" s="20"/>
      <c r="AE443" s="19"/>
      <c r="AF443" s="20"/>
      <c r="AG443" s="21"/>
      <c r="AH443" s="18"/>
      <c r="AI443" s="18"/>
      <c r="AJ443" s="18"/>
      <c r="AK443" s="19" t="s">
        <v>110</v>
      </c>
      <c r="AL443" s="19"/>
      <c r="AM443" s="19"/>
      <c r="AN443" s="18"/>
      <c r="AO443" s="18"/>
      <c r="AP443" s="22"/>
      <c r="AQ443" s="18"/>
    </row>
    <row r="444">
      <c r="A444" s="11" t="s">
        <v>2146</v>
      </c>
      <c r="B444" s="11" t="s">
        <v>2147</v>
      </c>
      <c r="C444" s="11" t="str">
        <f>VLOOKUP(A444,import!A:C,3,0)</f>
        <v>DOĞRU</v>
      </c>
      <c r="D444" s="11" t="s">
        <v>91</v>
      </c>
      <c r="E444" s="11">
        <f>VLOOKUP(A444,import!A:J,5,0)</f>
        <v>130</v>
      </c>
      <c r="F444" s="11" t="str">
        <f>VLOOKUP(A444,import!A:J,6,0)</f>
        <v/>
      </c>
      <c r="G444" s="11">
        <f>VLOOKUP(A444,import!A:J,7,0)</f>
        <v>1</v>
      </c>
      <c r="H444" s="11">
        <f>VLOOKUP(A444,import!A:J,8,0)</f>
        <v>42</v>
      </c>
      <c r="I444" s="11">
        <f>VLOOKUP(A444,import!A:J,9,0)</f>
        <v>43</v>
      </c>
      <c r="J444" s="12">
        <f>VLOOKUP(A444,import!A:J,10,0)</f>
        <v>0.02</v>
      </c>
      <c r="K444" s="11" t="s">
        <v>223</v>
      </c>
      <c r="L444" s="11">
        <v>5.534434688E9</v>
      </c>
      <c r="M444" s="11" t="s">
        <v>71</v>
      </c>
      <c r="N444" s="11" t="s">
        <v>224</v>
      </c>
      <c r="O444" s="11" t="s">
        <v>2148</v>
      </c>
      <c r="P444" s="11" t="str">
        <f>VLOOKUP(A444,import!A:P,16,0)</f>
        <v>Geleneksel</v>
      </c>
      <c r="Q444" s="13"/>
      <c r="R444" s="13" t="b">
        <v>1</v>
      </c>
      <c r="S444" s="13" t="b">
        <v>0</v>
      </c>
      <c r="T444" s="14" t="s">
        <v>53</v>
      </c>
      <c r="U444" s="14" t="s">
        <v>66</v>
      </c>
      <c r="V444" s="33" t="s">
        <v>76</v>
      </c>
      <c r="W444" s="14" t="s">
        <v>226</v>
      </c>
      <c r="X444" s="24">
        <v>44614.0</v>
      </c>
      <c r="Y444" s="24">
        <v>44617.0</v>
      </c>
      <c r="Z444" s="18"/>
      <c r="AA444" s="19" t="s">
        <v>54</v>
      </c>
      <c r="AB444" s="24">
        <v>44614.0</v>
      </c>
      <c r="AC444" s="19"/>
      <c r="AD444" s="20"/>
      <c r="AE444" s="19"/>
      <c r="AF444" s="20"/>
      <c r="AG444" s="21"/>
      <c r="AH444" s="18"/>
      <c r="AI444" s="18"/>
      <c r="AJ444" s="18"/>
      <c r="AK444" s="19" t="s">
        <v>66</v>
      </c>
      <c r="AL444" s="19"/>
      <c r="AM444" s="19"/>
      <c r="AN444" s="18"/>
      <c r="AO444" s="18"/>
      <c r="AP444" s="22"/>
      <c r="AQ444" s="18"/>
    </row>
    <row r="445">
      <c r="A445" s="11" t="s">
        <v>2149</v>
      </c>
      <c r="B445" s="11" t="s">
        <v>2150</v>
      </c>
      <c r="C445" s="11" t="str">
        <f>VLOOKUP(A445,import!A:C,3,0)</f>
        <v>DOĞRU</v>
      </c>
      <c r="D445" s="11" t="s">
        <v>69</v>
      </c>
      <c r="E445" s="11">
        <f>VLOOKUP(A445,import!A:J,5,0)</f>
        <v>162</v>
      </c>
      <c r="F445" s="11">
        <f>VLOOKUP(A445,import!A:J,6,0)</f>
        <v>26</v>
      </c>
      <c r="G445" s="11">
        <f>VLOOKUP(A445,import!A:J,7,0)</f>
        <v>0</v>
      </c>
      <c r="H445" s="11">
        <f>VLOOKUP(A445,import!A:J,8,0)</f>
        <v>3</v>
      </c>
      <c r="I445" s="11">
        <f>VLOOKUP(A445,import!A:J,9,0)</f>
        <v>3</v>
      </c>
      <c r="J445" s="12">
        <f>VLOOKUP(A445,import!A:J,10,0)</f>
        <v>0</v>
      </c>
      <c r="K445" s="11" t="s">
        <v>223</v>
      </c>
      <c r="L445" s="11">
        <v>5.534434688E9</v>
      </c>
      <c r="M445" s="11" t="s">
        <v>71</v>
      </c>
      <c r="N445" s="11" t="s">
        <v>224</v>
      </c>
      <c r="O445" s="11" t="s">
        <v>2148</v>
      </c>
      <c r="P445" s="11" t="str">
        <f>VLOOKUP(A445,import!A:P,16,0)</f>
        <v>Geleneksel</v>
      </c>
      <c r="Q445" s="13"/>
      <c r="R445" s="13" t="b">
        <v>1</v>
      </c>
      <c r="S445" s="13" t="b">
        <v>0</v>
      </c>
      <c r="T445" s="14" t="s">
        <v>53</v>
      </c>
      <c r="U445" s="14" t="s">
        <v>66</v>
      </c>
      <c r="V445" s="30" t="s">
        <v>76</v>
      </c>
      <c r="W445" s="14" t="s">
        <v>226</v>
      </c>
      <c r="X445" s="24">
        <v>44614.0</v>
      </c>
      <c r="Y445" s="24">
        <v>44617.0</v>
      </c>
      <c r="Z445" s="18"/>
      <c r="AA445" s="19" t="s">
        <v>54</v>
      </c>
      <c r="AB445" s="24">
        <v>44614.0</v>
      </c>
      <c r="AC445" s="19"/>
      <c r="AD445" s="20"/>
      <c r="AE445" s="19"/>
      <c r="AF445" s="20"/>
      <c r="AG445" s="21"/>
      <c r="AH445" s="18"/>
      <c r="AI445" s="18"/>
      <c r="AJ445" s="18"/>
      <c r="AK445" s="19" t="s">
        <v>66</v>
      </c>
      <c r="AL445" s="19"/>
      <c r="AM445" s="19"/>
      <c r="AN445" s="18"/>
      <c r="AO445" s="18"/>
      <c r="AP445" s="22"/>
      <c r="AQ445" s="18"/>
    </row>
    <row r="446">
      <c r="A446" s="11" t="s">
        <v>2151</v>
      </c>
      <c r="B446" s="11" t="s">
        <v>2152</v>
      </c>
      <c r="C446" s="11" t="str">
        <f>VLOOKUP(A446,import!A:C,3,0)</f>
        <v>DOĞRU</v>
      </c>
      <c r="D446" s="11" t="s">
        <v>368</v>
      </c>
      <c r="E446" s="11" t="str">
        <f>VLOOKUP(A446,import!A:J,5,0)</f>
        <v/>
      </c>
      <c r="F446" s="11" t="str">
        <f>VLOOKUP(A446,import!A:J,6,0)</f>
        <v/>
      </c>
      <c r="G446" s="11">
        <f>VLOOKUP(A446,import!A:J,7,0)</f>
        <v>16</v>
      </c>
      <c r="H446" s="11">
        <f>VLOOKUP(A446,import!A:J,8,0)</f>
        <v>4</v>
      </c>
      <c r="I446" s="11">
        <f>VLOOKUP(A446,import!A:J,9,0)</f>
        <v>20</v>
      </c>
      <c r="J446" s="12">
        <f>VLOOKUP(A446,import!A:J,10,0)</f>
        <v>0.8</v>
      </c>
      <c r="K446" s="11" t="s">
        <v>2153</v>
      </c>
      <c r="L446" s="11">
        <v>5.539025891E9</v>
      </c>
      <c r="M446" s="11" t="s">
        <v>61</v>
      </c>
      <c r="N446" s="11" t="s">
        <v>62</v>
      </c>
      <c r="O446" s="11" t="s">
        <v>2154</v>
      </c>
      <c r="P446" s="11" t="str">
        <f>VLOOKUP(A446,import!A:P,16,0)</f>
        <v>Geleneksel</v>
      </c>
      <c r="Q446" s="13"/>
      <c r="R446" s="13" t="b">
        <v>1</v>
      </c>
      <c r="S446" s="13" t="b">
        <v>0</v>
      </c>
      <c r="T446" s="14" t="s">
        <v>74</v>
      </c>
      <c r="U446" s="14" t="s">
        <v>66</v>
      </c>
      <c r="V446" s="30" t="s">
        <v>76</v>
      </c>
      <c r="W446" s="14" t="s">
        <v>2155</v>
      </c>
      <c r="X446" s="24">
        <v>44608.0</v>
      </c>
      <c r="Y446" s="24">
        <v>44609.0</v>
      </c>
      <c r="Z446" s="18"/>
      <c r="AA446" s="19" t="s">
        <v>54</v>
      </c>
      <c r="AB446" s="20">
        <v>44578.0</v>
      </c>
      <c r="AC446" s="19" t="s">
        <v>54</v>
      </c>
      <c r="AD446" s="20">
        <v>44608.0</v>
      </c>
      <c r="AE446" s="21"/>
      <c r="AF446" s="18"/>
      <c r="AG446" s="21"/>
      <c r="AH446" s="18"/>
      <c r="AI446" s="18"/>
      <c r="AJ446" s="18"/>
      <c r="AK446" s="19" t="s">
        <v>381</v>
      </c>
      <c r="AL446" s="19" t="s">
        <v>66</v>
      </c>
      <c r="AM446" s="18"/>
      <c r="AN446" s="18"/>
      <c r="AO446" s="18"/>
      <c r="AP446" s="22"/>
      <c r="AQ446" s="18"/>
    </row>
    <row r="447">
      <c r="A447" s="11" t="s">
        <v>2156</v>
      </c>
      <c r="B447" s="11" t="s">
        <v>2157</v>
      </c>
      <c r="C447" s="11" t="str">
        <f>VLOOKUP(A447,import!A:C,3,0)</f>
        <v>DOĞRU</v>
      </c>
      <c r="D447" s="11" t="s">
        <v>172</v>
      </c>
      <c r="E447" s="11">
        <f>VLOOKUP(A447,import!A:J,5,0)</f>
        <v>11008</v>
      </c>
      <c r="F447" s="11">
        <f>VLOOKUP(A447,import!A:J,6,0)</f>
        <v>238</v>
      </c>
      <c r="G447" s="11">
        <f>VLOOKUP(A447,import!A:J,7,0)</f>
        <v>0</v>
      </c>
      <c r="H447" s="11">
        <f>VLOOKUP(A447,import!A:J,8,0)</f>
        <v>19</v>
      </c>
      <c r="I447" s="11">
        <f>VLOOKUP(A447,import!A:J,9,0)</f>
        <v>19</v>
      </c>
      <c r="J447" s="12">
        <f>VLOOKUP(A447,import!A:J,10,0)</f>
        <v>0</v>
      </c>
      <c r="K447" s="11" t="s">
        <v>2158</v>
      </c>
      <c r="L447" s="11">
        <v>3.52437808E9</v>
      </c>
      <c r="M447" s="11" t="s">
        <v>61</v>
      </c>
      <c r="N447" s="11" t="s">
        <v>250</v>
      </c>
      <c r="O447" s="11" t="s">
        <v>2159</v>
      </c>
      <c r="P447" s="11" t="str">
        <f>VLOOKUP(A447,import!A:P,16,0)</f>
        <v>Geleneksel</v>
      </c>
      <c r="Q447" s="13"/>
      <c r="R447" s="13" t="b">
        <v>1</v>
      </c>
      <c r="S447" s="13" t="b">
        <v>0</v>
      </c>
      <c r="T447" s="14" t="s">
        <v>74</v>
      </c>
      <c r="U447" s="14" t="s">
        <v>110</v>
      </c>
      <c r="V447" s="23" t="s">
        <v>76</v>
      </c>
      <c r="W447" s="14" t="s">
        <v>2160</v>
      </c>
      <c r="X447" s="24">
        <v>44666.0</v>
      </c>
      <c r="Y447" s="24">
        <v>44669.0</v>
      </c>
      <c r="Z447" s="18"/>
      <c r="AA447" s="19" t="s">
        <v>54</v>
      </c>
      <c r="AB447" s="20">
        <v>44638.0</v>
      </c>
      <c r="AC447" s="19" t="s">
        <v>54</v>
      </c>
      <c r="AD447" s="20">
        <v>44666.0</v>
      </c>
      <c r="AE447" s="21"/>
      <c r="AF447" s="18"/>
      <c r="AG447" s="21"/>
      <c r="AH447" s="18"/>
      <c r="AI447" s="18"/>
      <c r="AJ447" s="18"/>
      <c r="AK447" s="19" t="s">
        <v>140</v>
      </c>
      <c r="AL447" s="19" t="s">
        <v>110</v>
      </c>
      <c r="AM447" s="18"/>
      <c r="AN447" s="18"/>
      <c r="AO447" s="18"/>
      <c r="AP447" s="22" t="s">
        <v>56</v>
      </c>
      <c r="AQ447" s="18"/>
    </row>
    <row r="448">
      <c r="A448" s="11" t="s">
        <v>2161</v>
      </c>
      <c r="B448" s="11" t="s">
        <v>2162</v>
      </c>
      <c r="C448" s="11" t="str">
        <f>VLOOKUP(A448,import!A:C,3,0)</f>
        <v>DOĞRU</v>
      </c>
      <c r="D448" s="11" t="s">
        <v>406</v>
      </c>
      <c r="E448" s="11">
        <f>VLOOKUP(A448,import!A:J,5,0)</f>
        <v>611</v>
      </c>
      <c r="F448" s="11">
        <f>VLOOKUP(A448,import!A:J,6,0)</f>
        <v>120</v>
      </c>
      <c r="G448" s="11">
        <f>VLOOKUP(A448,import!A:J,7,0)</f>
        <v>0</v>
      </c>
      <c r="H448" s="11">
        <f>VLOOKUP(A448,import!A:J,8,0)</f>
        <v>7</v>
      </c>
      <c r="I448" s="11">
        <f>VLOOKUP(A448,import!A:J,9,0)</f>
        <v>7</v>
      </c>
      <c r="J448" s="12">
        <f>VLOOKUP(A448,import!A:J,10,0)</f>
        <v>0</v>
      </c>
      <c r="K448" s="11" t="s">
        <v>2158</v>
      </c>
      <c r="L448" s="11">
        <v>3.52437808E9</v>
      </c>
      <c r="M448" s="11" t="s">
        <v>61</v>
      </c>
      <c r="N448" s="11" t="s">
        <v>250</v>
      </c>
      <c r="O448" s="11" t="s">
        <v>2159</v>
      </c>
      <c r="P448" s="11" t="str">
        <f>VLOOKUP(A448,import!A:P,16,0)</f>
        <v>Geleneksel</v>
      </c>
      <c r="Q448" s="13"/>
      <c r="R448" s="13" t="b">
        <v>1</v>
      </c>
      <c r="S448" s="13" t="b">
        <v>0</v>
      </c>
      <c r="T448" s="14" t="s">
        <v>1442</v>
      </c>
      <c r="U448" s="14"/>
      <c r="V448" s="14"/>
      <c r="W448" s="14" t="s">
        <v>2163</v>
      </c>
      <c r="X448" s="24"/>
      <c r="Y448" s="24"/>
      <c r="Z448" s="18"/>
      <c r="AA448" s="19" t="s">
        <v>54</v>
      </c>
      <c r="AB448" s="20">
        <v>44593.0</v>
      </c>
      <c r="AC448" s="19" t="s">
        <v>54</v>
      </c>
      <c r="AD448" s="20">
        <v>44642.0</v>
      </c>
      <c r="AE448" s="21"/>
      <c r="AF448" s="18"/>
      <c r="AG448" s="21"/>
      <c r="AH448" s="18"/>
      <c r="AI448" s="18"/>
      <c r="AJ448" s="18"/>
      <c r="AK448" s="19" t="s">
        <v>86</v>
      </c>
      <c r="AL448" s="19" t="s">
        <v>75</v>
      </c>
      <c r="AM448" s="18"/>
      <c r="AN448" s="18"/>
      <c r="AO448" s="18"/>
      <c r="AP448" s="22"/>
      <c r="AQ448" s="18"/>
    </row>
    <row r="449">
      <c r="A449" s="11" t="s">
        <v>2164</v>
      </c>
      <c r="B449" s="11" t="s">
        <v>2165</v>
      </c>
      <c r="C449" s="11" t="str">
        <f>VLOOKUP(A449,import!A:C,3,0)</f>
        <v>DOĞRU</v>
      </c>
      <c r="D449" s="11" t="s">
        <v>45</v>
      </c>
      <c r="E449" s="11">
        <f>VLOOKUP(A449,import!A:J,5,0)</f>
        <v>2690</v>
      </c>
      <c r="F449" s="11">
        <f>VLOOKUP(A449,import!A:J,6,0)</f>
        <v>52</v>
      </c>
      <c r="G449" s="11">
        <f>VLOOKUP(A449,import!A:J,7,0)</f>
        <v>0</v>
      </c>
      <c r="H449" s="11">
        <f>VLOOKUP(A449,import!A:J,8,0)</f>
        <v>25</v>
      </c>
      <c r="I449" s="11">
        <f>VLOOKUP(A449,import!A:J,9,0)</f>
        <v>25</v>
      </c>
      <c r="J449" s="12">
        <f>VLOOKUP(A449,import!A:J,10,0)</f>
        <v>0</v>
      </c>
      <c r="K449" s="11" t="s">
        <v>2166</v>
      </c>
      <c r="L449" s="11">
        <v>3.522309E9</v>
      </c>
      <c r="M449" s="11" t="s">
        <v>47</v>
      </c>
      <c r="N449" s="11" t="s">
        <v>271</v>
      </c>
      <c r="O449" s="11" t="s">
        <v>2167</v>
      </c>
      <c r="P449" s="11" t="str">
        <f>VLOOKUP(A449,import!A:P,16,0)</f>
        <v>Geleneksel</v>
      </c>
      <c r="Q449" s="13"/>
      <c r="R449" s="13" t="b">
        <v>1</v>
      </c>
      <c r="S449" s="13" t="b">
        <v>1</v>
      </c>
      <c r="T449" s="15"/>
      <c r="U449" s="15"/>
      <c r="V449" s="15"/>
      <c r="W449" s="14" t="s">
        <v>2168</v>
      </c>
      <c r="X449" s="17"/>
      <c r="Y449" s="17"/>
      <c r="Z449" s="18"/>
      <c r="AA449" s="19" t="s">
        <v>54</v>
      </c>
      <c r="AB449" s="20">
        <v>44358.0</v>
      </c>
      <c r="AC449" s="18"/>
      <c r="AD449" s="18"/>
      <c r="AE449" s="21"/>
      <c r="AF449" s="18"/>
      <c r="AG449" s="21"/>
      <c r="AH449" s="18"/>
      <c r="AI449" s="18"/>
      <c r="AJ449" s="18"/>
      <c r="AK449" s="19" t="s">
        <v>55</v>
      </c>
      <c r="AL449" s="18"/>
      <c r="AM449" s="18"/>
      <c r="AN449" s="18"/>
      <c r="AO449" s="18"/>
      <c r="AP449" s="22" t="s">
        <v>56</v>
      </c>
      <c r="AQ449" s="18"/>
    </row>
    <row r="450">
      <c r="A450" s="11" t="s">
        <v>2169</v>
      </c>
      <c r="B450" s="11" t="s">
        <v>2170</v>
      </c>
      <c r="C450" s="11" t="str">
        <f>VLOOKUP(A450,import!A:C,3,0)</f>
        <v>YANLIŞ</v>
      </c>
      <c r="D450" s="11" t="s">
        <v>453</v>
      </c>
      <c r="E450" s="11">
        <f>VLOOKUP(A450,import!A:J,5,0)</f>
        <v>107</v>
      </c>
      <c r="F450" s="11" t="str">
        <f>VLOOKUP(A450,import!A:J,6,0)</f>
        <v/>
      </c>
      <c r="G450" s="11">
        <f>VLOOKUP(A450,import!A:J,7,0)</f>
        <v>0</v>
      </c>
      <c r="H450" s="11">
        <f>VLOOKUP(A450,import!A:J,8,0)</f>
        <v>21</v>
      </c>
      <c r="I450" s="11">
        <f>VLOOKUP(A450,import!A:J,9,0)</f>
        <v>21</v>
      </c>
      <c r="J450" s="12">
        <f>VLOOKUP(A450,import!A:J,10,0)</f>
        <v>0</v>
      </c>
      <c r="K450" s="11" t="s">
        <v>344</v>
      </c>
      <c r="L450" s="11">
        <v>3.52503304E9</v>
      </c>
      <c r="M450" s="11" t="s">
        <v>61</v>
      </c>
      <c r="N450" s="11" t="s">
        <v>62</v>
      </c>
      <c r="O450" s="11" t="s">
        <v>2171</v>
      </c>
      <c r="P450" s="11" t="str">
        <f>VLOOKUP(A450,import!A:P,16,0)</f>
        <v>Geleneksel</v>
      </c>
      <c r="Q450" s="13"/>
      <c r="R450" s="13" t="b">
        <v>1</v>
      </c>
      <c r="S450" s="13" t="b">
        <v>0</v>
      </c>
      <c r="T450" s="14" t="s">
        <v>94</v>
      </c>
      <c r="U450" s="14" t="s">
        <v>95</v>
      </c>
      <c r="V450" s="16" t="s">
        <v>2172</v>
      </c>
      <c r="W450" s="14" t="s">
        <v>2173</v>
      </c>
      <c r="X450" s="24">
        <v>44308.0</v>
      </c>
      <c r="Y450" s="24">
        <v>44314.0</v>
      </c>
      <c r="Z450" s="18"/>
      <c r="AA450" s="19" t="s">
        <v>53</v>
      </c>
      <c r="AB450" s="20">
        <v>44358.0</v>
      </c>
      <c r="AC450" s="19" t="s">
        <v>53</v>
      </c>
      <c r="AD450" s="20">
        <v>44361.0</v>
      </c>
      <c r="AE450" s="21"/>
      <c r="AF450" s="18"/>
      <c r="AG450" s="21"/>
      <c r="AH450" s="18"/>
      <c r="AI450" s="18"/>
      <c r="AJ450" s="18"/>
      <c r="AK450" s="19" t="s">
        <v>55</v>
      </c>
      <c r="AL450" s="19" t="s">
        <v>88</v>
      </c>
      <c r="AM450" s="18"/>
      <c r="AN450" s="18"/>
      <c r="AO450" s="18"/>
      <c r="AP450" s="22" t="s">
        <v>56</v>
      </c>
      <c r="AQ450" s="18"/>
    </row>
    <row r="451">
      <c r="A451" s="11" t="s">
        <v>2174</v>
      </c>
      <c r="B451" s="11" t="s">
        <v>2175</v>
      </c>
      <c r="C451" s="11" t="str">
        <f>VLOOKUP(A451,import!A:C,3,0)</f>
        <v>DOĞRU</v>
      </c>
      <c r="D451" s="11" t="s">
        <v>165</v>
      </c>
      <c r="E451" s="11">
        <f>VLOOKUP(A451,import!A:J,5,0)</f>
        <v>44</v>
      </c>
      <c r="F451" s="11">
        <f>VLOOKUP(A451,import!A:J,6,0)</f>
        <v>36</v>
      </c>
      <c r="G451" s="11">
        <f>VLOOKUP(A451,import!A:J,7,0)</f>
        <v>0</v>
      </c>
      <c r="H451" s="11">
        <f>VLOOKUP(A451,import!A:J,8,0)</f>
        <v>12</v>
      </c>
      <c r="I451" s="11">
        <f>VLOOKUP(A451,import!A:J,9,0)</f>
        <v>12</v>
      </c>
      <c r="J451" s="12">
        <f>VLOOKUP(A451,import!A:J,10,0)</f>
        <v>0</v>
      </c>
      <c r="K451" s="11" t="s">
        <v>2176</v>
      </c>
      <c r="L451" s="11">
        <v>3.522311418E9</v>
      </c>
      <c r="M451" s="11" t="s">
        <v>71</v>
      </c>
      <c r="N451" s="11" t="s">
        <v>420</v>
      </c>
      <c r="O451" s="11" t="s">
        <v>2177</v>
      </c>
      <c r="P451" s="11" t="str">
        <f>VLOOKUP(A451,import!A:P,16,0)</f>
        <v>Geleneksel</v>
      </c>
      <c r="Q451" s="13"/>
      <c r="R451" s="13" t="b">
        <v>1</v>
      </c>
      <c r="S451" s="13" t="b">
        <v>0</v>
      </c>
      <c r="T451" s="14" t="s">
        <v>74</v>
      </c>
      <c r="U451" s="14" t="s">
        <v>110</v>
      </c>
      <c r="V451" s="33" t="s">
        <v>76</v>
      </c>
      <c r="W451" s="14"/>
      <c r="X451" s="24">
        <v>44662.0</v>
      </c>
      <c r="Y451" s="24">
        <v>44663.0</v>
      </c>
      <c r="Z451" s="18"/>
      <c r="AA451" s="19" t="s">
        <v>54</v>
      </c>
      <c r="AB451" s="20">
        <v>44662.0</v>
      </c>
      <c r="AC451" s="19"/>
      <c r="AD451" s="20"/>
      <c r="AE451" s="19"/>
      <c r="AF451" s="20"/>
      <c r="AG451" s="21"/>
      <c r="AH451" s="18"/>
      <c r="AI451" s="18"/>
      <c r="AJ451" s="18"/>
      <c r="AK451" s="19" t="s">
        <v>110</v>
      </c>
      <c r="AL451" s="19"/>
      <c r="AM451" s="19"/>
      <c r="AN451" s="18"/>
      <c r="AO451" s="18"/>
      <c r="AP451" s="22"/>
      <c r="AQ451" s="18"/>
    </row>
    <row r="452">
      <c r="A452" s="11" t="s">
        <v>2178</v>
      </c>
      <c r="B452" s="11" t="s">
        <v>2179</v>
      </c>
      <c r="C452" s="11" t="str">
        <f>VLOOKUP(A452,import!A:C,3,0)</f>
        <v>DOĞRU</v>
      </c>
      <c r="D452" s="11" t="s">
        <v>45</v>
      </c>
      <c r="E452" s="11">
        <f>VLOOKUP(A452,import!A:J,5,0)</f>
        <v>871</v>
      </c>
      <c r="F452" s="11">
        <f>VLOOKUP(A452,import!A:J,6,0)</f>
        <v>39</v>
      </c>
      <c r="G452" s="11">
        <f>VLOOKUP(A452,import!A:J,7,0)</f>
        <v>0</v>
      </c>
      <c r="H452" s="11">
        <f>VLOOKUP(A452,import!A:J,8,0)</f>
        <v>17</v>
      </c>
      <c r="I452" s="11">
        <f>VLOOKUP(A452,import!A:J,9,0)</f>
        <v>17</v>
      </c>
      <c r="J452" s="12">
        <f>VLOOKUP(A452,import!A:J,10,0)</f>
        <v>0</v>
      </c>
      <c r="K452" s="11" t="s">
        <v>2180</v>
      </c>
      <c r="L452" s="11">
        <v>5.05071383E9</v>
      </c>
      <c r="M452" s="11" t="s">
        <v>61</v>
      </c>
      <c r="N452" s="11" t="s">
        <v>62</v>
      </c>
      <c r="O452" s="11" t="s">
        <v>2181</v>
      </c>
      <c r="P452" s="11" t="str">
        <f>VLOOKUP(A452,import!A:P,16,0)</f>
        <v>Geleneksel</v>
      </c>
      <c r="Q452" s="13"/>
      <c r="R452" s="13" t="b">
        <v>1</v>
      </c>
      <c r="S452" s="13"/>
      <c r="T452" s="14" t="s">
        <v>133</v>
      </c>
      <c r="U452" s="14" t="s">
        <v>110</v>
      </c>
      <c r="V452" s="14" t="s">
        <v>2182</v>
      </c>
      <c r="W452" s="14" t="s">
        <v>2183</v>
      </c>
      <c r="X452" s="24">
        <v>44666.0</v>
      </c>
      <c r="Y452" s="24">
        <v>44669.0</v>
      </c>
      <c r="Z452" s="18"/>
      <c r="AA452" s="19" t="s">
        <v>54</v>
      </c>
      <c r="AB452" s="20">
        <v>44579.0</v>
      </c>
      <c r="AC452" s="19" t="s">
        <v>54</v>
      </c>
      <c r="AD452" s="20">
        <v>44579.0</v>
      </c>
      <c r="AE452" s="19" t="s">
        <v>54</v>
      </c>
      <c r="AF452" s="20">
        <v>44585.0</v>
      </c>
      <c r="AG452" s="19" t="s">
        <v>53</v>
      </c>
      <c r="AH452" s="20">
        <v>44638.0</v>
      </c>
      <c r="AI452" s="19" t="s">
        <v>54</v>
      </c>
      <c r="AJ452" s="20">
        <v>44666.0</v>
      </c>
      <c r="AK452" s="19" t="s">
        <v>95</v>
      </c>
      <c r="AL452" s="19" t="s">
        <v>75</v>
      </c>
      <c r="AM452" s="19" t="s">
        <v>75</v>
      </c>
      <c r="AN452" s="19" t="s">
        <v>140</v>
      </c>
      <c r="AO452" s="19" t="s">
        <v>110</v>
      </c>
      <c r="AP452" s="22" t="s">
        <v>56</v>
      </c>
      <c r="AQ452" s="18"/>
    </row>
    <row r="453">
      <c r="A453" s="11" t="s">
        <v>2184</v>
      </c>
      <c r="B453" s="11" t="s">
        <v>2185</v>
      </c>
      <c r="C453" s="11" t="str">
        <f>VLOOKUP(A453,import!A:C,3,0)</f>
        <v>DOĞRU</v>
      </c>
      <c r="D453" s="11" t="s">
        <v>83</v>
      </c>
      <c r="E453" s="11">
        <f>VLOOKUP(A453,import!A:J,5,0)</f>
        <v>4631</v>
      </c>
      <c r="F453" s="11">
        <f>VLOOKUP(A453,import!A:J,6,0)</f>
        <v>26</v>
      </c>
      <c r="G453" s="11">
        <f>VLOOKUP(A453,import!A:J,7,0)</f>
        <v>13</v>
      </c>
      <c r="H453" s="11">
        <f>VLOOKUP(A453,import!A:J,8,0)</f>
        <v>28</v>
      </c>
      <c r="I453" s="11">
        <f>VLOOKUP(A453,import!A:J,9,0)</f>
        <v>41</v>
      </c>
      <c r="J453" s="12">
        <f>VLOOKUP(A453,import!A:J,10,0)</f>
        <v>0.32</v>
      </c>
      <c r="K453" s="11" t="s">
        <v>2186</v>
      </c>
      <c r="L453" s="11">
        <v>3.525039503E9</v>
      </c>
      <c r="M453" s="11" t="s">
        <v>61</v>
      </c>
      <c r="N453" s="11" t="s">
        <v>62</v>
      </c>
      <c r="O453" s="11" t="s">
        <v>2187</v>
      </c>
      <c r="P453" s="11" t="str">
        <f>VLOOKUP(A453,import!A:P,16,0)</f>
        <v>Geleneksel</v>
      </c>
      <c r="Q453" s="13"/>
      <c r="R453" s="13" t="b">
        <v>1</v>
      </c>
      <c r="S453" s="13" t="b">
        <v>0</v>
      </c>
      <c r="T453" s="14" t="s">
        <v>74</v>
      </c>
      <c r="U453" s="14" t="s">
        <v>66</v>
      </c>
      <c r="V453" s="30" t="s">
        <v>76</v>
      </c>
      <c r="W453" s="14" t="s">
        <v>2188</v>
      </c>
      <c r="X453" s="24">
        <v>44608.0</v>
      </c>
      <c r="Y453" s="24">
        <v>44609.0</v>
      </c>
      <c r="Z453" s="18"/>
      <c r="AA453" s="19" t="s">
        <v>347</v>
      </c>
      <c r="AB453" s="20">
        <v>44593.0</v>
      </c>
      <c r="AC453" s="19" t="s">
        <v>54</v>
      </c>
      <c r="AD453" s="20">
        <v>44608.0</v>
      </c>
      <c r="AE453" s="21"/>
      <c r="AF453" s="18"/>
      <c r="AG453" s="21"/>
      <c r="AH453" s="18"/>
      <c r="AI453" s="18"/>
      <c r="AJ453" s="18"/>
      <c r="AK453" s="19" t="s">
        <v>381</v>
      </c>
      <c r="AL453" s="19" t="s">
        <v>66</v>
      </c>
      <c r="AM453" s="18"/>
      <c r="AN453" s="18"/>
      <c r="AO453" s="18"/>
      <c r="AP453" s="22" t="s">
        <v>56</v>
      </c>
      <c r="AQ453" s="18"/>
    </row>
    <row r="454">
      <c r="A454" s="11" t="s">
        <v>2189</v>
      </c>
      <c r="B454" s="11" t="s">
        <v>2190</v>
      </c>
      <c r="C454" s="11" t="str">
        <f>VLOOKUP(A454,import!A:C,3,0)</f>
        <v>DOĞRU</v>
      </c>
      <c r="D454" s="11" t="s">
        <v>59</v>
      </c>
      <c r="E454" s="11">
        <f>VLOOKUP(A454,import!A:J,5,0)</f>
        <v>2652</v>
      </c>
      <c r="F454" s="11">
        <f>VLOOKUP(A454,import!A:J,6,0)</f>
        <v>82</v>
      </c>
      <c r="G454" s="11">
        <f>VLOOKUP(A454,import!A:J,7,0)</f>
        <v>8</v>
      </c>
      <c r="H454" s="11">
        <f>VLOOKUP(A454,import!A:J,8,0)</f>
        <v>18</v>
      </c>
      <c r="I454" s="11">
        <f>VLOOKUP(A454,import!A:J,9,0)</f>
        <v>26</v>
      </c>
      <c r="J454" s="12">
        <f>VLOOKUP(A454,import!A:J,10,0)</f>
        <v>0.31</v>
      </c>
      <c r="K454" s="11" t="s">
        <v>530</v>
      </c>
      <c r="L454" s="11">
        <v>3.525046718E9</v>
      </c>
      <c r="M454" s="11" t="s">
        <v>61</v>
      </c>
      <c r="N454" s="11" t="s">
        <v>62</v>
      </c>
      <c r="O454" s="11" t="s">
        <v>2191</v>
      </c>
      <c r="P454" s="11" t="str">
        <f>VLOOKUP(A454,import!A:P,16,0)</f>
        <v>Geleneksel</v>
      </c>
      <c r="Q454" s="13"/>
      <c r="R454" s="13" t="b">
        <v>1</v>
      </c>
      <c r="S454" s="13" t="b">
        <v>0</v>
      </c>
      <c r="T454" s="25" t="s">
        <v>74</v>
      </c>
      <c r="U454" s="25" t="s">
        <v>140</v>
      </c>
      <c r="V454" s="30" t="s">
        <v>76</v>
      </c>
      <c r="W454" s="25">
        <v>5.076106944E9</v>
      </c>
      <c r="X454" s="34">
        <v>44638.0</v>
      </c>
      <c r="Y454" s="34">
        <v>44641.0</v>
      </c>
      <c r="Z454" s="18"/>
      <c r="AA454" s="19" t="s">
        <v>53</v>
      </c>
      <c r="AB454" s="20">
        <v>44622.0</v>
      </c>
      <c r="AC454" s="19" t="s">
        <v>54</v>
      </c>
      <c r="AD454" s="20">
        <v>44638.0</v>
      </c>
      <c r="AE454" s="21"/>
      <c r="AF454" s="18"/>
      <c r="AG454" s="21"/>
      <c r="AH454" s="18"/>
      <c r="AI454" s="18"/>
      <c r="AJ454" s="18"/>
      <c r="AK454" s="19" t="s">
        <v>75</v>
      </c>
      <c r="AL454" s="19" t="s">
        <v>140</v>
      </c>
      <c r="AM454" s="18"/>
      <c r="AN454" s="18"/>
      <c r="AO454" s="18"/>
      <c r="AP454" s="22" t="s">
        <v>56</v>
      </c>
      <c r="AQ454" s="18"/>
    </row>
    <row r="455">
      <c r="A455" s="22" t="s">
        <v>2192</v>
      </c>
      <c r="B455" s="22" t="s">
        <v>2193</v>
      </c>
      <c r="C455" s="11" t="str">
        <f>VLOOKUP(A455,import!A:C,3,0)</f>
        <v>DOĞRU</v>
      </c>
      <c r="D455" s="22" t="s">
        <v>845</v>
      </c>
      <c r="E455" s="11">
        <f>VLOOKUP(A455,import!A:J,5,0)</f>
        <v>1</v>
      </c>
      <c r="F455" s="11">
        <f>VLOOKUP(A455,import!A:J,6,0)</f>
        <v>1</v>
      </c>
      <c r="G455" s="11">
        <f>VLOOKUP(A455,import!A:J,7,0)</f>
        <v>0</v>
      </c>
      <c r="H455" s="11">
        <f>VLOOKUP(A455,import!A:J,8,0)</f>
        <v>16</v>
      </c>
      <c r="I455" s="11">
        <f>VLOOKUP(A455,import!A:J,9,0)</f>
        <v>16</v>
      </c>
      <c r="J455" s="12">
        <f>VLOOKUP(A455,import!A:J,10,0)</f>
        <v>0</v>
      </c>
      <c r="K455" s="22" t="s">
        <v>2194</v>
      </c>
      <c r="L455" s="22">
        <v>3.525020259E9</v>
      </c>
      <c r="M455" s="22" t="s">
        <v>61</v>
      </c>
      <c r="N455" s="22" t="s">
        <v>250</v>
      </c>
      <c r="O455" s="22" t="s">
        <v>2195</v>
      </c>
      <c r="P455" s="11" t="str">
        <f>VLOOKUP(A455,import!A:P,16,0)</f>
        <v>Geleneksel</v>
      </c>
      <c r="Q455" s="13"/>
      <c r="R455" s="13" t="b">
        <v>1</v>
      </c>
      <c r="S455" s="13" t="b">
        <v>0</v>
      </c>
      <c r="T455" s="14" t="s">
        <v>133</v>
      </c>
      <c r="U455" s="14"/>
      <c r="V455" s="14"/>
      <c r="W455" s="14" t="s">
        <v>2196</v>
      </c>
      <c r="X455" s="24"/>
      <c r="Y455" s="24"/>
      <c r="Z455" s="18"/>
      <c r="AA455" s="19" t="s">
        <v>54</v>
      </c>
      <c r="AB455" s="20">
        <v>44676.0</v>
      </c>
      <c r="AC455" s="19"/>
      <c r="AD455" s="20"/>
      <c r="AE455" s="19"/>
      <c r="AF455" s="20"/>
      <c r="AG455" s="21"/>
      <c r="AH455" s="18"/>
      <c r="AI455" s="18"/>
      <c r="AJ455" s="18"/>
      <c r="AK455" s="19" t="s">
        <v>110</v>
      </c>
      <c r="AL455" s="19"/>
      <c r="AM455" s="19"/>
      <c r="AN455" s="18"/>
      <c r="AO455" s="18"/>
      <c r="AP455" s="22"/>
      <c r="AQ455" s="18"/>
    </row>
    <row r="456">
      <c r="A456" s="11" t="s">
        <v>2197</v>
      </c>
      <c r="B456" s="11" t="s">
        <v>2198</v>
      </c>
      <c r="C456" s="11" t="str">
        <f>VLOOKUP(A456,import!A:C,3,0)</f>
        <v>DOĞRU</v>
      </c>
      <c r="D456" s="11" t="s">
        <v>2199</v>
      </c>
      <c r="E456" s="11">
        <f>VLOOKUP(A456,import!A:J,5,0)</f>
        <v>2608</v>
      </c>
      <c r="F456" s="11">
        <f>VLOOKUP(A456,import!A:J,6,0)</f>
        <v>85</v>
      </c>
      <c r="G456" s="11">
        <f>VLOOKUP(A456,import!A:J,7,0)</f>
        <v>11</v>
      </c>
      <c r="H456" s="11">
        <f>VLOOKUP(A456,import!A:J,8,0)</f>
        <v>9</v>
      </c>
      <c r="I456" s="11">
        <f>VLOOKUP(A456,import!A:J,9,0)</f>
        <v>20</v>
      </c>
      <c r="J456" s="12">
        <f>VLOOKUP(A456,import!A:J,10,0)</f>
        <v>0.55</v>
      </c>
      <c r="K456" s="11" t="s">
        <v>2200</v>
      </c>
      <c r="L456" s="11">
        <v>5.061401513E9</v>
      </c>
      <c r="M456" s="11" t="s">
        <v>47</v>
      </c>
      <c r="N456" s="11" t="s">
        <v>1406</v>
      </c>
      <c r="O456" s="11" t="s">
        <v>2201</v>
      </c>
      <c r="P456" s="11" t="str">
        <f>VLOOKUP(A456,import!A:P,16,0)</f>
        <v>Geleneksel</v>
      </c>
      <c r="Q456" s="13"/>
      <c r="R456" s="13" t="b">
        <v>1</v>
      </c>
      <c r="S456" s="13" t="b">
        <v>0</v>
      </c>
      <c r="T456" s="14" t="s">
        <v>74</v>
      </c>
      <c r="U456" s="14" t="s">
        <v>181</v>
      </c>
      <c r="V456" s="14"/>
      <c r="W456" s="14" t="s">
        <v>2202</v>
      </c>
      <c r="X456" s="24">
        <v>44284.0</v>
      </c>
      <c r="Y456" s="24">
        <v>44286.0</v>
      </c>
      <c r="Z456" s="18"/>
      <c r="AA456" s="18"/>
      <c r="AB456" s="18"/>
      <c r="AC456" s="18"/>
      <c r="AD456" s="18"/>
      <c r="AE456" s="21"/>
      <c r="AF456" s="18"/>
      <c r="AG456" s="21"/>
      <c r="AH456" s="18"/>
      <c r="AI456" s="18"/>
      <c r="AJ456" s="18"/>
      <c r="AK456" s="18"/>
      <c r="AL456" s="18"/>
      <c r="AM456" s="18"/>
      <c r="AN456" s="18"/>
      <c r="AO456" s="18"/>
      <c r="AP456" s="22" t="s">
        <v>56</v>
      </c>
      <c r="AQ456" s="18"/>
    </row>
    <row r="457">
      <c r="A457" s="11" t="s">
        <v>2203</v>
      </c>
      <c r="B457" s="11" t="s">
        <v>2204</v>
      </c>
      <c r="C457" s="11" t="str">
        <f>VLOOKUP(A457,import!A:C,3,0)</f>
        <v>DOĞRU</v>
      </c>
      <c r="D457" s="11" t="s">
        <v>165</v>
      </c>
      <c r="E457" s="11">
        <f>VLOOKUP(A457,import!A:J,5,0)</f>
        <v>661</v>
      </c>
      <c r="F457" s="11">
        <f>VLOOKUP(A457,import!A:J,6,0)</f>
        <v>24</v>
      </c>
      <c r="G457" s="11">
        <f>VLOOKUP(A457,import!A:J,7,0)</f>
        <v>24</v>
      </c>
      <c r="H457" s="11">
        <f>VLOOKUP(A457,import!A:J,8,0)</f>
        <v>16</v>
      </c>
      <c r="I457" s="11">
        <f>VLOOKUP(A457,import!A:J,9,0)</f>
        <v>40</v>
      </c>
      <c r="J457" s="12">
        <f>VLOOKUP(A457,import!A:J,10,0)</f>
        <v>0.6</v>
      </c>
      <c r="K457" s="11" t="s">
        <v>2205</v>
      </c>
      <c r="L457" s="11">
        <v>3.523393339E9</v>
      </c>
      <c r="M457" s="11" t="s">
        <v>47</v>
      </c>
      <c r="N457" s="11" t="s">
        <v>1085</v>
      </c>
      <c r="O457" s="11" t="s">
        <v>2206</v>
      </c>
      <c r="P457" s="11" t="str">
        <f>VLOOKUP(A457,import!A:P,16,0)</f>
        <v>Geleneksel</v>
      </c>
      <c r="Q457" s="13"/>
      <c r="R457" s="13" t="b">
        <v>1</v>
      </c>
      <c r="S457" s="13" t="b">
        <v>0</v>
      </c>
      <c r="T457" s="14" t="s">
        <v>74</v>
      </c>
      <c r="U457" s="14" t="s">
        <v>95</v>
      </c>
      <c r="V457" s="14" t="s">
        <v>96</v>
      </c>
      <c r="W457" s="14" t="s">
        <v>2207</v>
      </c>
      <c r="X457" s="24">
        <v>44295.0</v>
      </c>
      <c r="Y457" s="24">
        <v>44299.0</v>
      </c>
      <c r="Z457" s="18"/>
      <c r="AA457" s="18"/>
      <c r="AB457" s="18"/>
      <c r="AC457" s="18"/>
      <c r="AD457" s="18"/>
      <c r="AE457" s="21"/>
      <c r="AF457" s="18"/>
      <c r="AG457" s="21"/>
      <c r="AH457" s="18"/>
      <c r="AI457" s="18"/>
      <c r="AJ457" s="18"/>
      <c r="AK457" s="18"/>
      <c r="AL457" s="18"/>
      <c r="AM457" s="18"/>
      <c r="AN457" s="18"/>
      <c r="AO457" s="18"/>
      <c r="AP457" s="22" t="s">
        <v>56</v>
      </c>
      <c r="AQ457" s="18"/>
    </row>
    <row r="458">
      <c r="A458" s="11" t="s">
        <v>2208</v>
      </c>
      <c r="B458" s="11" t="s">
        <v>2209</v>
      </c>
      <c r="C458" s="11" t="str">
        <f>VLOOKUP(A458,import!A:C,3,0)</f>
        <v>DOĞRU</v>
      </c>
      <c r="D458" s="11" t="s">
        <v>165</v>
      </c>
      <c r="E458" s="11">
        <f>VLOOKUP(A458,import!A:J,5,0)</f>
        <v>45</v>
      </c>
      <c r="F458" s="11">
        <f>VLOOKUP(A458,import!A:J,6,0)</f>
        <v>25</v>
      </c>
      <c r="G458" s="11">
        <f>VLOOKUP(A458,import!A:J,7,0)</f>
        <v>6</v>
      </c>
      <c r="H458" s="11">
        <f>VLOOKUP(A458,import!A:J,8,0)</f>
        <v>10</v>
      </c>
      <c r="I458" s="11">
        <f>VLOOKUP(A458,import!A:J,9,0)</f>
        <v>16</v>
      </c>
      <c r="J458" s="12">
        <f>VLOOKUP(A458,import!A:J,10,0)</f>
        <v>0.38</v>
      </c>
      <c r="K458" s="11" t="s">
        <v>2210</v>
      </c>
      <c r="L458" s="11">
        <v>3.522200021E9</v>
      </c>
      <c r="M458" s="11" t="s">
        <v>47</v>
      </c>
      <c r="N458" s="11" t="s">
        <v>884</v>
      </c>
      <c r="O458" s="11" t="s">
        <v>2211</v>
      </c>
      <c r="P458" s="11" t="str">
        <f>VLOOKUP(A458,import!A:P,16,0)</f>
        <v>Geleneksel</v>
      </c>
      <c r="Q458" s="13"/>
      <c r="R458" s="13" t="b">
        <v>1</v>
      </c>
      <c r="S458" s="13" t="b">
        <v>0</v>
      </c>
      <c r="T458" s="14" t="s">
        <v>74</v>
      </c>
      <c r="U458" s="14" t="s">
        <v>75</v>
      </c>
      <c r="V458" s="30" t="s">
        <v>76</v>
      </c>
      <c r="W458" s="14"/>
      <c r="X458" s="24">
        <v>44643.0</v>
      </c>
      <c r="Y458" s="24">
        <v>44645.0</v>
      </c>
      <c r="Z458" s="18"/>
      <c r="AA458" s="19" t="s">
        <v>54</v>
      </c>
      <c r="AB458" s="24">
        <v>44643.0</v>
      </c>
      <c r="AC458" s="19"/>
      <c r="AD458" s="20"/>
      <c r="AE458" s="19"/>
      <c r="AF458" s="20"/>
      <c r="AG458" s="21"/>
      <c r="AH458" s="18"/>
      <c r="AI458" s="18"/>
      <c r="AJ458" s="18"/>
      <c r="AK458" s="19" t="s">
        <v>75</v>
      </c>
      <c r="AL458" s="19"/>
      <c r="AM458" s="19"/>
      <c r="AN458" s="18"/>
      <c r="AO458" s="18"/>
      <c r="AP458" s="22"/>
      <c r="AQ458" s="18"/>
    </row>
    <row r="459">
      <c r="A459" s="11" t="s">
        <v>2212</v>
      </c>
      <c r="B459" s="11" t="s">
        <v>2213</v>
      </c>
      <c r="C459" s="11" t="str">
        <f>VLOOKUP(A459,import!A:C,3,0)</f>
        <v>DOĞRU</v>
      </c>
      <c r="D459" s="11" t="s">
        <v>165</v>
      </c>
      <c r="E459" s="11">
        <f>VLOOKUP(A459,import!A:J,5,0)</f>
        <v>30</v>
      </c>
      <c r="F459" s="11" t="str">
        <f>VLOOKUP(A459,import!A:J,6,0)</f>
        <v/>
      </c>
      <c r="G459" s="11">
        <f>VLOOKUP(A459,import!A:J,7,0)</f>
        <v>5</v>
      </c>
      <c r="H459" s="11">
        <f>VLOOKUP(A459,import!A:J,8,0)</f>
        <v>2</v>
      </c>
      <c r="I459" s="11">
        <f>VLOOKUP(A459,import!A:J,9,0)</f>
        <v>7</v>
      </c>
      <c r="J459" s="12">
        <f>VLOOKUP(A459,import!A:J,10,0)</f>
        <v>0.71</v>
      </c>
      <c r="K459" s="11" t="s">
        <v>2112</v>
      </c>
      <c r="L459" s="11">
        <v>3.522229316E9</v>
      </c>
      <c r="M459" s="11" t="s">
        <v>47</v>
      </c>
      <c r="N459" s="11" t="s">
        <v>1048</v>
      </c>
      <c r="O459" s="11" t="s">
        <v>2214</v>
      </c>
      <c r="P459" s="11" t="str">
        <f>VLOOKUP(A459,import!A:P,16,0)</f>
        <v>Geleneksel</v>
      </c>
      <c r="Q459" s="13"/>
      <c r="R459" s="13" t="b">
        <v>1</v>
      </c>
      <c r="S459" s="13" t="b">
        <v>0</v>
      </c>
      <c r="T459" s="14" t="s">
        <v>74</v>
      </c>
      <c r="U459" s="14" t="s">
        <v>86</v>
      </c>
      <c r="V459" s="16"/>
      <c r="W459" s="14"/>
      <c r="X459" s="24">
        <v>44588.0</v>
      </c>
      <c r="Y459" s="24">
        <v>44593.0</v>
      </c>
      <c r="Z459" s="18"/>
      <c r="AA459" s="19" t="s">
        <v>54</v>
      </c>
      <c r="AB459" s="20">
        <v>44587.0</v>
      </c>
      <c r="AC459" s="19" t="s">
        <v>54</v>
      </c>
      <c r="AD459" s="20">
        <v>44588.0</v>
      </c>
      <c r="AE459" s="21"/>
      <c r="AF459" s="18"/>
      <c r="AG459" s="21"/>
      <c r="AH459" s="18"/>
      <c r="AI459" s="18"/>
      <c r="AJ459" s="18"/>
      <c r="AK459" s="19" t="s">
        <v>86</v>
      </c>
      <c r="AL459" s="19" t="s">
        <v>75</v>
      </c>
      <c r="AM459" s="18"/>
      <c r="AN459" s="18"/>
      <c r="AO459" s="18"/>
      <c r="AP459" s="22"/>
      <c r="AQ459" s="18"/>
    </row>
    <row r="460">
      <c r="A460" s="11" t="s">
        <v>2215</v>
      </c>
      <c r="B460" s="11" t="s">
        <v>2216</v>
      </c>
      <c r="C460" s="11" t="str">
        <f>VLOOKUP(A460,import!A:C,3,0)</f>
        <v>DOĞRU</v>
      </c>
      <c r="D460" s="11" t="s">
        <v>59</v>
      </c>
      <c r="E460" s="11">
        <f>VLOOKUP(A460,import!A:J,5,0)</f>
        <v>79</v>
      </c>
      <c r="F460" s="11" t="str">
        <f>VLOOKUP(A460,import!A:J,6,0)</f>
        <v/>
      </c>
      <c r="G460" s="11">
        <f>VLOOKUP(A460,import!A:J,7,0)</f>
        <v>0</v>
      </c>
      <c r="H460" s="11">
        <f>VLOOKUP(A460,import!A:J,8,0)</f>
        <v>5</v>
      </c>
      <c r="I460" s="11">
        <f>VLOOKUP(A460,import!A:J,9,0)</f>
        <v>5</v>
      </c>
      <c r="J460" s="12">
        <f>VLOOKUP(A460,import!A:J,10,0)</f>
        <v>0</v>
      </c>
      <c r="K460" s="11" t="s">
        <v>1206</v>
      </c>
      <c r="L460" s="11">
        <v>5.535957876E9</v>
      </c>
      <c r="M460" s="11" t="s">
        <v>61</v>
      </c>
      <c r="N460" s="11" t="s">
        <v>62</v>
      </c>
      <c r="O460" s="11" t="s">
        <v>1207</v>
      </c>
      <c r="P460" s="11" t="s">
        <v>666</v>
      </c>
      <c r="Q460" s="13"/>
      <c r="R460" s="13" t="b">
        <v>1</v>
      </c>
      <c r="S460" s="13" t="b">
        <v>0</v>
      </c>
      <c r="T460" s="14" t="s">
        <v>150</v>
      </c>
      <c r="U460" s="14"/>
      <c r="V460" s="14"/>
      <c r="W460" s="14" t="s">
        <v>2217</v>
      </c>
      <c r="X460" s="24"/>
      <c r="Y460" s="24"/>
      <c r="Z460" s="18"/>
      <c r="AA460" s="19" t="s">
        <v>54</v>
      </c>
      <c r="AB460" s="20">
        <v>44610.0</v>
      </c>
      <c r="AC460" s="19"/>
      <c r="AD460" s="20"/>
      <c r="AE460" s="21"/>
      <c r="AF460" s="18"/>
      <c r="AG460" s="21"/>
      <c r="AH460" s="18"/>
      <c r="AI460" s="18"/>
      <c r="AJ460" s="18"/>
      <c r="AK460" s="19" t="s">
        <v>95</v>
      </c>
      <c r="AL460" s="19"/>
      <c r="AM460" s="18"/>
      <c r="AN460" s="18"/>
      <c r="AO460" s="18"/>
      <c r="AP460" s="22" t="s">
        <v>56</v>
      </c>
      <c r="AQ460" s="18"/>
    </row>
    <row r="461">
      <c r="A461" s="11" t="s">
        <v>2218</v>
      </c>
      <c r="B461" s="11" t="s">
        <v>2219</v>
      </c>
      <c r="C461" s="11" t="str">
        <f>VLOOKUP(A461,import!A:C,3,0)</f>
        <v>DOĞRU</v>
      </c>
      <c r="D461" s="11" t="s">
        <v>653</v>
      </c>
      <c r="E461" s="11">
        <f>VLOOKUP(A461,import!A:J,5,0)</f>
        <v>815</v>
      </c>
      <c r="F461" s="11">
        <f>VLOOKUP(A461,import!A:J,6,0)</f>
        <v>5</v>
      </c>
      <c r="G461" s="11">
        <f>VLOOKUP(A461,import!A:J,7,0)</f>
        <v>0</v>
      </c>
      <c r="H461" s="11">
        <f>VLOOKUP(A461,import!A:J,8,0)</f>
        <v>39</v>
      </c>
      <c r="I461" s="11">
        <f>VLOOKUP(A461,import!A:J,9,0)</f>
        <v>39</v>
      </c>
      <c r="J461" s="12">
        <f>VLOOKUP(A461,import!A:J,10,0)</f>
        <v>0</v>
      </c>
      <c r="K461" s="11" t="s">
        <v>2220</v>
      </c>
      <c r="L461" s="11">
        <v>3.522353435E9</v>
      </c>
      <c r="M461" s="11" t="s">
        <v>71</v>
      </c>
      <c r="N461" s="11" t="s">
        <v>797</v>
      </c>
      <c r="O461" s="11" t="s">
        <v>2221</v>
      </c>
      <c r="P461" s="11" t="str">
        <f>VLOOKUP(A461,import!A:P,16,0)</f>
        <v>Geleneksel</v>
      </c>
      <c r="Q461" s="13"/>
      <c r="R461" s="13" t="b">
        <v>1</v>
      </c>
      <c r="S461" s="13" t="b">
        <v>1</v>
      </c>
      <c r="T461" s="15"/>
      <c r="U461" s="15"/>
      <c r="V461" s="15"/>
      <c r="W461" s="14" t="s">
        <v>2222</v>
      </c>
      <c r="X461" s="17"/>
      <c r="Y461" s="17"/>
      <c r="Z461" s="18"/>
      <c r="AA461" s="19" t="s">
        <v>54</v>
      </c>
      <c r="AB461" s="20">
        <v>44629.0</v>
      </c>
      <c r="AC461" s="18"/>
      <c r="AD461" s="18"/>
      <c r="AE461" s="21"/>
      <c r="AF461" s="18"/>
      <c r="AG461" s="21"/>
      <c r="AH461" s="18"/>
      <c r="AI461" s="18"/>
      <c r="AJ461" s="18"/>
      <c r="AK461" s="19" t="s">
        <v>75</v>
      </c>
      <c r="AL461" s="18"/>
      <c r="AM461" s="18"/>
      <c r="AN461" s="18"/>
      <c r="AO461" s="18"/>
      <c r="AP461" s="22" t="s">
        <v>56</v>
      </c>
      <c r="AQ461" s="18"/>
    </row>
    <row r="462">
      <c r="A462" s="11" t="s">
        <v>2223</v>
      </c>
      <c r="B462" s="11" t="s">
        <v>2224</v>
      </c>
      <c r="C462" s="11" t="str">
        <f>VLOOKUP(A462,import!A:C,3,0)</f>
        <v>DOĞRU</v>
      </c>
      <c r="D462" s="11" t="s">
        <v>91</v>
      </c>
      <c r="E462" s="11">
        <f>VLOOKUP(A462,import!A:J,5,0)</f>
        <v>186</v>
      </c>
      <c r="F462" s="11">
        <f>VLOOKUP(A462,import!A:J,6,0)</f>
        <v>32</v>
      </c>
      <c r="G462" s="11">
        <f>VLOOKUP(A462,import!A:J,7,0)</f>
        <v>0</v>
      </c>
      <c r="H462" s="11">
        <f>VLOOKUP(A462,import!A:J,8,0)</f>
        <v>22</v>
      </c>
      <c r="I462" s="11">
        <f>VLOOKUP(A462,import!A:J,9,0)</f>
        <v>22</v>
      </c>
      <c r="J462" s="12">
        <f>VLOOKUP(A462,import!A:J,10,0)</f>
        <v>0</v>
      </c>
      <c r="K462" s="11" t="s">
        <v>2225</v>
      </c>
      <c r="L462" s="11">
        <v>5.369685344E9</v>
      </c>
      <c r="M462" s="11" t="s">
        <v>71</v>
      </c>
      <c r="N462" s="11" t="s">
        <v>224</v>
      </c>
      <c r="O462" s="11" t="s">
        <v>2226</v>
      </c>
      <c r="P462" s="11" t="str">
        <f>VLOOKUP(A462,import!A:P,16,0)</f>
        <v>Geleneksel</v>
      </c>
      <c r="Q462" s="13"/>
      <c r="R462" s="13" t="b">
        <v>1</v>
      </c>
      <c r="S462" s="13" t="b">
        <v>0</v>
      </c>
      <c r="T462" s="14" t="s">
        <v>74</v>
      </c>
      <c r="U462" s="14" t="s">
        <v>110</v>
      </c>
      <c r="V462" s="30" t="s">
        <v>76</v>
      </c>
      <c r="W462" s="14"/>
      <c r="X462" s="24">
        <v>44620.0</v>
      </c>
      <c r="Y462" s="24">
        <v>44624.0</v>
      </c>
      <c r="Z462" s="18"/>
      <c r="AA462" s="19" t="s">
        <v>54</v>
      </c>
      <c r="AB462" s="20">
        <v>44620.0</v>
      </c>
      <c r="AC462" s="19"/>
      <c r="AD462" s="20"/>
      <c r="AE462" s="19"/>
      <c r="AF462" s="20"/>
      <c r="AG462" s="21"/>
      <c r="AH462" s="18"/>
      <c r="AI462" s="18"/>
      <c r="AJ462" s="18"/>
      <c r="AK462" s="19" t="s">
        <v>110</v>
      </c>
      <c r="AL462" s="19"/>
      <c r="AM462" s="19"/>
      <c r="AN462" s="18"/>
      <c r="AO462" s="18"/>
      <c r="AP462" s="22"/>
      <c r="AQ462" s="18"/>
    </row>
    <row r="463">
      <c r="A463" s="11" t="s">
        <v>2227</v>
      </c>
      <c r="B463" s="11" t="s">
        <v>2228</v>
      </c>
      <c r="C463" s="11" t="str">
        <f>VLOOKUP(A463,import!A:C,3,0)</f>
        <v>DOĞRU</v>
      </c>
      <c r="D463" s="11" t="s">
        <v>91</v>
      </c>
      <c r="E463" s="11">
        <f>VLOOKUP(A463,import!A:J,5,0)</f>
        <v>191</v>
      </c>
      <c r="F463" s="11" t="str">
        <f>VLOOKUP(A463,import!A:J,6,0)</f>
        <v/>
      </c>
      <c r="G463" s="11">
        <f>VLOOKUP(A463,import!A:J,7,0)</f>
        <v>0</v>
      </c>
      <c r="H463" s="11">
        <f>VLOOKUP(A463,import!A:J,8,0)</f>
        <v>12</v>
      </c>
      <c r="I463" s="11">
        <f>VLOOKUP(A463,import!A:J,9,0)</f>
        <v>12</v>
      </c>
      <c r="J463" s="12">
        <f>VLOOKUP(A463,import!A:J,10,0)</f>
        <v>0</v>
      </c>
      <c r="K463" s="11" t="s">
        <v>2229</v>
      </c>
      <c r="L463" s="11">
        <v>5.530619319E9</v>
      </c>
      <c r="M463" s="11" t="s">
        <v>61</v>
      </c>
      <c r="N463" s="11" t="s">
        <v>107</v>
      </c>
      <c r="O463" s="11" t="s">
        <v>2230</v>
      </c>
      <c r="P463" s="11" t="str">
        <f>VLOOKUP(A463,import!A:P,16,0)</f>
        <v>Geleneksel</v>
      </c>
      <c r="Q463" s="13"/>
      <c r="R463" s="13" t="b">
        <v>1</v>
      </c>
      <c r="S463" s="13" t="b">
        <v>0</v>
      </c>
      <c r="T463" s="14" t="s">
        <v>53</v>
      </c>
      <c r="U463" s="14"/>
      <c r="V463" s="14"/>
      <c r="W463" s="14"/>
      <c r="X463" s="24"/>
      <c r="Y463" s="24"/>
      <c r="Z463" s="18"/>
      <c r="AA463" s="19" t="s">
        <v>53</v>
      </c>
      <c r="AB463" s="20">
        <v>44594.0</v>
      </c>
      <c r="AC463" s="19"/>
      <c r="AD463" s="20"/>
      <c r="AE463" s="21"/>
      <c r="AF463" s="18"/>
      <c r="AG463" s="21"/>
      <c r="AH463" s="18"/>
      <c r="AI463" s="18"/>
      <c r="AJ463" s="18"/>
      <c r="AK463" s="19" t="s">
        <v>95</v>
      </c>
      <c r="AL463" s="19"/>
      <c r="AM463" s="18"/>
      <c r="AN463" s="18"/>
      <c r="AO463" s="18"/>
      <c r="AP463" s="22" t="s">
        <v>56</v>
      </c>
      <c r="AQ463" s="18"/>
    </row>
    <row r="464">
      <c r="A464" s="22" t="s">
        <v>2231</v>
      </c>
      <c r="B464" s="22" t="s">
        <v>2232</v>
      </c>
      <c r="C464" s="11" t="str">
        <f>VLOOKUP(A464,import!A:C,3,0)</f>
        <v>DOĞRU</v>
      </c>
      <c r="D464" s="22" t="s">
        <v>91</v>
      </c>
      <c r="E464" s="11" t="str">
        <f>VLOOKUP(A464,import!A:J,5,0)</f>
        <v/>
      </c>
      <c r="F464" s="11" t="str">
        <f>VLOOKUP(A464,import!A:J,6,0)</f>
        <v/>
      </c>
      <c r="G464" s="11">
        <f>VLOOKUP(A464,import!A:J,7,0)</f>
        <v>0</v>
      </c>
      <c r="H464" s="11">
        <f>VLOOKUP(A464,import!A:J,8,0)</f>
        <v>27</v>
      </c>
      <c r="I464" s="11">
        <f>VLOOKUP(A464,import!A:J,9,0)</f>
        <v>27</v>
      </c>
      <c r="J464" s="12">
        <f>VLOOKUP(A464,import!A:J,10,0)</f>
        <v>0</v>
      </c>
      <c r="K464" s="22" t="s">
        <v>2233</v>
      </c>
      <c r="L464" s="22">
        <v>3.522353597E9</v>
      </c>
      <c r="M464" s="22" t="s">
        <v>47</v>
      </c>
      <c r="N464" s="22" t="s">
        <v>47</v>
      </c>
      <c r="O464" s="22" t="s">
        <v>2234</v>
      </c>
      <c r="P464" s="11" t="str">
        <f>VLOOKUP(A464,import!A:P,16,0)</f>
        <v>Geleneksel</v>
      </c>
      <c r="Q464" s="13"/>
      <c r="R464" s="13" t="b">
        <v>1</v>
      </c>
      <c r="S464" s="13" t="b">
        <v>0</v>
      </c>
      <c r="T464" s="14" t="s">
        <v>168</v>
      </c>
      <c r="U464" s="14"/>
      <c r="V464" s="30"/>
      <c r="W464" s="14" t="s">
        <v>2235</v>
      </c>
      <c r="X464" s="24"/>
      <c r="Y464" s="24"/>
      <c r="Z464" s="18"/>
      <c r="AA464" s="19" t="s">
        <v>54</v>
      </c>
      <c r="AB464" s="20">
        <v>44662.0</v>
      </c>
      <c r="AC464" s="19"/>
      <c r="AD464" s="20"/>
      <c r="AE464" s="19"/>
      <c r="AF464" s="20"/>
      <c r="AG464" s="21"/>
      <c r="AH464" s="18"/>
      <c r="AI464" s="18"/>
      <c r="AJ464" s="18"/>
      <c r="AK464" s="19" t="s">
        <v>110</v>
      </c>
      <c r="AL464" s="19"/>
      <c r="AM464" s="19"/>
      <c r="AN464" s="18"/>
      <c r="AO464" s="18"/>
      <c r="AP464" s="22"/>
      <c r="AQ464" s="18"/>
    </row>
    <row r="465">
      <c r="A465" s="11" t="s">
        <v>2236</v>
      </c>
      <c r="B465" s="11" t="s">
        <v>2237</v>
      </c>
      <c r="C465" s="11" t="str">
        <f>VLOOKUP(A465,import!A:C,3,0)</f>
        <v>DOĞRU</v>
      </c>
      <c r="D465" s="11" t="s">
        <v>91</v>
      </c>
      <c r="E465" s="11">
        <f>VLOOKUP(A465,import!A:J,5,0)</f>
        <v>1449</v>
      </c>
      <c r="F465" s="11">
        <f>VLOOKUP(A465,import!A:J,6,0)</f>
        <v>20</v>
      </c>
      <c r="G465" s="11">
        <f>VLOOKUP(A465,import!A:J,7,0)</f>
        <v>0</v>
      </c>
      <c r="H465" s="11">
        <f>VLOOKUP(A465,import!A:J,8,0)</f>
        <v>187</v>
      </c>
      <c r="I465" s="11">
        <f>VLOOKUP(A465,import!A:J,9,0)</f>
        <v>187</v>
      </c>
      <c r="J465" s="12">
        <f>VLOOKUP(A465,import!A:J,10,0)</f>
        <v>0</v>
      </c>
      <c r="K465" s="11" t="s">
        <v>1697</v>
      </c>
      <c r="L465" s="11">
        <v>3.524377979E9</v>
      </c>
      <c r="M465" s="11" t="s">
        <v>61</v>
      </c>
      <c r="N465" s="11" t="s">
        <v>811</v>
      </c>
      <c r="O465" s="11" t="s">
        <v>1698</v>
      </c>
      <c r="P465" s="11" t="str">
        <f>VLOOKUP(A465,import!A:P,16,0)</f>
        <v>Geleneksel</v>
      </c>
      <c r="Q465" s="13"/>
      <c r="R465" s="13" t="b">
        <v>1</v>
      </c>
      <c r="S465" s="13" t="b">
        <v>0</v>
      </c>
      <c r="T465" s="14" t="s">
        <v>133</v>
      </c>
      <c r="U465" s="15"/>
      <c r="V465" s="15"/>
      <c r="W465" s="14" t="s">
        <v>2238</v>
      </c>
      <c r="X465" s="17"/>
      <c r="Y465" s="17"/>
      <c r="Z465" s="18"/>
      <c r="AA465" s="19" t="s">
        <v>54</v>
      </c>
      <c r="AB465" s="20">
        <v>44358.0</v>
      </c>
      <c r="AC465" s="19" t="s">
        <v>78</v>
      </c>
      <c r="AD465" s="20">
        <v>44377.0</v>
      </c>
      <c r="AE465" s="21"/>
      <c r="AF465" s="18"/>
      <c r="AG465" s="21"/>
      <c r="AH465" s="18"/>
      <c r="AI465" s="18"/>
      <c r="AJ465" s="18"/>
      <c r="AK465" s="19" t="s">
        <v>55</v>
      </c>
      <c r="AL465" s="19" t="s">
        <v>79</v>
      </c>
      <c r="AM465" s="18"/>
      <c r="AN465" s="18"/>
      <c r="AO465" s="18"/>
      <c r="AP465" s="22" t="s">
        <v>56</v>
      </c>
      <c r="AQ465" s="18"/>
    </row>
    <row r="466">
      <c r="A466" s="11" t="s">
        <v>2239</v>
      </c>
      <c r="B466" s="11" t="s">
        <v>2240</v>
      </c>
      <c r="C466" s="11" t="str">
        <f>VLOOKUP(A466,import!A:C,3,0)</f>
        <v>DOĞRU</v>
      </c>
      <c r="D466" s="11" t="s">
        <v>91</v>
      </c>
      <c r="E466" s="11">
        <f>VLOOKUP(A466,import!A:J,5,0)</f>
        <v>340</v>
      </c>
      <c r="F466" s="11">
        <f>VLOOKUP(A466,import!A:J,6,0)</f>
        <v>43</v>
      </c>
      <c r="G466" s="11">
        <f>VLOOKUP(A466,import!A:J,7,0)</f>
        <v>0</v>
      </c>
      <c r="H466" s="11">
        <f>VLOOKUP(A466,import!A:J,8,0)</f>
        <v>39</v>
      </c>
      <c r="I466" s="11">
        <f>VLOOKUP(A466,import!A:J,9,0)</f>
        <v>39</v>
      </c>
      <c r="J466" s="12">
        <f>VLOOKUP(A466,import!A:J,10,0)</f>
        <v>0</v>
      </c>
      <c r="K466" s="11" t="s">
        <v>2241</v>
      </c>
      <c r="L466" s="11">
        <v>3.522451501E9</v>
      </c>
      <c r="M466" s="11" t="s">
        <v>71</v>
      </c>
      <c r="N466" s="11" t="s">
        <v>1593</v>
      </c>
      <c r="O466" s="11" t="s">
        <v>2242</v>
      </c>
      <c r="P466" s="11" t="str">
        <f>VLOOKUP(A466,import!A:P,16,0)</f>
        <v>Geleneksel</v>
      </c>
      <c r="Q466" s="13"/>
      <c r="R466" s="13" t="b">
        <v>1</v>
      </c>
      <c r="S466" s="13" t="b">
        <v>0</v>
      </c>
      <c r="T466" s="14" t="s">
        <v>53</v>
      </c>
      <c r="U466" s="15"/>
      <c r="V466" s="15"/>
      <c r="W466" s="14" t="s">
        <v>2243</v>
      </c>
      <c r="X466" s="17"/>
      <c r="Y466" s="17"/>
      <c r="Z466" s="19" t="s">
        <v>711</v>
      </c>
      <c r="AA466" s="19" t="s">
        <v>54</v>
      </c>
      <c r="AB466" s="20">
        <v>44348.0</v>
      </c>
      <c r="AC466" s="19" t="s">
        <v>53</v>
      </c>
      <c r="AD466" s="20">
        <v>44378.0</v>
      </c>
      <c r="AE466" s="19" t="s">
        <v>53</v>
      </c>
      <c r="AF466" s="20">
        <v>44590.0</v>
      </c>
      <c r="AG466" s="21"/>
      <c r="AH466" s="18"/>
      <c r="AI466" s="18"/>
      <c r="AJ466" s="18"/>
      <c r="AK466" s="19" t="s">
        <v>55</v>
      </c>
      <c r="AL466" s="19" t="s">
        <v>79</v>
      </c>
      <c r="AM466" s="19" t="s">
        <v>80</v>
      </c>
      <c r="AN466" s="18"/>
      <c r="AO466" s="18"/>
      <c r="AP466" s="22" t="s">
        <v>56</v>
      </c>
      <c r="AQ466" s="18"/>
    </row>
    <row r="467">
      <c r="A467" s="11" t="s">
        <v>2244</v>
      </c>
      <c r="B467" s="11" t="s">
        <v>2245</v>
      </c>
      <c r="C467" s="11" t="str">
        <f>VLOOKUP(A467,import!A:C,3,0)</f>
        <v>DOĞRU</v>
      </c>
      <c r="D467" s="11" t="s">
        <v>91</v>
      </c>
      <c r="E467" s="11">
        <f>VLOOKUP(A467,import!A:J,5,0)</f>
        <v>1254</v>
      </c>
      <c r="F467" s="11" t="str">
        <f>VLOOKUP(A467,import!A:J,6,0)</f>
        <v/>
      </c>
      <c r="G467" s="11">
        <f>VLOOKUP(A467,import!A:J,7,0)</f>
        <v>0</v>
      </c>
      <c r="H467" s="11">
        <f>VLOOKUP(A467,import!A:J,8,0)</f>
        <v>42</v>
      </c>
      <c r="I467" s="11">
        <f>VLOOKUP(A467,import!A:J,9,0)</f>
        <v>42</v>
      </c>
      <c r="J467" s="12">
        <f>VLOOKUP(A467,import!A:J,10,0)</f>
        <v>0</v>
      </c>
      <c r="K467" s="11" t="s">
        <v>2246</v>
      </c>
      <c r="L467" s="11">
        <v>5.32306238E9</v>
      </c>
      <c r="M467" s="11" t="s">
        <v>71</v>
      </c>
      <c r="N467" s="11" t="s">
        <v>787</v>
      </c>
      <c r="O467" s="11" t="s">
        <v>2247</v>
      </c>
      <c r="P467" s="11" t="str">
        <f>VLOOKUP(A467,import!A:P,16,0)</f>
        <v>Geleneksel</v>
      </c>
      <c r="Q467" s="13"/>
      <c r="R467" s="13" t="b">
        <v>1</v>
      </c>
      <c r="S467" s="13" t="b">
        <v>0</v>
      </c>
      <c r="T467" s="15"/>
      <c r="U467" s="15"/>
      <c r="V467" s="15"/>
      <c r="W467" s="14" t="s">
        <v>2248</v>
      </c>
      <c r="X467" s="17"/>
      <c r="Y467" s="17"/>
      <c r="Z467" s="18"/>
      <c r="AA467" s="18"/>
      <c r="AB467" s="18"/>
      <c r="AC467" s="18"/>
      <c r="AD467" s="18"/>
      <c r="AE467" s="21"/>
      <c r="AF467" s="18"/>
      <c r="AG467" s="21"/>
      <c r="AH467" s="18"/>
      <c r="AI467" s="18"/>
      <c r="AJ467" s="18"/>
      <c r="AK467" s="18"/>
      <c r="AL467" s="18"/>
      <c r="AM467" s="18"/>
      <c r="AN467" s="18"/>
      <c r="AO467" s="18"/>
      <c r="AP467" s="22" t="s">
        <v>56</v>
      </c>
      <c r="AQ467" s="18"/>
    </row>
    <row r="468">
      <c r="A468" s="11" t="s">
        <v>2249</v>
      </c>
      <c r="B468" s="11" t="s">
        <v>2250</v>
      </c>
      <c r="C468" s="11" t="str">
        <f>VLOOKUP(A468,import!A:C,3,0)</f>
        <v>DOĞRU</v>
      </c>
      <c r="D468" s="11" t="s">
        <v>91</v>
      </c>
      <c r="E468" s="11">
        <f>VLOOKUP(A468,import!A:J,5,0)</f>
        <v>8738</v>
      </c>
      <c r="F468" s="11">
        <f>VLOOKUP(A468,import!A:J,6,0)</f>
        <v>37</v>
      </c>
      <c r="G468" s="11">
        <f>VLOOKUP(A468,import!A:J,7,0)</f>
        <v>1</v>
      </c>
      <c r="H468" s="11">
        <f>VLOOKUP(A468,import!A:J,8,0)</f>
        <v>90</v>
      </c>
      <c r="I468" s="11">
        <f>VLOOKUP(A468,import!A:J,9,0)</f>
        <v>91</v>
      </c>
      <c r="J468" s="12">
        <f>VLOOKUP(A468,import!A:J,10,0)</f>
        <v>0.01</v>
      </c>
      <c r="K468" s="11" t="s">
        <v>2251</v>
      </c>
      <c r="L468" s="11">
        <v>3.522222266E9</v>
      </c>
      <c r="M468" s="11" t="s">
        <v>71</v>
      </c>
      <c r="N468" s="11" t="s">
        <v>102</v>
      </c>
      <c r="O468" s="11" t="s">
        <v>2252</v>
      </c>
      <c r="P468" s="11" t="str">
        <f>VLOOKUP(A468,import!A:P,16,0)</f>
        <v>Geleneksel</v>
      </c>
      <c r="Q468" s="13"/>
      <c r="R468" s="13" t="b">
        <v>1</v>
      </c>
      <c r="S468" s="13" t="b">
        <v>1</v>
      </c>
      <c r="T468" s="25" t="s">
        <v>168</v>
      </c>
      <c r="U468" s="25"/>
      <c r="V468" s="25"/>
      <c r="W468" s="25" t="s">
        <v>2253</v>
      </c>
      <c r="X468" s="34"/>
      <c r="Y468" s="34"/>
      <c r="Z468" s="18"/>
      <c r="AA468" s="19" t="s">
        <v>54</v>
      </c>
      <c r="AB468" s="20">
        <v>44349.0</v>
      </c>
      <c r="AC468" s="18"/>
      <c r="AD468" s="18"/>
      <c r="AE468" s="21"/>
      <c r="AF468" s="18"/>
      <c r="AG468" s="21"/>
      <c r="AH468" s="18"/>
      <c r="AI468" s="18"/>
      <c r="AJ468" s="18"/>
      <c r="AK468" s="19" t="s">
        <v>79</v>
      </c>
      <c r="AL468" s="18"/>
      <c r="AM468" s="18"/>
      <c r="AN468" s="18"/>
      <c r="AO468" s="18"/>
      <c r="AP468" s="22" t="s">
        <v>56</v>
      </c>
      <c r="AQ468" s="18"/>
    </row>
    <row r="469">
      <c r="A469" s="11" t="s">
        <v>2254</v>
      </c>
      <c r="B469" s="11" t="s">
        <v>2255</v>
      </c>
      <c r="C469" s="11" t="str">
        <f>VLOOKUP(A469,import!A:C,3,0)</f>
        <v>DOĞRU</v>
      </c>
      <c r="D469" s="11" t="s">
        <v>91</v>
      </c>
      <c r="E469" s="11">
        <f>VLOOKUP(A469,import!A:J,5,0)</f>
        <v>1954</v>
      </c>
      <c r="F469" s="11" t="str">
        <f>VLOOKUP(A469,import!A:J,6,0)</f>
        <v/>
      </c>
      <c r="G469" s="11">
        <f>VLOOKUP(A469,import!A:J,7,0)</f>
        <v>0</v>
      </c>
      <c r="H469" s="11">
        <f>VLOOKUP(A469,import!A:J,8,0)</f>
        <v>85</v>
      </c>
      <c r="I469" s="11">
        <f>VLOOKUP(A469,import!A:J,9,0)</f>
        <v>85</v>
      </c>
      <c r="J469" s="12">
        <f>VLOOKUP(A469,import!A:J,10,0)</f>
        <v>0</v>
      </c>
      <c r="K469" s="11" t="s">
        <v>2256</v>
      </c>
      <c r="L469" s="11">
        <v>3.524315555E9</v>
      </c>
      <c r="M469" s="11" t="s">
        <v>61</v>
      </c>
      <c r="N469" s="11" t="s">
        <v>62</v>
      </c>
      <c r="O469" s="11" t="s">
        <v>2257</v>
      </c>
      <c r="P469" s="11" t="str">
        <f>VLOOKUP(A469,import!A:P,16,0)</f>
        <v>Geleneksel</v>
      </c>
      <c r="Q469" s="13"/>
      <c r="R469" s="13" t="b">
        <v>1</v>
      </c>
      <c r="S469" s="13" t="b">
        <v>0</v>
      </c>
      <c r="T469" s="14" t="s">
        <v>53</v>
      </c>
      <c r="U469" s="15"/>
      <c r="V469" s="15"/>
      <c r="W469" s="14" t="s">
        <v>2258</v>
      </c>
      <c r="X469" s="17"/>
      <c r="Y469" s="17"/>
      <c r="Z469" s="18"/>
      <c r="AA469" s="19" t="s">
        <v>53</v>
      </c>
      <c r="AB469" s="20">
        <v>44358.0</v>
      </c>
      <c r="AC469" s="18"/>
      <c r="AD469" s="18"/>
      <c r="AE469" s="21"/>
      <c r="AF469" s="18"/>
      <c r="AG469" s="21"/>
      <c r="AH469" s="18"/>
      <c r="AI469" s="18"/>
      <c r="AJ469" s="18"/>
      <c r="AK469" s="19" t="s">
        <v>55</v>
      </c>
      <c r="AL469" s="18"/>
      <c r="AM469" s="18"/>
      <c r="AN469" s="18"/>
      <c r="AO469" s="18"/>
      <c r="AP469" s="22" t="s">
        <v>56</v>
      </c>
      <c r="AQ469" s="18"/>
    </row>
    <row r="470">
      <c r="A470" s="11" t="s">
        <v>2259</v>
      </c>
      <c r="B470" s="11" t="s">
        <v>2260</v>
      </c>
      <c r="C470" s="11" t="str">
        <f>VLOOKUP(A470,import!A:C,3,0)</f>
        <v>DOĞRU</v>
      </c>
      <c r="D470" s="11" t="s">
        <v>91</v>
      </c>
      <c r="E470" s="11">
        <f>VLOOKUP(A470,import!A:J,5,0)</f>
        <v>3598</v>
      </c>
      <c r="F470" s="11">
        <f>VLOOKUP(A470,import!A:J,6,0)</f>
        <v>100</v>
      </c>
      <c r="G470" s="11">
        <f>VLOOKUP(A470,import!A:J,7,0)</f>
        <v>0</v>
      </c>
      <c r="H470" s="11">
        <f>VLOOKUP(A470,import!A:J,8,0)</f>
        <v>28</v>
      </c>
      <c r="I470" s="11">
        <f>VLOOKUP(A470,import!A:J,9,0)</f>
        <v>28</v>
      </c>
      <c r="J470" s="12">
        <f>VLOOKUP(A470,import!A:J,10,0)</f>
        <v>0</v>
      </c>
      <c r="K470" s="11" t="s">
        <v>2261</v>
      </c>
      <c r="L470" s="11">
        <v>3.525033334E9</v>
      </c>
      <c r="M470" s="11" t="s">
        <v>61</v>
      </c>
      <c r="N470" s="11" t="s">
        <v>62</v>
      </c>
      <c r="O470" s="11" t="s">
        <v>2262</v>
      </c>
      <c r="P470" s="11" t="str">
        <f>VLOOKUP(A470,import!A:P,16,0)</f>
        <v>Geleneksel</v>
      </c>
      <c r="Q470" s="13"/>
      <c r="R470" s="13" t="b">
        <v>1</v>
      </c>
      <c r="S470" s="13" t="b">
        <v>1</v>
      </c>
      <c r="T470" s="15"/>
      <c r="U470" s="15"/>
      <c r="V470" s="15"/>
      <c r="W470" s="14" t="s">
        <v>2263</v>
      </c>
      <c r="X470" s="17"/>
      <c r="Y470" s="17"/>
      <c r="Z470" s="18"/>
      <c r="AA470" s="19" t="s">
        <v>54</v>
      </c>
      <c r="AB470" s="20">
        <v>44358.0</v>
      </c>
      <c r="AC470" s="19" t="s">
        <v>54</v>
      </c>
      <c r="AD470" s="20">
        <v>44622.0</v>
      </c>
      <c r="AE470" s="21"/>
      <c r="AF470" s="18"/>
      <c r="AG470" s="21"/>
      <c r="AH470" s="18"/>
      <c r="AI470" s="18"/>
      <c r="AJ470" s="18"/>
      <c r="AK470" s="19" t="s">
        <v>55</v>
      </c>
      <c r="AL470" s="19" t="s">
        <v>75</v>
      </c>
      <c r="AM470" s="18"/>
      <c r="AN470" s="18"/>
      <c r="AO470" s="18"/>
      <c r="AP470" s="22" t="s">
        <v>56</v>
      </c>
      <c r="AQ470" s="18"/>
    </row>
    <row r="471">
      <c r="A471" s="11" t="s">
        <v>2264</v>
      </c>
      <c r="B471" s="11" t="s">
        <v>2265</v>
      </c>
      <c r="C471" s="11" t="str">
        <f>VLOOKUP(A471,import!A:C,3,0)</f>
        <v>DOĞRU</v>
      </c>
      <c r="D471" s="11" t="s">
        <v>91</v>
      </c>
      <c r="E471" s="11">
        <f>VLOOKUP(A471,import!A:J,5,0)</f>
        <v>1564</v>
      </c>
      <c r="F471" s="11">
        <f>VLOOKUP(A471,import!A:J,6,0)</f>
        <v>46</v>
      </c>
      <c r="G471" s="11">
        <f>VLOOKUP(A471,import!A:J,7,0)</f>
        <v>0</v>
      </c>
      <c r="H471" s="11">
        <f>VLOOKUP(A471,import!A:J,8,0)</f>
        <v>86</v>
      </c>
      <c r="I471" s="11">
        <f>VLOOKUP(A471,import!A:J,9,0)</f>
        <v>86</v>
      </c>
      <c r="J471" s="12">
        <f>VLOOKUP(A471,import!A:J,10,0)</f>
        <v>0</v>
      </c>
      <c r="K471" s="11" t="s">
        <v>2266</v>
      </c>
      <c r="L471" s="11">
        <v>3.522233434E9</v>
      </c>
      <c r="M471" s="11" t="s">
        <v>47</v>
      </c>
      <c r="N471" s="11" t="s">
        <v>271</v>
      </c>
      <c r="O471" s="11" t="s">
        <v>2267</v>
      </c>
      <c r="P471" s="11" t="str">
        <f>VLOOKUP(A471,import!A:P,16,0)</f>
        <v>Geleneksel</v>
      </c>
      <c r="Q471" s="13"/>
      <c r="R471" s="13" t="b">
        <v>1</v>
      </c>
      <c r="S471" s="13" t="b">
        <v>1</v>
      </c>
      <c r="T471" s="14" t="s">
        <v>64</v>
      </c>
      <c r="U471" s="14" t="s">
        <v>538</v>
      </c>
      <c r="V471" s="14" t="s">
        <v>96</v>
      </c>
      <c r="W471" s="14" t="s">
        <v>2268</v>
      </c>
      <c r="X471" s="24">
        <v>44292.0</v>
      </c>
      <c r="Y471" s="24">
        <v>44294.0</v>
      </c>
      <c r="Z471" s="18"/>
      <c r="AA471" s="19" t="s">
        <v>54</v>
      </c>
      <c r="AB471" s="20">
        <v>44354.0</v>
      </c>
      <c r="AC471" s="19" t="s">
        <v>54</v>
      </c>
      <c r="AD471" s="20">
        <v>44358.0</v>
      </c>
      <c r="AE471" s="19" t="s">
        <v>347</v>
      </c>
      <c r="AF471" s="20">
        <v>44377.0</v>
      </c>
      <c r="AG471" s="19" t="s">
        <v>347</v>
      </c>
      <c r="AH471" s="20">
        <v>44663.0</v>
      </c>
      <c r="AI471" s="18"/>
      <c r="AJ471" s="18"/>
      <c r="AK471" s="19" t="s">
        <v>79</v>
      </c>
      <c r="AL471" s="19" t="s">
        <v>55</v>
      </c>
      <c r="AM471" s="19" t="s">
        <v>79</v>
      </c>
      <c r="AN471" s="19" t="s">
        <v>110</v>
      </c>
      <c r="AO471" s="18"/>
      <c r="AP471" s="22" t="s">
        <v>56</v>
      </c>
      <c r="AQ471" s="18"/>
    </row>
    <row r="472">
      <c r="A472" s="11" t="s">
        <v>2269</v>
      </c>
      <c r="B472" s="11" t="s">
        <v>2270</v>
      </c>
      <c r="C472" s="11" t="str">
        <f>VLOOKUP(A472,import!A:C,3,0)</f>
        <v>DOĞRU</v>
      </c>
      <c r="D472" s="11" t="s">
        <v>91</v>
      </c>
      <c r="E472" s="11">
        <f>VLOOKUP(A472,import!A:J,5,0)</f>
        <v>2353</v>
      </c>
      <c r="F472" s="11">
        <f>VLOOKUP(A472,import!A:J,6,0)</f>
        <v>52</v>
      </c>
      <c r="G472" s="11">
        <f>VLOOKUP(A472,import!A:J,7,0)</f>
        <v>0</v>
      </c>
      <c r="H472" s="11">
        <f>VLOOKUP(A472,import!A:J,8,0)</f>
        <v>86</v>
      </c>
      <c r="I472" s="11">
        <f>VLOOKUP(A472,import!A:J,9,0)</f>
        <v>86</v>
      </c>
      <c r="J472" s="12">
        <f>VLOOKUP(A472,import!A:J,10,0)</f>
        <v>0</v>
      </c>
      <c r="K472" s="11" t="s">
        <v>2271</v>
      </c>
      <c r="L472" s="11">
        <v>3.522223443E9</v>
      </c>
      <c r="M472" s="11" t="s">
        <v>71</v>
      </c>
      <c r="N472" s="11" t="s">
        <v>684</v>
      </c>
      <c r="O472" s="11" t="s">
        <v>2272</v>
      </c>
      <c r="P472" s="11" t="str">
        <f>VLOOKUP(A472,import!A:P,16,0)</f>
        <v>Geleneksel</v>
      </c>
      <c r="Q472" s="13"/>
      <c r="R472" s="13" t="b">
        <v>1</v>
      </c>
      <c r="S472" s="13" t="b">
        <v>0</v>
      </c>
      <c r="T472" s="14" t="s">
        <v>145</v>
      </c>
      <c r="U472" s="15"/>
      <c r="V472" s="15"/>
      <c r="W472" s="14" t="s">
        <v>2273</v>
      </c>
      <c r="X472" s="17"/>
      <c r="Y472" s="17"/>
      <c r="Z472" s="18"/>
      <c r="AA472" s="18"/>
      <c r="AB472" s="18"/>
      <c r="AC472" s="18"/>
      <c r="AD472" s="18"/>
      <c r="AE472" s="21"/>
      <c r="AF472" s="18"/>
      <c r="AG472" s="21"/>
      <c r="AH472" s="18"/>
      <c r="AI472" s="18"/>
      <c r="AJ472" s="18"/>
      <c r="AK472" s="18"/>
      <c r="AL472" s="18"/>
      <c r="AM472" s="18"/>
      <c r="AN472" s="18"/>
      <c r="AO472" s="18"/>
      <c r="AP472" s="22" t="s">
        <v>56</v>
      </c>
      <c r="AQ472" s="18"/>
    </row>
    <row r="473">
      <c r="A473" s="11" t="s">
        <v>2274</v>
      </c>
      <c r="B473" s="11" t="s">
        <v>2275</v>
      </c>
      <c r="C473" s="11" t="str">
        <f>VLOOKUP(A473,import!A:C,3,0)</f>
        <v>DOĞRU</v>
      </c>
      <c r="D473" s="11" t="s">
        <v>653</v>
      </c>
      <c r="E473" s="11">
        <f>VLOOKUP(A473,import!A:J,5,0)</f>
        <v>1003</v>
      </c>
      <c r="F473" s="11">
        <f>VLOOKUP(A473,import!A:J,6,0)</f>
        <v>5</v>
      </c>
      <c r="G473" s="11">
        <f>VLOOKUP(A473,import!A:J,7,0)</f>
        <v>10</v>
      </c>
      <c r="H473" s="11">
        <f>VLOOKUP(A473,import!A:J,8,0)</f>
        <v>18</v>
      </c>
      <c r="I473" s="11">
        <f>VLOOKUP(A473,import!A:J,9,0)</f>
        <v>28</v>
      </c>
      <c r="J473" s="12">
        <f>VLOOKUP(A473,import!A:J,10,0)</f>
        <v>0.36</v>
      </c>
      <c r="K473" s="11" t="s">
        <v>2276</v>
      </c>
      <c r="L473" s="11">
        <v>5.330931196E9</v>
      </c>
      <c r="M473" s="11" t="s">
        <v>71</v>
      </c>
      <c r="N473" s="11" t="s">
        <v>797</v>
      </c>
      <c r="O473" s="11" t="s">
        <v>2277</v>
      </c>
      <c r="P473" s="11" t="str">
        <f>VLOOKUP(A473,import!A:P,16,0)</f>
        <v>Geleneksel</v>
      </c>
      <c r="Q473" s="13"/>
      <c r="R473" s="13" t="b">
        <v>1</v>
      </c>
      <c r="S473" s="13" t="b">
        <v>0</v>
      </c>
      <c r="T473" s="14" t="s">
        <v>74</v>
      </c>
      <c r="U473" s="14" t="s">
        <v>75</v>
      </c>
      <c r="V473" s="23" t="s">
        <v>76</v>
      </c>
      <c r="W473" s="14" t="s">
        <v>2278</v>
      </c>
      <c r="X473" s="24">
        <v>44609.0</v>
      </c>
      <c r="Y473" s="24">
        <v>44610.0</v>
      </c>
      <c r="Z473" s="18"/>
      <c r="AA473" s="19" t="s">
        <v>54</v>
      </c>
      <c r="AB473" s="20">
        <v>44349.0</v>
      </c>
      <c r="AC473" s="19" t="s">
        <v>54</v>
      </c>
      <c r="AD473" s="20">
        <v>44609.0</v>
      </c>
      <c r="AE473" s="21"/>
      <c r="AF473" s="18"/>
      <c r="AG473" s="21"/>
      <c r="AH473" s="18"/>
      <c r="AI473" s="18"/>
      <c r="AJ473" s="18"/>
      <c r="AK473" s="19" t="s">
        <v>79</v>
      </c>
      <c r="AL473" s="19" t="s">
        <v>75</v>
      </c>
      <c r="AM473" s="18"/>
      <c r="AN473" s="18"/>
      <c r="AO473" s="18"/>
      <c r="AP473" s="22" t="s">
        <v>56</v>
      </c>
      <c r="AQ473" s="18"/>
    </row>
    <row r="474">
      <c r="A474" s="11" t="s">
        <v>2279</v>
      </c>
      <c r="B474" s="11" t="s">
        <v>2280</v>
      </c>
      <c r="C474" s="11" t="str">
        <f>VLOOKUP(A474,import!A:C,3,0)</f>
        <v>DOĞRU</v>
      </c>
      <c r="D474" s="11" t="s">
        <v>653</v>
      </c>
      <c r="E474" s="11">
        <f>VLOOKUP(A474,import!A:J,5,0)</f>
        <v>5011</v>
      </c>
      <c r="F474" s="11">
        <f>VLOOKUP(A474,import!A:J,6,0)</f>
        <v>82</v>
      </c>
      <c r="G474" s="11">
        <f>VLOOKUP(A474,import!A:J,7,0)</f>
        <v>9</v>
      </c>
      <c r="H474" s="11">
        <f>VLOOKUP(A474,import!A:J,8,0)</f>
        <v>11</v>
      </c>
      <c r="I474" s="11">
        <f>VLOOKUP(A474,import!A:J,9,0)</f>
        <v>20</v>
      </c>
      <c r="J474" s="12">
        <f>VLOOKUP(A474,import!A:J,10,0)</f>
        <v>0.45</v>
      </c>
      <c r="K474" s="11" t="s">
        <v>2276</v>
      </c>
      <c r="L474" s="11">
        <v>3.525037473E9</v>
      </c>
      <c r="M474" s="11" t="s">
        <v>61</v>
      </c>
      <c r="N474" s="11" t="s">
        <v>62</v>
      </c>
      <c r="O474" s="11" t="s">
        <v>2281</v>
      </c>
      <c r="P474" s="11" t="str">
        <f>VLOOKUP(A474,import!A:P,16,0)</f>
        <v>Geleneksel</v>
      </c>
      <c r="Q474" s="13"/>
      <c r="R474" s="13" t="b">
        <v>1</v>
      </c>
      <c r="S474" s="13" t="b">
        <v>1</v>
      </c>
      <c r="T474" s="14" t="s">
        <v>74</v>
      </c>
      <c r="U474" s="14" t="s">
        <v>75</v>
      </c>
      <c r="V474" s="23" t="s">
        <v>76</v>
      </c>
      <c r="W474" s="14" t="s">
        <v>2282</v>
      </c>
      <c r="X474" s="24">
        <v>44609.0</v>
      </c>
      <c r="Y474" s="24">
        <v>44610.0</v>
      </c>
      <c r="Z474" s="18"/>
      <c r="AA474" s="19" t="s">
        <v>54</v>
      </c>
      <c r="AB474" s="20">
        <v>44377.0</v>
      </c>
      <c r="AC474" s="19" t="s">
        <v>54</v>
      </c>
      <c r="AD474" s="20">
        <v>44609.0</v>
      </c>
      <c r="AE474" s="21"/>
      <c r="AF474" s="18"/>
      <c r="AG474" s="21"/>
      <c r="AH474" s="18"/>
      <c r="AI474" s="18"/>
      <c r="AJ474" s="18"/>
      <c r="AK474" s="19" t="s">
        <v>79</v>
      </c>
      <c r="AL474" s="19" t="s">
        <v>75</v>
      </c>
      <c r="AM474" s="18"/>
      <c r="AN474" s="18"/>
      <c r="AO474" s="18"/>
      <c r="AP474" s="22" t="s">
        <v>56</v>
      </c>
      <c r="AQ474" s="18"/>
    </row>
    <row r="475">
      <c r="A475" s="11" t="s">
        <v>2283</v>
      </c>
      <c r="B475" s="11" t="s">
        <v>2284</v>
      </c>
      <c r="C475" s="11" t="str">
        <f>VLOOKUP(A475,import!A:C,3,0)</f>
        <v>DOĞRU</v>
      </c>
      <c r="D475" s="11" t="s">
        <v>83</v>
      </c>
      <c r="E475" s="11">
        <f>VLOOKUP(A475,import!A:J,5,0)</f>
        <v>386</v>
      </c>
      <c r="F475" s="11" t="str">
        <f>VLOOKUP(A475,import!A:J,6,0)</f>
        <v/>
      </c>
      <c r="G475" s="11">
        <f>VLOOKUP(A475,import!A:J,7,0)</f>
        <v>14</v>
      </c>
      <c r="H475" s="11">
        <f>VLOOKUP(A475,import!A:J,8,0)</f>
        <v>16</v>
      </c>
      <c r="I475" s="11">
        <f>VLOOKUP(A475,import!A:J,9,0)</f>
        <v>30</v>
      </c>
      <c r="J475" s="12">
        <f>VLOOKUP(A475,import!A:J,10,0)</f>
        <v>0.47</v>
      </c>
      <c r="K475" s="11" t="s">
        <v>2285</v>
      </c>
      <c r="L475" s="11">
        <v>3.5220202E9</v>
      </c>
      <c r="M475" s="11" t="s">
        <v>71</v>
      </c>
      <c r="N475" s="11" t="s">
        <v>420</v>
      </c>
      <c r="O475" s="11" t="s">
        <v>2286</v>
      </c>
      <c r="P475" s="11" t="str">
        <f>VLOOKUP(A475,import!A:P,16,0)</f>
        <v>Geleneksel</v>
      </c>
      <c r="Q475" s="13"/>
      <c r="R475" s="13" t="b">
        <v>1</v>
      </c>
      <c r="S475" s="13" t="b">
        <v>0</v>
      </c>
      <c r="T475" s="14" t="s">
        <v>74</v>
      </c>
      <c r="U475" s="14" t="s">
        <v>80</v>
      </c>
      <c r="V475" s="14"/>
      <c r="W475" s="14"/>
      <c r="X475" s="24">
        <v>44609.0</v>
      </c>
      <c r="Y475" s="24">
        <v>44610.0</v>
      </c>
      <c r="Z475" s="18"/>
      <c r="AA475" s="19" t="s">
        <v>54</v>
      </c>
      <c r="AB475" s="20">
        <v>44609.0</v>
      </c>
      <c r="AC475" s="19"/>
      <c r="AD475" s="20"/>
      <c r="AE475" s="21"/>
      <c r="AF475" s="18"/>
      <c r="AG475" s="21"/>
      <c r="AH475" s="18"/>
      <c r="AI475" s="18"/>
      <c r="AJ475" s="18"/>
      <c r="AK475" s="19" t="s">
        <v>80</v>
      </c>
      <c r="AL475" s="19"/>
      <c r="AM475" s="18"/>
      <c r="AN475" s="18"/>
      <c r="AO475" s="18"/>
      <c r="AP475" s="22" t="s">
        <v>56</v>
      </c>
      <c r="AQ475" s="18"/>
    </row>
    <row r="476">
      <c r="A476" s="11" t="s">
        <v>2287</v>
      </c>
      <c r="B476" s="11" t="s">
        <v>2288</v>
      </c>
      <c r="C476" s="11" t="str">
        <f>VLOOKUP(A476,import!A:C,3,0)</f>
        <v>DOĞRU</v>
      </c>
      <c r="D476" s="11" t="s">
        <v>100</v>
      </c>
      <c r="E476" s="11">
        <f>VLOOKUP(A476,import!A:J,5,0)</f>
        <v>2011</v>
      </c>
      <c r="F476" s="11">
        <f>VLOOKUP(A476,import!A:J,6,0)</f>
        <v>29</v>
      </c>
      <c r="G476" s="11">
        <f>VLOOKUP(A476,import!A:J,7,0)</f>
        <v>9</v>
      </c>
      <c r="H476" s="11">
        <f>VLOOKUP(A476,import!A:J,8,0)</f>
        <v>26</v>
      </c>
      <c r="I476" s="11">
        <f>VLOOKUP(A476,import!A:J,9,0)</f>
        <v>35</v>
      </c>
      <c r="J476" s="12">
        <f>VLOOKUP(A476,import!A:J,10,0)</f>
        <v>0.26</v>
      </c>
      <c r="K476" s="11" t="s">
        <v>2289</v>
      </c>
      <c r="L476" s="11">
        <v>3.522351565E9</v>
      </c>
      <c r="M476" s="11" t="s">
        <v>71</v>
      </c>
      <c r="N476" s="11" t="s">
        <v>797</v>
      </c>
      <c r="O476" s="11" t="s">
        <v>2290</v>
      </c>
      <c r="P476" s="11" t="str">
        <f>VLOOKUP(A476,import!A:P,16,0)</f>
        <v>Geleneksel</v>
      </c>
      <c r="Q476" s="13"/>
      <c r="R476" s="13" t="b">
        <v>1</v>
      </c>
      <c r="S476" s="13" t="b">
        <v>0</v>
      </c>
      <c r="T476" s="14" t="s">
        <v>74</v>
      </c>
      <c r="U476" s="14" t="s">
        <v>95</v>
      </c>
      <c r="V476" s="14" t="s">
        <v>96</v>
      </c>
      <c r="W476" s="14"/>
      <c r="X476" s="24">
        <v>44293.0</v>
      </c>
      <c r="Y476" s="24">
        <v>44293.0</v>
      </c>
      <c r="Z476" s="18"/>
      <c r="AA476" s="18"/>
      <c r="AB476" s="18"/>
      <c r="AC476" s="18"/>
      <c r="AD476" s="18"/>
      <c r="AE476" s="21"/>
      <c r="AF476" s="18"/>
      <c r="AG476" s="21"/>
      <c r="AH476" s="18"/>
      <c r="AI476" s="18"/>
      <c r="AJ476" s="18"/>
      <c r="AK476" s="18"/>
      <c r="AL476" s="18"/>
      <c r="AM476" s="18"/>
      <c r="AN476" s="18"/>
      <c r="AO476" s="18"/>
      <c r="AP476" s="22" t="s">
        <v>56</v>
      </c>
      <c r="AQ476" s="18"/>
    </row>
    <row r="477">
      <c r="A477" s="22" t="s">
        <v>2291</v>
      </c>
      <c r="B477" s="22" t="s">
        <v>2292</v>
      </c>
      <c r="C477" s="11" t="str">
        <f>VLOOKUP(A477,import!A:C,3,0)</f>
        <v>DOĞRU</v>
      </c>
      <c r="D477" s="22" t="s">
        <v>2293</v>
      </c>
      <c r="E477" s="11">
        <f>VLOOKUP(A477,import!A:J,5,0)</f>
        <v>18</v>
      </c>
      <c r="F477" s="11">
        <f>VLOOKUP(A477,import!A:J,6,0)</f>
        <v>15</v>
      </c>
      <c r="G477" s="11">
        <f>VLOOKUP(A477,import!A:J,7,0)</f>
        <v>0</v>
      </c>
      <c r="H477" s="11">
        <f>VLOOKUP(A477,import!A:J,8,0)</f>
        <v>30</v>
      </c>
      <c r="I477" s="11">
        <f>VLOOKUP(A477,import!A:J,9,0)</f>
        <v>30</v>
      </c>
      <c r="J477" s="12">
        <f>VLOOKUP(A477,import!A:J,10,0)</f>
        <v>0</v>
      </c>
      <c r="K477" s="22" t="s">
        <v>2294</v>
      </c>
      <c r="L477" s="22">
        <v>3.523366575E9</v>
      </c>
      <c r="M477" s="22" t="s">
        <v>71</v>
      </c>
      <c r="N477" s="22" t="s">
        <v>174</v>
      </c>
      <c r="O477" s="22" t="s">
        <v>2295</v>
      </c>
      <c r="P477" s="11" t="str">
        <f>VLOOKUP(A477,import!A:P,16,0)</f>
        <v>Geleneksel</v>
      </c>
      <c r="Q477" s="13"/>
      <c r="R477" s="13" t="b">
        <v>1</v>
      </c>
      <c r="S477" s="13" t="b">
        <v>0</v>
      </c>
      <c r="T477" s="14"/>
      <c r="U477" s="14"/>
      <c r="V477" s="33"/>
      <c r="W477" s="14" t="s">
        <v>2296</v>
      </c>
      <c r="X477" s="24"/>
      <c r="Y477" s="24"/>
      <c r="Z477" s="18"/>
      <c r="AA477" s="19" t="s">
        <v>347</v>
      </c>
      <c r="AB477" s="20">
        <v>44662.0</v>
      </c>
      <c r="AC477" s="19"/>
      <c r="AD477" s="20"/>
      <c r="AE477" s="19"/>
      <c r="AF477" s="20"/>
      <c r="AG477" s="21"/>
      <c r="AH477" s="18"/>
      <c r="AI477" s="18"/>
      <c r="AJ477" s="18"/>
      <c r="AK477" s="19" t="s">
        <v>110</v>
      </c>
      <c r="AL477" s="19"/>
      <c r="AM477" s="19"/>
      <c r="AN477" s="18"/>
      <c r="AO477" s="18"/>
      <c r="AP477" s="22"/>
      <c r="AQ477" s="18"/>
    </row>
    <row r="478">
      <c r="A478" s="22" t="s">
        <v>2297</v>
      </c>
      <c r="B478" s="22" t="s">
        <v>2298</v>
      </c>
      <c r="C478" s="11" t="str">
        <f>VLOOKUP(A478,import!A:C,3,0)</f>
        <v>DOĞRU</v>
      </c>
      <c r="D478" s="22" t="s">
        <v>91</v>
      </c>
      <c r="E478" s="11" t="str">
        <f>VLOOKUP(A478,import!A:J,5,0)</f>
        <v/>
      </c>
      <c r="F478" s="11" t="str">
        <f>VLOOKUP(A478,import!A:J,6,0)</f>
        <v/>
      </c>
      <c r="G478" s="11">
        <f>VLOOKUP(A478,import!A:J,7,0)</f>
        <v>0</v>
      </c>
      <c r="H478" s="11">
        <f>VLOOKUP(A478,import!A:J,8,0)</f>
        <v>61</v>
      </c>
      <c r="I478" s="11">
        <f>VLOOKUP(A478,import!A:J,9,0)</f>
        <v>61</v>
      </c>
      <c r="J478" s="12">
        <f>VLOOKUP(A478,import!A:J,10,0)</f>
        <v>0</v>
      </c>
      <c r="K478" s="22" t="s">
        <v>2299</v>
      </c>
      <c r="L478" s="22">
        <v>3.524380333E9</v>
      </c>
      <c r="M478" s="22" t="s">
        <v>61</v>
      </c>
      <c r="N478" s="22" t="s">
        <v>107</v>
      </c>
      <c r="O478" s="22" t="s">
        <v>2300</v>
      </c>
      <c r="P478" s="11" t="str">
        <f>VLOOKUP(A478,import!A:P,16,0)</f>
        <v>Geleneksel</v>
      </c>
      <c r="Q478" s="13"/>
      <c r="R478" s="13" t="b">
        <v>1</v>
      </c>
      <c r="S478" s="13" t="b">
        <v>0</v>
      </c>
      <c r="T478" s="14" t="s">
        <v>133</v>
      </c>
      <c r="U478" s="14"/>
      <c r="V478" s="14"/>
      <c r="W478" s="14" t="s">
        <v>2301</v>
      </c>
      <c r="X478" s="24"/>
      <c r="Y478" s="24"/>
      <c r="Z478" s="18"/>
      <c r="AA478" s="19" t="s">
        <v>54</v>
      </c>
      <c r="AB478" s="20">
        <v>44676.0</v>
      </c>
      <c r="AC478" s="19"/>
      <c r="AD478" s="20"/>
      <c r="AE478" s="19"/>
      <c r="AF478" s="20"/>
      <c r="AG478" s="21"/>
      <c r="AH478" s="18"/>
      <c r="AI478" s="18"/>
      <c r="AJ478" s="18"/>
      <c r="AK478" s="19" t="s">
        <v>110</v>
      </c>
      <c r="AL478" s="19"/>
      <c r="AM478" s="19"/>
      <c r="AN478" s="18"/>
      <c r="AO478" s="18"/>
      <c r="AP478" s="22"/>
      <c r="AQ478" s="18"/>
    </row>
    <row r="479">
      <c r="A479" s="11" t="s">
        <v>2302</v>
      </c>
      <c r="B479" s="11" t="s">
        <v>2303</v>
      </c>
      <c r="C479" s="11" t="str">
        <f>VLOOKUP(A479,import!A:C,3,0)</f>
        <v>DOĞRU</v>
      </c>
      <c r="D479" s="11" t="s">
        <v>69</v>
      </c>
      <c r="E479" s="11">
        <f>VLOOKUP(A479,import!A:J,5,0)</f>
        <v>5</v>
      </c>
      <c r="F479" s="11" t="str">
        <f>VLOOKUP(A479,import!A:J,6,0)</f>
        <v/>
      </c>
      <c r="G479" s="11">
        <f>VLOOKUP(A479,import!A:J,7,0)</f>
        <v>0</v>
      </c>
      <c r="H479" s="11">
        <f>VLOOKUP(A479,import!A:J,8,0)</f>
        <v>12</v>
      </c>
      <c r="I479" s="11">
        <f>VLOOKUP(A479,import!A:J,9,0)</f>
        <v>12</v>
      </c>
      <c r="J479" s="12">
        <f>VLOOKUP(A479,import!A:J,10,0)</f>
        <v>0</v>
      </c>
      <c r="K479" s="11" t="s">
        <v>2304</v>
      </c>
      <c r="L479" s="11">
        <v>5.558929456E9</v>
      </c>
      <c r="M479" s="11" t="s">
        <v>47</v>
      </c>
      <c r="N479" s="11" t="s">
        <v>1552</v>
      </c>
      <c r="O479" s="11" t="s">
        <v>2305</v>
      </c>
      <c r="P479" s="11" t="str">
        <f>VLOOKUP(A479,import!A:P,16,0)</f>
        <v>Geleneksel</v>
      </c>
      <c r="Q479" s="13"/>
      <c r="R479" s="13" t="b">
        <v>1</v>
      </c>
      <c r="S479" s="13" t="b">
        <v>0</v>
      </c>
      <c r="T479" s="14" t="s">
        <v>168</v>
      </c>
      <c r="U479" s="14"/>
      <c r="V479" s="14"/>
      <c r="W479" s="14" t="s">
        <v>2306</v>
      </c>
      <c r="X479" s="24"/>
      <c r="Y479" s="24"/>
      <c r="Z479" s="18"/>
      <c r="AA479" s="19" t="s">
        <v>54</v>
      </c>
      <c r="AB479" s="20">
        <v>44587.0</v>
      </c>
      <c r="AC479" s="19" t="s">
        <v>54</v>
      </c>
      <c r="AD479" s="20">
        <v>44614.0</v>
      </c>
      <c r="AE479" s="19" t="s">
        <v>54</v>
      </c>
      <c r="AF479" s="20">
        <v>44631.0</v>
      </c>
      <c r="AG479" s="21"/>
      <c r="AH479" s="18"/>
      <c r="AI479" s="18"/>
      <c r="AJ479" s="18"/>
      <c r="AK479" s="19" t="s">
        <v>86</v>
      </c>
      <c r="AL479" s="19" t="s">
        <v>110</v>
      </c>
      <c r="AM479" s="19" t="s">
        <v>86</v>
      </c>
      <c r="AN479" s="18"/>
      <c r="AO479" s="18"/>
      <c r="AP479" s="22"/>
      <c r="AQ479" s="18"/>
    </row>
    <row r="480">
      <c r="A480" s="11" t="s">
        <v>2307</v>
      </c>
      <c r="B480" s="11" t="s">
        <v>2308</v>
      </c>
      <c r="C480" s="11" t="str">
        <f>VLOOKUP(A480,import!A:C,3,0)</f>
        <v>DOĞRU</v>
      </c>
      <c r="D480" s="11" t="s">
        <v>172</v>
      </c>
      <c r="E480" s="11">
        <f>VLOOKUP(A480,import!A:J,5,0)</f>
        <v>4195</v>
      </c>
      <c r="F480" s="11">
        <f>VLOOKUP(A480,import!A:J,6,0)</f>
        <v>64</v>
      </c>
      <c r="G480" s="11">
        <f>VLOOKUP(A480,import!A:J,7,0)</f>
        <v>0</v>
      </c>
      <c r="H480" s="11">
        <f>VLOOKUP(A480,import!A:J,8,0)</f>
        <v>50</v>
      </c>
      <c r="I480" s="11">
        <f>VLOOKUP(A480,import!A:J,9,0)</f>
        <v>50</v>
      </c>
      <c r="J480" s="12">
        <f>VLOOKUP(A480,import!A:J,10,0)</f>
        <v>0</v>
      </c>
      <c r="K480" s="11" t="s">
        <v>2309</v>
      </c>
      <c r="L480" s="11">
        <v>3.525033886E9</v>
      </c>
      <c r="M480" s="11" t="s">
        <v>61</v>
      </c>
      <c r="N480" s="11" t="s">
        <v>62</v>
      </c>
      <c r="O480" s="11" t="s">
        <v>2310</v>
      </c>
      <c r="P480" s="11" t="str">
        <f>VLOOKUP(A480,import!A:P,16,0)</f>
        <v>Geleneksel</v>
      </c>
      <c r="Q480" s="13"/>
      <c r="R480" s="13" t="b">
        <v>1</v>
      </c>
      <c r="S480" s="13" t="b">
        <v>1</v>
      </c>
      <c r="T480" s="14"/>
      <c r="U480" s="14"/>
      <c r="V480" s="14"/>
      <c r="W480" s="14" t="s">
        <v>2311</v>
      </c>
      <c r="X480" s="24"/>
      <c r="Y480" s="24"/>
      <c r="Z480" s="18"/>
      <c r="AA480" s="19" t="s">
        <v>54</v>
      </c>
      <c r="AB480" s="20">
        <v>44358.0</v>
      </c>
      <c r="AC480" s="18"/>
      <c r="AD480" s="18"/>
      <c r="AE480" s="21"/>
      <c r="AF480" s="18"/>
      <c r="AG480" s="21"/>
      <c r="AH480" s="18"/>
      <c r="AI480" s="19"/>
      <c r="AJ480" s="18"/>
      <c r="AK480" s="19" t="s">
        <v>55</v>
      </c>
      <c r="AL480" s="18"/>
      <c r="AM480" s="18"/>
      <c r="AN480" s="18"/>
      <c r="AO480" s="18"/>
      <c r="AP480" s="22" t="s">
        <v>56</v>
      </c>
      <c r="AQ480" s="18"/>
    </row>
    <row r="481">
      <c r="A481" s="11" t="s">
        <v>2312</v>
      </c>
      <c r="B481" s="11" t="s">
        <v>2313</v>
      </c>
      <c r="C481" s="11" t="str">
        <f>VLOOKUP(A481,import!A:C,3,0)</f>
        <v>DOĞRU</v>
      </c>
      <c r="D481" s="11" t="s">
        <v>855</v>
      </c>
      <c r="E481" s="11">
        <f>VLOOKUP(A481,import!A:J,5,0)</f>
        <v>739</v>
      </c>
      <c r="F481" s="11">
        <f>VLOOKUP(A481,import!A:J,6,0)</f>
        <v>2</v>
      </c>
      <c r="G481" s="11">
        <f>VLOOKUP(A481,import!A:J,7,0)</f>
        <v>0</v>
      </c>
      <c r="H481" s="11">
        <f>VLOOKUP(A481,import!A:J,8,0)</f>
        <v>11</v>
      </c>
      <c r="I481" s="11">
        <f>VLOOKUP(A481,import!A:J,9,0)</f>
        <v>11</v>
      </c>
      <c r="J481" s="12">
        <f>VLOOKUP(A481,import!A:J,10,0)</f>
        <v>0</v>
      </c>
      <c r="K481" s="11" t="s">
        <v>2304</v>
      </c>
      <c r="L481" s="11">
        <v>5.558929456E9</v>
      </c>
      <c r="M481" s="11" t="s">
        <v>61</v>
      </c>
      <c r="N481" s="11" t="s">
        <v>250</v>
      </c>
      <c r="O481" s="11" t="s">
        <v>1122</v>
      </c>
      <c r="P481" s="11" t="str">
        <f>VLOOKUP(A481,import!A:P,16,0)</f>
        <v>Geleneksel</v>
      </c>
      <c r="Q481" s="13"/>
      <c r="R481" s="13" t="b">
        <v>1</v>
      </c>
      <c r="S481" s="13" t="b">
        <v>0</v>
      </c>
      <c r="T481" s="14" t="s">
        <v>168</v>
      </c>
      <c r="U481" s="14"/>
      <c r="V481" s="14"/>
      <c r="W481" s="14" t="s">
        <v>2314</v>
      </c>
      <c r="X481" s="24"/>
      <c r="Y481" s="24"/>
      <c r="Z481" s="18"/>
      <c r="AA481" s="19" t="s">
        <v>54</v>
      </c>
      <c r="AB481" s="20">
        <v>44358.0</v>
      </c>
      <c r="AC481" s="19" t="s">
        <v>54</v>
      </c>
      <c r="AD481" s="20">
        <v>44638.0</v>
      </c>
      <c r="AE481" s="21"/>
      <c r="AF481" s="18"/>
      <c r="AG481" s="21"/>
      <c r="AH481" s="18"/>
      <c r="AI481" s="18"/>
      <c r="AJ481" s="18"/>
      <c r="AK481" s="19" t="s">
        <v>55</v>
      </c>
      <c r="AL481" s="19" t="s">
        <v>140</v>
      </c>
      <c r="AM481" s="18"/>
      <c r="AN481" s="18"/>
      <c r="AO481" s="18"/>
      <c r="AP481" s="22" t="s">
        <v>56</v>
      </c>
      <c r="AQ481" s="18"/>
    </row>
    <row r="482">
      <c r="A482" s="22" t="s">
        <v>2315</v>
      </c>
      <c r="B482" s="22" t="s">
        <v>2316</v>
      </c>
      <c r="C482" s="11" t="str">
        <f>VLOOKUP(A482,import!A:C,3,0)</f>
        <v>DOĞRU</v>
      </c>
      <c r="D482" s="22" t="s">
        <v>172</v>
      </c>
      <c r="E482" s="11">
        <f>VLOOKUP(A482,import!A:J,5,0)</f>
        <v>5</v>
      </c>
      <c r="F482" s="11">
        <f>VLOOKUP(A482,import!A:J,6,0)</f>
        <v>5</v>
      </c>
      <c r="G482" s="11">
        <f>VLOOKUP(A482,import!A:J,7,0)</f>
        <v>0</v>
      </c>
      <c r="H482" s="11">
        <f>VLOOKUP(A482,import!A:J,8,0)</f>
        <v>10</v>
      </c>
      <c r="I482" s="11">
        <f>VLOOKUP(A482,import!A:J,9,0)</f>
        <v>10</v>
      </c>
      <c r="J482" s="12">
        <f>VLOOKUP(A482,import!A:J,10,0)</f>
        <v>0</v>
      </c>
      <c r="K482" s="22" t="s">
        <v>1196</v>
      </c>
      <c r="L482" s="22">
        <v>3.522228848E9</v>
      </c>
      <c r="M482" s="22" t="s">
        <v>47</v>
      </c>
      <c r="N482" s="22" t="s">
        <v>155</v>
      </c>
      <c r="O482" s="22" t="s">
        <v>1197</v>
      </c>
      <c r="P482" s="11" t="str">
        <f>VLOOKUP(A482,import!A:P,16,0)</f>
        <v>Geleneksel</v>
      </c>
      <c r="Q482" s="13"/>
      <c r="R482" s="13" t="b">
        <v>1</v>
      </c>
      <c r="S482" s="13" t="b">
        <v>0</v>
      </c>
      <c r="T482" s="14" t="s">
        <v>133</v>
      </c>
      <c r="U482" s="14" t="s">
        <v>110</v>
      </c>
      <c r="V482" s="30" t="s">
        <v>76</v>
      </c>
      <c r="W482" s="14" t="s">
        <v>1198</v>
      </c>
      <c r="X482" s="24">
        <v>44673.0</v>
      </c>
      <c r="Y482" s="24">
        <v>44676.0</v>
      </c>
      <c r="Z482" s="18"/>
      <c r="AA482" s="19" t="s">
        <v>54</v>
      </c>
      <c r="AB482" s="20">
        <v>44673.0</v>
      </c>
      <c r="AC482" s="19"/>
      <c r="AD482" s="20"/>
      <c r="AE482" s="19"/>
      <c r="AF482" s="20"/>
      <c r="AG482" s="21"/>
      <c r="AH482" s="18"/>
      <c r="AI482" s="18"/>
      <c r="AJ482" s="18"/>
      <c r="AK482" s="19" t="s">
        <v>110</v>
      </c>
      <c r="AL482" s="19"/>
      <c r="AM482" s="19"/>
      <c r="AN482" s="18"/>
      <c r="AO482" s="18"/>
      <c r="AP482" s="22"/>
      <c r="AQ482" s="18"/>
    </row>
    <row r="483">
      <c r="A483" s="11" t="s">
        <v>2317</v>
      </c>
      <c r="B483" s="11" t="s">
        <v>2318</v>
      </c>
      <c r="C483" s="11" t="str">
        <f>VLOOKUP(A483,import!A:C,3,0)</f>
        <v>DOĞRU</v>
      </c>
      <c r="D483" s="11" t="s">
        <v>406</v>
      </c>
      <c r="E483" s="11">
        <f>VLOOKUP(A483,import!A:J,5,0)</f>
        <v>8209</v>
      </c>
      <c r="F483" s="11">
        <f>VLOOKUP(A483,import!A:J,6,0)</f>
        <v>285</v>
      </c>
      <c r="G483" s="11">
        <f>VLOOKUP(A483,import!A:J,7,0)</f>
        <v>0</v>
      </c>
      <c r="H483" s="11">
        <f>VLOOKUP(A483,import!A:J,8,0)</f>
        <v>22</v>
      </c>
      <c r="I483" s="11">
        <f>VLOOKUP(A483,import!A:J,9,0)</f>
        <v>22</v>
      </c>
      <c r="J483" s="12">
        <f>VLOOKUP(A483,import!A:J,10,0)</f>
        <v>0</v>
      </c>
      <c r="K483" s="11" t="s">
        <v>2319</v>
      </c>
      <c r="L483" s="11">
        <v>5.413071083E9</v>
      </c>
      <c r="M483" s="11" t="s">
        <v>61</v>
      </c>
      <c r="N483" s="11" t="s">
        <v>107</v>
      </c>
      <c r="O483" s="11" t="s">
        <v>2320</v>
      </c>
      <c r="P483" s="11" t="str">
        <f>VLOOKUP(A483,import!A:P,16,0)</f>
        <v>Geleneksel</v>
      </c>
      <c r="Q483" s="13"/>
      <c r="R483" s="13" t="b">
        <v>1</v>
      </c>
      <c r="S483" s="13" t="b">
        <v>0</v>
      </c>
      <c r="T483" s="14" t="s">
        <v>74</v>
      </c>
      <c r="U483" s="14" t="s">
        <v>75</v>
      </c>
      <c r="V483" s="23" t="s">
        <v>76</v>
      </c>
      <c r="W483" s="14" t="s">
        <v>2321</v>
      </c>
      <c r="X483" s="24">
        <v>44609.0</v>
      </c>
      <c r="Y483" s="24">
        <v>44610.0</v>
      </c>
      <c r="Z483" s="18"/>
      <c r="AA483" s="19" t="s">
        <v>53</v>
      </c>
      <c r="AB483" s="20">
        <v>44356.0</v>
      </c>
      <c r="AC483" s="19" t="s">
        <v>54</v>
      </c>
      <c r="AD483" s="20">
        <v>44609.0</v>
      </c>
      <c r="AE483" s="21"/>
      <c r="AF483" s="18"/>
      <c r="AG483" s="21"/>
      <c r="AH483" s="18"/>
      <c r="AI483" s="18"/>
      <c r="AJ483" s="18"/>
      <c r="AK483" s="19" t="s">
        <v>55</v>
      </c>
      <c r="AL483" s="19" t="s">
        <v>75</v>
      </c>
      <c r="AM483" s="18"/>
      <c r="AN483" s="18"/>
      <c r="AO483" s="18"/>
      <c r="AP483" s="22" t="s">
        <v>56</v>
      </c>
      <c r="AQ483" s="18"/>
    </row>
    <row r="484">
      <c r="A484" s="22" t="s">
        <v>2322</v>
      </c>
      <c r="B484" s="22" t="s">
        <v>2323</v>
      </c>
      <c r="C484" s="11" t="str">
        <f>VLOOKUP(A484,import!A:C,3,0)</f>
        <v>DOĞRU</v>
      </c>
      <c r="D484" s="22" t="s">
        <v>406</v>
      </c>
      <c r="E484" s="11">
        <f>VLOOKUP(A484,import!A:J,5,0)</f>
        <v>7</v>
      </c>
      <c r="F484" s="11" t="str">
        <f>VLOOKUP(A484,import!A:J,6,0)</f>
        <v/>
      </c>
      <c r="G484" s="11">
        <f>VLOOKUP(A484,import!A:J,7,0)</f>
        <v>0</v>
      </c>
      <c r="H484" s="11">
        <f>VLOOKUP(A484,import!A:J,8,0)</f>
        <v>4</v>
      </c>
      <c r="I484" s="11">
        <f>VLOOKUP(A484,import!A:J,9,0)</f>
        <v>4</v>
      </c>
      <c r="J484" s="12">
        <f>VLOOKUP(A484,import!A:J,10,0)</f>
        <v>0</v>
      </c>
      <c r="K484" s="22" t="s">
        <v>2324</v>
      </c>
      <c r="L484" s="22">
        <v>5.446464165E9</v>
      </c>
      <c r="M484" s="22" t="s">
        <v>47</v>
      </c>
      <c r="N484" s="22" t="s">
        <v>408</v>
      </c>
      <c r="O484" s="22" t="s">
        <v>2325</v>
      </c>
      <c r="P484" s="11" t="str">
        <f>VLOOKUP(A484,import!A:P,16,0)</f>
        <v>Geleneksel</v>
      </c>
      <c r="Q484" s="13"/>
      <c r="R484" s="13" t="b">
        <v>1</v>
      </c>
      <c r="S484" s="13" t="b">
        <v>0</v>
      </c>
      <c r="T484" s="14"/>
      <c r="U484" s="14"/>
      <c r="V484" s="30"/>
      <c r="W484" s="14" t="s">
        <v>2326</v>
      </c>
      <c r="X484" s="24"/>
      <c r="Y484" s="24"/>
      <c r="Z484" s="18"/>
      <c r="AA484" s="19"/>
      <c r="AB484" s="20"/>
      <c r="AC484" s="19"/>
      <c r="AD484" s="20"/>
      <c r="AE484" s="19"/>
      <c r="AF484" s="20"/>
      <c r="AG484" s="21"/>
      <c r="AH484" s="18"/>
      <c r="AI484" s="18"/>
      <c r="AJ484" s="18"/>
      <c r="AK484" s="19"/>
      <c r="AL484" s="19"/>
      <c r="AM484" s="19"/>
      <c r="AN484" s="18"/>
      <c r="AO484" s="18"/>
      <c r="AP484" s="22"/>
      <c r="AQ484" s="18"/>
    </row>
    <row r="485">
      <c r="A485" s="11" t="s">
        <v>2327</v>
      </c>
      <c r="B485" s="11" t="s">
        <v>2328</v>
      </c>
      <c r="C485" s="11" t="str">
        <f>VLOOKUP(A485,import!A:C,3,0)</f>
        <v>YANLIŞ</v>
      </c>
      <c r="D485" s="11" t="s">
        <v>855</v>
      </c>
      <c r="E485" s="11">
        <f>VLOOKUP(A485,import!A:J,5,0)</f>
        <v>13</v>
      </c>
      <c r="F485" s="11" t="str">
        <f>VLOOKUP(A485,import!A:J,6,0)</f>
        <v/>
      </c>
      <c r="G485" s="11">
        <f>VLOOKUP(A485,import!A:J,7,0)</f>
        <v>18</v>
      </c>
      <c r="H485" s="11">
        <f>VLOOKUP(A485,import!A:J,8,0)</f>
        <v>6</v>
      </c>
      <c r="I485" s="11">
        <f>VLOOKUP(A485,import!A:J,9,0)</f>
        <v>24</v>
      </c>
      <c r="J485" s="12">
        <f>VLOOKUP(A485,import!A:J,10,0)</f>
        <v>0.75</v>
      </c>
      <c r="K485" s="11" t="s">
        <v>2329</v>
      </c>
      <c r="L485" s="11">
        <v>5.412401825E9</v>
      </c>
      <c r="M485" s="11" t="s">
        <v>71</v>
      </c>
      <c r="N485" s="11" t="s">
        <v>2330</v>
      </c>
      <c r="O485" s="11" t="s">
        <v>2331</v>
      </c>
      <c r="P485" s="11" t="str">
        <f>VLOOKUP(A485,import!A:P,16,0)</f>
        <v>Geleneksel</v>
      </c>
      <c r="Q485" s="13"/>
      <c r="R485" s="13" t="b">
        <v>1</v>
      </c>
      <c r="S485" s="13" t="b">
        <v>0</v>
      </c>
      <c r="T485" s="14" t="s">
        <v>74</v>
      </c>
      <c r="U485" s="14" t="s">
        <v>95</v>
      </c>
      <c r="V485" s="14" t="s">
        <v>96</v>
      </c>
      <c r="W485" s="14" t="s">
        <v>2332</v>
      </c>
      <c r="X485" s="24">
        <v>44348.0</v>
      </c>
      <c r="Y485" s="24">
        <v>44355.0</v>
      </c>
      <c r="Z485" s="18"/>
      <c r="AA485" s="19" t="s">
        <v>54</v>
      </c>
      <c r="AB485" s="20">
        <v>44348.0</v>
      </c>
      <c r="AC485" s="18"/>
      <c r="AD485" s="18"/>
      <c r="AE485" s="21"/>
      <c r="AF485" s="18"/>
      <c r="AG485" s="21"/>
      <c r="AH485" s="18"/>
      <c r="AI485" s="18"/>
      <c r="AJ485" s="18"/>
      <c r="AK485" s="19" t="s">
        <v>55</v>
      </c>
      <c r="AL485" s="18"/>
      <c r="AM485" s="18"/>
      <c r="AN485" s="18"/>
      <c r="AO485" s="18"/>
      <c r="AP485" s="22" t="s">
        <v>56</v>
      </c>
      <c r="AQ485" s="18"/>
    </row>
    <row r="486">
      <c r="A486" s="11" t="s">
        <v>2333</v>
      </c>
      <c r="B486" s="11" t="s">
        <v>2334</v>
      </c>
      <c r="C486" s="11" t="str">
        <f>VLOOKUP(A486,import!A:C,3,0)</f>
        <v>DOĞRU</v>
      </c>
      <c r="D486" s="11" t="s">
        <v>855</v>
      </c>
      <c r="E486" s="11">
        <f>VLOOKUP(A486,import!A:J,5,0)</f>
        <v>6</v>
      </c>
      <c r="F486" s="11" t="str">
        <f>VLOOKUP(A486,import!A:J,6,0)</f>
        <v/>
      </c>
      <c r="G486" s="11">
        <f>VLOOKUP(A486,import!A:J,7,0)</f>
        <v>0</v>
      </c>
      <c r="H486" s="11">
        <f>VLOOKUP(A486,import!A:J,8,0)</f>
        <v>45</v>
      </c>
      <c r="I486" s="11">
        <f>VLOOKUP(A486,import!A:J,9,0)</f>
        <v>45</v>
      </c>
      <c r="J486" s="12">
        <f>VLOOKUP(A486,import!A:J,10,0)</f>
        <v>0</v>
      </c>
      <c r="K486" s="11" t="s">
        <v>2335</v>
      </c>
      <c r="L486" s="11">
        <v>5.397935044E9</v>
      </c>
      <c r="M486" s="11" t="s">
        <v>61</v>
      </c>
      <c r="N486" s="11" t="s">
        <v>107</v>
      </c>
      <c r="O486" s="11" t="s">
        <v>2336</v>
      </c>
      <c r="P486" s="11" t="str">
        <f>VLOOKUP(A486,import!A:P,16,0)</f>
        <v>Geleneksel</v>
      </c>
      <c r="Q486" s="13"/>
      <c r="R486" s="13" t="b">
        <v>1</v>
      </c>
      <c r="S486" s="13" t="b">
        <v>0</v>
      </c>
      <c r="T486" s="14"/>
      <c r="U486" s="14"/>
      <c r="V486" s="31"/>
      <c r="W486" s="14" t="s">
        <v>2337</v>
      </c>
      <c r="X486" s="24"/>
      <c r="Y486" s="24"/>
      <c r="Z486" s="19" t="s">
        <v>2338</v>
      </c>
      <c r="AA486" s="19" t="s">
        <v>78</v>
      </c>
      <c r="AB486" s="20">
        <v>44356.0</v>
      </c>
      <c r="AC486" s="18"/>
      <c r="AD486" s="18"/>
      <c r="AE486" s="21"/>
      <c r="AF486" s="18"/>
      <c r="AG486" s="21"/>
      <c r="AH486" s="18"/>
      <c r="AI486" s="18"/>
      <c r="AJ486" s="18"/>
      <c r="AK486" s="19" t="s">
        <v>55</v>
      </c>
      <c r="AL486" s="18"/>
      <c r="AM486" s="18"/>
      <c r="AN486" s="18"/>
      <c r="AO486" s="18"/>
      <c r="AP486" s="22" t="s">
        <v>56</v>
      </c>
      <c r="AQ486" s="18"/>
    </row>
    <row r="487">
      <c r="A487" s="11" t="s">
        <v>2339</v>
      </c>
      <c r="B487" s="11" t="s">
        <v>2340</v>
      </c>
      <c r="C487" s="11" t="str">
        <f>VLOOKUP(A487,import!A:C,3,0)</f>
        <v>DOĞRU</v>
      </c>
      <c r="D487" s="11" t="s">
        <v>165</v>
      </c>
      <c r="E487" s="11">
        <f>VLOOKUP(A487,import!A:J,5,0)</f>
        <v>81</v>
      </c>
      <c r="F487" s="11">
        <f>VLOOKUP(A487,import!A:J,6,0)</f>
        <v>5</v>
      </c>
      <c r="G487" s="11">
        <f>VLOOKUP(A487,import!A:J,7,0)</f>
        <v>0</v>
      </c>
      <c r="H487" s="11">
        <f>VLOOKUP(A487,import!A:J,8,0)</f>
        <v>14</v>
      </c>
      <c r="I487" s="11">
        <f>VLOOKUP(A487,import!A:J,9,0)</f>
        <v>14</v>
      </c>
      <c r="J487" s="12">
        <f>VLOOKUP(A487,import!A:J,10,0)</f>
        <v>0</v>
      </c>
      <c r="K487" s="11" t="s">
        <v>2341</v>
      </c>
      <c r="L487" s="11">
        <v>3.524377125E9</v>
      </c>
      <c r="M487" s="11" t="s">
        <v>47</v>
      </c>
      <c r="N487" s="11" t="s">
        <v>131</v>
      </c>
      <c r="O487" s="11" t="s">
        <v>2342</v>
      </c>
      <c r="P487" s="11" t="str">
        <f>VLOOKUP(A487,import!A:P,16,0)</f>
        <v>Geleneksel</v>
      </c>
      <c r="Q487" s="13"/>
      <c r="R487" s="13" t="b">
        <v>1</v>
      </c>
      <c r="S487" s="13" t="b">
        <v>0</v>
      </c>
      <c r="T487" s="14" t="s">
        <v>133</v>
      </c>
      <c r="U487" s="14" t="s">
        <v>110</v>
      </c>
      <c r="V487" s="23" t="s">
        <v>76</v>
      </c>
      <c r="W487" s="14" t="s">
        <v>2343</v>
      </c>
      <c r="X487" s="24">
        <v>44614.0</v>
      </c>
      <c r="Y487" s="24">
        <v>44615.0</v>
      </c>
      <c r="Z487" s="18"/>
      <c r="AA487" s="19" t="s">
        <v>54</v>
      </c>
      <c r="AB487" s="20">
        <v>44477.0</v>
      </c>
      <c r="AC487" s="19" t="s">
        <v>54</v>
      </c>
      <c r="AD487" s="20">
        <v>44589.0</v>
      </c>
      <c r="AE487" s="19" t="s">
        <v>54</v>
      </c>
      <c r="AF487" s="20">
        <v>44592.0</v>
      </c>
      <c r="AG487" s="19" t="s">
        <v>54</v>
      </c>
      <c r="AH487" s="20">
        <v>44614.0</v>
      </c>
      <c r="AI487" s="19" t="s">
        <v>54</v>
      </c>
      <c r="AJ487" s="20">
        <v>44636.0</v>
      </c>
      <c r="AK487" s="19" t="s">
        <v>95</v>
      </c>
      <c r="AL487" s="19" t="s">
        <v>110</v>
      </c>
      <c r="AM487" s="19" t="s">
        <v>110</v>
      </c>
      <c r="AN487" s="19" t="s">
        <v>110</v>
      </c>
      <c r="AO487" s="19" t="s">
        <v>110</v>
      </c>
      <c r="AP487" s="22" t="s">
        <v>56</v>
      </c>
      <c r="AQ487" s="18"/>
    </row>
    <row r="488">
      <c r="A488" s="11" t="s">
        <v>2344</v>
      </c>
      <c r="B488" s="11" t="s">
        <v>2345</v>
      </c>
      <c r="C488" s="11" t="str">
        <f>VLOOKUP(A488,import!A:C,3,0)</f>
        <v>DOĞRU</v>
      </c>
      <c r="D488" s="11" t="s">
        <v>165</v>
      </c>
      <c r="E488" s="11">
        <f>VLOOKUP(A488,import!A:J,5,0)</f>
        <v>252</v>
      </c>
      <c r="F488" s="11" t="str">
        <f>VLOOKUP(A488,import!A:J,6,0)</f>
        <v/>
      </c>
      <c r="G488" s="11">
        <f>VLOOKUP(A488,import!A:J,7,0)</f>
        <v>0</v>
      </c>
      <c r="H488" s="11">
        <f>VLOOKUP(A488,import!A:J,8,0)</f>
        <v>4</v>
      </c>
      <c r="I488" s="11">
        <f>VLOOKUP(A488,import!A:J,9,0)</f>
        <v>4</v>
      </c>
      <c r="J488" s="12">
        <f>VLOOKUP(A488,import!A:J,10,0)</f>
        <v>0</v>
      </c>
      <c r="K488" s="11" t="s">
        <v>2346</v>
      </c>
      <c r="L488" s="11">
        <v>3.522403849E9</v>
      </c>
      <c r="M488" s="11" t="s">
        <v>71</v>
      </c>
      <c r="N488" s="11" t="s">
        <v>1593</v>
      </c>
      <c r="O488" s="11" t="s">
        <v>2347</v>
      </c>
      <c r="P488" s="11" t="str">
        <f>VLOOKUP(A488,import!A:P,16,0)</f>
        <v>Geleneksel</v>
      </c>
      <c r="Q488" s="13"/>
      <c r="R488" s="13" t="b">
        <v>1</v>
      </c>
      <c r="S488" s="13" t="b">
        <v>0</v>
      </c>
      <c r="T488" s="14"/>
      <c r="U488" s="14"/>
      <c r="V488" s="14"/>
      <c r="W488" s="14" t="s">
        <v>2348</v>
      </c>
      <c r="X488" s="24"/>
      <c r="Y488" s="24"/>
      <c r="Z488" s="18"/>
      <c r="AA488" s="19"/>
      <c r="AB488" s="20"/>
      <c r="AC488" s="19"/>
      <c r="AD488" s="20"/>
      <c r="AE488" s="21"/>
      <c r="AF488" s="18"/>
      <c r="AG488" s="21"/>
      <c r="AH488" s="18"/>
      <c r="AI488" s="18"/>
      <c r="AJ488" s="18"/>
      <c r="AK488" s="19"/>
      <c r="AL488" s="19"/>
      <c r="AM488" s="18"/>
      <c r="AN488" s="18"/>
      <c r="AO488" s="18"/>
      <c r="AP488" s="22" t="s">
        <v>56</v>
      </c>
      <c r="AQ488" s="18"/>
    </row>
    <row r="489">
      <c r="A489" s="11" t="s">
        <v>2349</v>
      </c>
      <c r="B489" s="11" t="s">
        <v>2350</v>
      </c>
      <c r="C489" s="11" t="str">
        <f>VLOOKUP(A489,import!A:C,3,0)</f>
        <v>DOĞRU</v>
      </c>
      <c r="D489" s="11" t="s">
        <v>69</v>
      </c>
      <c r="E489" s="11">
        <f>VLOOKUP(A489,import!A:J,5,0)</f>
        <v>2223</v>
      </c>
      <c r="F489" s="11" t="str">
        <f>VLOOKUP(A489,import!A:J,6,0)</f>
        <v/>
      </c>
      <c r="G489" s="11">
        <f>VLOOKUP(A489,import!A:J,7,0)</f>
        <v>0</v>
      </c>
      <c r="H489" s="11">
        <f>VLOOKUP(A489,import!A:J,8,0)</f>
        <v>52</v>
      </c>
      <c r="I489" s="11">
        <f>VLOOKUP(A489,import!A:J,9,0)</f>
        <v>52</v>
      </c>
      <c r="J489" s="12">
        <f>VLOOKUP(A489,import!A:J,10,0)</f>
        <v>0</v>
      </c>
      <c r="K489" s="11" t="s">
        <v>2351</v>
      </c>
      <c r="L489" s="11">
        <v>3.523332023E9</v>
      </c>
      <c r="M489" s="11" t="s">
        <v>47</v>
      </c>
      <c r="N489" s="11" t="s">
        <v>401</v>
      </c>
      <c r="O489" s="11" t="s">
        <v>2352</v>
      </c>
      <c r="P489" s="11" t="str">
        <f>VLOOKUP(A489,import!A:P,16,0)</f>
        <v>Geleneksel</v>
      </c>
      <c r="Q489" s="13"/>
      <c r="R489" s="13" t="b">
        <v>1</v>
      </c>
      <c r="S489" s="13" t="b">
        <v>0</v>
      </c>
      <c r="T489" s="14" t="s">
        <v>168</v>
      </c>
      <c r="U489" s="14"/>
      <c r="V489" s="14"/>
      <c r="W489" s="14" t="s">
        <v>2353</v>
      </c>
      <c r="X489" s="24"/>
      <c r="Y489" s="24"/>
      <c r="Z489" s="18"/>
      <c r="AA489" s="19" t="s">
        <v>54</v>
      </c>
      <c r="AB489" s="20">
        <v>44358.0</v>
      </c>
      <c r="AC489" s="19" t="s">
        <v>54</v>
      </c>
      <c r="AD489" s="20">
        <v>44631.0</v>
      </c>
      <c r="AE489" s="21"/>
      <c r="AF489" s="18"/>
      <c r="AG489" s="21"/>
      <c r="AH489" s="18"/>
      <c r="AI489" s="18"/>
      <c r="AJ489" s="18"/>
      <c r="AK489" s="18"/>
      <c r="AL489" s="19" t="s">
        <v>86</v>
      </c>
      <c r="AM489" s="18"/>
      <c r="AN489" s="18"/>
      <c r="AO489" s="18"/>
      <c r="AP489" s="22" t="s">
        <v>56</v>
      </c>
      <c r="AQ489" s="18"/>
    </row>
    <row r="490">
      <c r="A490" s="11" t="s">
        <v>2354</v>
      </c>
      <c r="B490" s="11" t="s">
        <v>2355</v>
      </c>
      <c r="C490" s="11" t="str">
        <f>VLOOKUP(A490,import!A:C,3,0)</f>
        <v>DOĞRU</v>
      </c>
      <c r="D490" s="11" t="s">
        <v>406</v>
      </c>
      <c r="E490" s="11">
        <f>VLOOKUP(A490,import!A:J,5,0)</f>
        <v>34</v>
      </c>
      <c r="F490" s="11">
        <f>VLOOKUP(A490,import!A:J,6,0)</f>
        <v>25</v>
      </c>
      <c r="G490" s="11">
        <f>VLOOKUP(A490,import!A:J,7,0)</f>
        <v>20</v>
      </c>
      <c r="H490" s="11">
        <f>VLOOKUP(A490,import!A:J,8,0)</f>
        <v>19</v>
      </c>
      <c r="I490" s="11">
        <f>VLOOKUP(A490,import!A:J,9,0)</f>
        <v>39</v>
      </c>
      <c r="J490" s="12">
        <f>VLOOKUP(A490,import!A:J,10,0)</f>
        <v>0.51</v>
      </c>
      <c r="K490" s="11" t="s">
        <v>2356</v>
      </c>
      <c r="L490" s="11">
        <v>3.529991039E9</v>
      </c>
      <c r="M490" s="11" t="s">
        <v>47</v>
      </c>
      <c r="N490" s="11" t="s">
        <v>1406</v>
      </c>
      <c r="O490" s="11" t="s">
        <v>2357</v>
      </c>
      <c r="P490" s="11" t="str">
        <f>VLOOKUP(A490,import!A:P,16,0)</f>
        <v>Geleneksel</v>
      </c>
      <c r="Q490" s="13"/>
      <c r="R490" s="13" t="b">
        <v>1</v>
      </c>
      <c r="S490" s="13" t="b">
        <v>0</v>
      </c>
      <c r="T490" s="14" t="s">
        <v>74</v>
      </c>
      <c r="U490" s="14" t="s">
        <v>110</v>
      </c>
      <c r="V490" s="30" t="s">
        <v>76</v>
      </c>
      <c r="W490" s="14"/>
      <c r="X490" s="24">
        <v>44648.0</v>
      </c>
      <c r="Y490" s="24">
        <v>44649.0</v>
      </c>
      <c r="Z490" s="18"/>
      <c r="AA490" s="19" t="s">
        <v>54</v>
      </c>
      <c r="AB490" s="20">
        <v>44648.0</v>
      </c>
      <c r="AC490" s="19"/>
      <c r="AD490" s="20"/>
      <c r="AE490" s="19"/>
      <c r="AF490" s="20"/>
      <c r="AG490" s="21"/>
      <c r="AH490" s="18"/>
      <c r="AI490" s="18"/>
      <c r="AJ490" s="18"/>
      <c r="AK490" s="19" t="s">
        <v>110</v>
      </c>
      <c r="AL490" s="19"/>
      <c r="AM490" s="19"/>
      <c r="AN490" s="18"/>
      <c r="AO490" s="18"/>
      <c r="AP490" s="22"/>
      <c r="AQ490" s="18"/>
    </row>
    <row r="491">
      <c r="A491" s="11" t="s">
        <v>2358</v>
      </c>
      <c r="B491" s="11" t="s">
        <v>2359</v>
      </c>
      <c r="C491" s="11" t="str">
        <f>VLOOKUP(A491,import!A:C,3,0)</f>
        <v>DOĞRU</v>
      </c>
      <c r="D491" s="11" t="s">
        <v>59</v>
      </c>
      <c r="E491" s="11">
        <f>VLOOKUP(A491,import!A:J,5,0)</f>
        <v>844</v>
      </c>
      <c r="F491" s="11">
        <f>VLOOKUP(A491,import!A:J,6,0)</f>
        <v>88</v>
      </c>
      <c r="G491" s="11">
        <f>VLOOKUP(A491,import!A:J,7,0)</f>
        <v>2</v>
      </c>
      <c r="H491" s="11">
        <f>VLOOKUP(A491,import!A:J,8,0)</f>
        <v>40</v>
      </c>
      <c r="I491" s="11">
        <f>VLOOKUP(A491,import!A:J,9,0)</f>
        <v>42</v>
      </c>
      <c r="J491" s="12">
        <f>VLOOKUP(A491,import!A:J,10,0)</f>
        <v>0.05</v>
      </c>
      <c r="K491" s="11" t="s">
        <v>831</v>
      </c>
      <c r="L491" s="11">
        <v>3.522233838E9</v>
      </c>
      <c r="M491" s="11" t="s">
        <v>71</v>
      </c>
      <c r="N491" s="11" t="s">
        <v>684</v>
      </c>
      <c r="O491" s="11" t="s">
        <v>832</v>
      </c>
      <c r="P491" s="11" t="str">
        <f>VLOOKUP(A491,import!A:P,16,0)</f>
        <v>Geleneksel</v>
      </c>
      <c r="Q491" s="13"/>
      <c r="R491" s="13" t="b">
        <v>1</v>
      </c>
      <c r="S491" s="13" t="b">
        <v>1</v>
      </c>
      <c r="T491" s="14"/>
      <c r="U491" s="14"/>
      <c r="V491" s="14"/>
      <c r="W491" s="14" t="s">
        <v>2360</v>
      </c>
      <c r="X491" s="24"/>
      <c r="Y491" s="24"/>
      <c r="Z491" s="18"/>
      <c r="AA491" s="19" t="s">
        <v>54</v>
      </c>
      <c r="AB491" s="20">
        <v>44611.0</v>
      </c>
      <c r="AC491" s="19"/>
      <c r="AD491" s="20"/>
      <c r="AE491" s="21"/>
      <c r="AF491" s="18"/>
      <c r="AG491" s="21"/>
      <c r="AH491" s="18"/>
      <c r="AI491" s="18"/>
      <c r="AJ491" s="18"/>
      <c r="AK491" s="19" t="s">
        <v>381</v>
      </c>
      <c r="AL491" s="19"/>
      <c r="AM491" s="18"/>
      <c r="AN491" s="18"/>
      <c r="AO491" s="18"/>
      <c r="AP491" s="22" t="s">
        <v>56</v>
      </c>
      <c r="AQ491" s="18"/>
    </row>
    <row r="492">
      <c r="A492" s="11" t="s">
        <v>2361</v>
      </c>
      <c r="B492" s="11" t="s">
        <v>2362</v>
      </c>
      <c r="C492" s="11" t="str">
        <f>VLOOKUP(A492,import!A:C,3,0)</f>
        <v>DOĞRU</v>
      </c>
      <c r="D492" s="11" t="s">
        <v>69</v>
      </c>
      <c r="E492" s="11">
        <f>VLOOKUP(A492,import!A:J,5,0)</f>
        <v>33</v>
      </c>
      <c r="F492" s="11">
        <f>VLOOKUP(A492,import!A:J,6,0)</f>
        <v>11</v>
      </c>
      <c r="G492" s="11">
        <f>VLOOKUP(A492,import!A:J,7,0)</f>
        <v>25</v>
      </c>
      <c r="H492" s="11">
        <f>VLOOKUP(A492,import!A:J,8,0)</f>
        <v>20</v>
      </c>
      <c r="I492" s="11">
        <f>VLOOKUP(A492,import!A:J,9,0)</f>
        <v>45</v>
      </c>
      <c r="J492" s="12">
        <f>VLOOKUP(A492,import!A:J,10,0)</f>
        <v>0.56</v>
      </c>
      <c r="K492" s="11" t="s">
        <v>1396</v>
      </c>
      <c r="L492" s="11">
        <v>3.523440132E9</v>
      </c>
      <c r="M492" s="11" t="s">
        <v>71</v>
      </c>
      <c r="N492" s="11" t="s">
        <v>214</v>
      </c>
      <c r="O492" s="11" t="s">
        <v>1397</v>
      </c>
      <c r="P492" s="11" t="str">
        <f>VLOOKUP(A492,import!A:P,16,0)</f>
        <v>Geleneksel</v>
      </c>
      <c r="Q492" s="13"/>
      <c r="R492" s="13" t="b">
        <v>1</v>
      </c>
      <c r="S492" s="13" t="b">
        <v>0</v>
      </c>
      <c r="T492" s="14" t="s">
        <v>74</v>
      </c>
      <c r="U492" s="14" t="s">
        <v>75</v>
      </c>
      <c r="V492" s="30" t="s">
        <v>76</v>
      </c>
      <c r="W492" s="14" t="s">
        <v>2363</v>
      </c>
      <c r="X492" s="24">
        <v>44617.0</v>
      </c>
      <c r="Y492" s="24">
        <v>44620.0</v>
      </c>
      <c r="Z492" s="18"/>
      <c r="AA492" s="19" t="s">
        <v>54</v>
      </c>
      <c r="AB492" s="24">
        <v>44617.0</v>
      </c>
      <c r="AC492" s="19"/>
      <c r="AD492" s="20"/>
      <c r="AE492" s="19"/>
      <c r="AF492" s="20"/>
      <c r="AG492" s="21"/>
      <c r="AH492" s="18"/>
      <c r="AI492" s="18"/>
      <c r="AJ492" s="18"/>
      <c r="AK492" s="19" t="s">
        <v>75</v>
      </c>
      <c r="AL492" s="19"/>
      <c r="AM492" s="19"/>
      <c r="AN492" s="18"/>
      <c r="AO492" s="18"/>
      <c r="AP492" s="22"/>
      <c r="AQ492" s="18"/>
    </row>
    <row r="493">
      <c r="A493" s="11" t="s">
        <v>2364</v>
      </c>
      <c r="B493" s="11" t="s">
        <v>2365</v>
      </c>
      <c r="C493" s="11" t="str">
        <f>VLOOKUP(A493,import!A:C,3,0)</f>
        <v>YANLIŞ</v>
      </c>
      <c r="D493" s="11" t="s">
        <v>165</v>
      </c>
      <c r="E493" s="11">
        <f>VLOOKUP(A493,import!A:J,5,0)</f>
        <v>455</v>
      </c>
      <c r="F493" s="11" t="str">
        <f>VLOOKUP(A493,import!A:J,6,0)</f>
        <v/>
      </c>
      <c r="G493" s="11">
        <f>VLOOKUP(A493,import!A:J,7,0)</f>
        <v>0</v>
      </c>
      <c r="H493" s="11">
        <f>VLOOKUP(A493,import!A:J,8,0)</f>
        <v>33</v>
      </c>
      <c r="I493" s="11">
        <f>VLOOKUP(A493,import!A:J,9,0)</f>
        <v>33</v>
      </c>
      <c r="J493" s="12">
        <f>VLOOKUP(A493,import!A:J,10,0)</f>
        <v>0</v>
      </c>
      <c r="K493" s="11" t="s">
        <v>430</v>
      </c>
      <c r="L493" s="11">
        <v>3.522345007E9</v>
      </c>
      <c r="M493" s="11" t="s">
        <v>47</v>
      </c>
      <c r="N493" s="11" t="s">
        <v>271</v>
      </c>
      <c r="O493" s="11" t="s">
        <v>2366</v>
      </c>
      <c r="P493" s="11" t="str">
        <f>VLOOKUP(A493,import!A:P,16,0)</f>
        <v>Geleneksel</v>
      </c>
      <c r="Q493" s="13"/>
      <c r="R493" s="13" t="b">
        <v>1</v>
      </c>
      <c r="S493" s="13" t="b">
        <v>0</v>
      </c>
      <c r="T493" s="14" t="s">
        <v>64</v>
      </c>
      <c r="U493" s="14"/>
      <c r="V493" s="14"/>
      <c r="W493" s="14" t="s">
        <v>2367</v>
      </c>
      <c r="X493" s="24"/>
      <c r="Y493" s="24"/>
      <c r="Z493" s="18"/>
      <c r="AA493" s="19" t="s">
        <v>78</v>
      </c>
      <c r="AB493" s="20">
        <v>44476.0</v>
      </c>
      <c r="AC493" s="19" t="s">
        <v>64</v>
      </c>
      <c r="AD493" s="20">
        <v>44601.0</v>
      </c>
      <c r="AE493" s="19" t="s">
        <v>53</v>
      </c>
      <c r="AF493" s="20">
        <v>44631.0</v>
      </c>
      <c r="AG493" s="19" t="s">
        <v>347</v>
      </c>
      <c r="AH493" s="20">
        <v>44635.0</v>
      </c>
      <c r="AI493" s="19" t="s">
        <v>54</v>
      </c>
      <c r="AJ493" s="20">
        <v>44663.0</v>
      </c>
      <c r="AK493" s="19" t="s">
        <v>95</v>
      </c>
      <c r="AL493" s="19" t="s">
        <v>110</v>
      </c>
      <c r="AM493" s="19" t="s">
        <v>86</v>
      </c>
      <c r="AN493" s="19" t="s">
        <v>110</v>
      </c>
      <c r="AO493" s="19" t="s">
        <v>110</v>
      </c>
      <c r="AP493" s="22" t="s">
        <v>56</v>
      </c>
      <c r="AQ493" s="18"/>
    </row>
    <row r="494">
      <c r="A494" s="11" t="s">
        <v>2368</v>
      </c>
      <c r="B494" s="11" t="s">
        <v>2369</v>
      </c>
      <c r="C494" s="11" t="str">
        <f>VLOOKUP(A494,import!A:C,3,0)</f>
        <v>DOĞRU</v>
      </c>
      <c r="D494" s="11" t="s">
        <v>406</v>
      </c>
      <c r="E494" s="11">
        <f>VLOOKUP(A494,import!A:J,5,0)</f>
        <v>1512</v>
      </c>
      <c r="F494" s="11">
        <f>VLOOKUP(A494,import!A:J,6,0)</f>
        <v>21</v>
      </c>
      <c r="G494" s="11">
        <f>VLOOKUP(A494,import!A:J,7,0)</f>
        <v>5</v>
      </c>
      <c r="H494" s="11">
        <f>VLOOKUP(A494,import!A:J,8,0)</f>
        <v>1</v>
      </c>
      <c r="I494" s="11">
        <f>VLOOKUP(A494,import!A:J,9,0)</f>
        <v>6</v>
      </c>
      <c r="J494" s="12">
        <f>VLOOKUP(A494,import!A:J,10,0)</f>
        <v>0.83</v>
      </c>
      <c r="K494" s="11" t="s">
        <v>2370</v>
      </c>
      <c r="L494" s="11">
        <v>3.522471199E9</v>
      </c>
      <c r="M494" s="11" t="s">
        <v>47</v>
      </c>
      <c r="N494" s="11" t="s">
        <v>48</v>
      </c>
      <c r="O494" s="11" t="s">
        <v>2371</v>
      </c>
      <c r="P494" s="11" t="str">
        <f>VLOOKUP(A494,import!A:P,16,0)</f>
        <v>Geleneksel</v>
      </c>
      <c r="Q494" s="13"/>
      <c r="R494" s="13" t="b">
        <v>1</v>
      </c>
      <c r="S494" s="13" t="b">
        <v>0</v>
      </c>
      <c r="T494" s="14" t="s">
        <v>74</v>
      </c>
      <c r="U494" s="14" t="s">
        <v>181</v>
      </c>
      <c r="V494" s="14" t="s">
        <v>96</v>
      </c>
      <c r="W494" s="14"/>
      <c r="X494" s="24">
        <v>44299.0</v>
      </c>
      <c r="Y494" s="24">
        <v>44301.0</v>
      </c>
      <c r="Z494" s="18"/>
      <c r="AA494" s="18"/>
      <c r="AB494" s="18"/>
      <c r="AC494" s="18"/>
      <c r="AD494" s="18"/>
      <c r="AE494" s="21"/>
      <c r="AF494" s="18"/>
      <c r="AG494" s="21"/>
      <c r="AH494" s="18"/>
      <c r="AI494" s="18"/>
      <c r="AJ494" s="18"/>
      <c r="AK494" s="18"/>
      <c r="AL494" s="18"/>
      <c r="AM494" s="18"/>
      <c r="AN494" s="18"/>
      <c r="AO494" s="18"/>
      <c r="AP494" s="22" t="s">
        <v>56</v>
      </c>
      <c r="AQ494" s="18"/>
    </row>
    <row r="495">
      <c r="A495" s="11" t="s">
        <v>2372</v>
      </c>
      <c r="B495" s="11" t="s">
        <v>2373</v>
      </c>
      <c r="C495" s="11" t="str">
        <f>VLOOKUP(A495,import!A:C,3,0)</f>
        <v>DOĞRU</v>
      </c>
      <c r="D495" s="11" t="s">
        <v>1641</v>
      </c>
      <c r="E495" s="11">
        <f>VLOOKUP(A495,import!A:J,5,0)</f>
        <v>3</v>
      </c>
      <c r="F495" s="11">
        <f>VLOOKUP(A495,import!A:J,6,0)</f>
        <v>2</v>
      </c>
      <c r="G495" s="11">
        <f>VLOOKUP(A495,import!A:J,7,0)</f>
        <v>20</v>
      </c>
      <c r="H495" s="11">
        <f>VLOOKUP(A495,import!A:J,8,0)</f>
        <v>1</v>
      </c>
      <c r="I495" s="11">
        <f>VLOOKUP(A495,import!A:J,9,0)</f>
        <v>21</v>
      </c>
      <c r="J495" s="12">
        <f>VLOOKUP(A495,import!A:J,10,0)</f>
        <v>0.95</v>
      </c>
      <c r="K495" s="11" t="s">
        <v>2374</v>
      </c>
      <c r="L495" s="11">
        <v>5.53182943E9</v>
      </c>
      <c r="M495" s="11" t="s">
        <v>61</v>
      </c>
      <c r="N495" s="11" t="s">
        <v>62</v>
      </c>
      <c r="O495" s="11" t="s">
        <v>2375</v>
      </c>
      <c r="P495" s="11" t="str">
        <f>VLOOKUP(A495,import!A:P,16,0)</f>
        <v>Geleneksel</v>
      </c>
      <c r="Q495" s="13"/>
      <c r="R495" s="13" t="b">
        <v>1</v>
      </c>
      <c r="S495" s="13" t="b">
        <v>0</v>
      </c>
      <c r="T495" s="14" t="s">
        <v>74</v>
      </c>
      <c r="U495" s="14" t="s">
        <v>75</v>
      </c>
      <c r="V495" s="30" t="s">
        <v>76</v>
      </c>
      <c r="W495" s="14"/>
      <c r="X495" s="24">
        <v>44635.0</v>
      </c>
      <c r="Y495" s="24">
        <v>44636.0</v>
      </c>
      <c r="Z495" s="18"/>
      <c r="AA495" s="19" t="s">
        <v>54</v>
      </c>
      <c r="AB495" s="24">
        <v>44635.0</v>
      </c>
      <c r="AC495" s="19"/>
      <c r="AD495" s="20"/>
      <c r="AE495" s="19"/>
      <c r="AF495" s="20"/>
      <c r="AG495" s="21"/>
      <c r="AH495" s="18"/>
      <c r="AI495" s="18"/>
      <c r="AJ495" s="18"/>
      <c r="AK495" s="19" t="s">
        <v>75</v>
      </c>
      <c r="AL495" s="19"/>
      <c r="AM495" s="19"/>
      <c r="AN495" s="18"/>
      <c r="AO495" s="18"/>
      <c r="AP495" s="22"/>
      <c r="AQ495" s="18"/>
    </row>
    <row r="496">
      <c r="A496" s="11" t="s">
        <v>2376</v>
      </c>
      <c r="B496" s="11" t="s">
        <v>2377</v>
      </c>
      <c r="C496" s="11" t="str">
        <f>VLOOKUP(A496,import!A:C,3,0)</f>
        <v>DOĞRU</v>
      </c>
      <c r="D496" s="11" t="s">
        <v>406</v>
      </c>
      <c r="E496" s="11">
        <f>VLOOKUP(A496,import!A:J,5,0)</f>
        <v>281</v>
      </c>
      <c r="F496" s="11" t="str">
        <f>VLOOKUP(A496,import!A:J,6,0)</f>
        <v/>
      </c>
      <c r="G496" s="11">
        <f>VLOOKUP(A496,import!A:J,7,0)</f>
        <v>0</v>
      </c>
      <c r="H496" s="11">
        <f>VLOOKUP(A496,import!A:J,8,0)</f>
        <v>16</v>
      </c>
      <c r="I496" s="11">
        <f>VLOOKUP(A496,import!A:J,9,0)</f>
        <v>16</v>
      </c>
      <c r="J496" s="12">
        <f>VLOOKUP(A496,import!A:J,10,0)</f>
        <v>0</v>
      </c>
      <c r="K496" s="11" t="s">
        <v>2378</v>
      </c>
      <c r="L496" s="11">
        <v>3.522202538E9</v>
      </c>
      <c r="M496" s="11" t="s">
        <v>71</v>
      </c>
      <c r="N496" s="11" t="s">
        <v>2379</v>
      </c>
      <c r="O496" s="11" t="s">
        <v>2380</v>
      </c>
      <c r="P496" s="11" t="str">
        <f>VLOOKUP(A496,import!A:P,16,0)</f>
        <v>Geleneksel</v>
      </c>
      <c r="Q496" s="13"/>
      <c r="R496" s="13" t="b">
        <v>1</v>
      </c>
      <c r="S496" s="13" t="b">
        <v>0</v>
      </c>
      <c r="T496" s="14"/>
      <c r="U496" s="14"/>
      <c r="V496" s="14"/>
      <c r="W496" s="14" t="s">
        <v>2381</v>
      </c>
      <c r="X496" s="24"/>
      <c r="Y496" s="24"/>
      <c r="Z496" s="18"/>
      <c r="AA496" s="19" t="s">
        <v>54</v>
      </c>
      <c r="AB496" s="20">
        <v>44620.0</v>
      </c>
      <c r="AC496" s="19" t="s">
        <v>54</v>
      </c>
      <c r="AD496" s="20">
        <v>44662.0</v>
      </c>
      <c r="AE496" s="21"/>
      <c r="AF496" s="18"/>
      <c r="AG496" s="21"/>
      <c r="AH496" s="18"/>
      <c r="AI496" s="18"/>
      <c r="AJ496" s="18"/>
      <c r="AK496" s="19" t="s">
        <v>110</v>
      </c>
      <c r="AL496" s="19" t="s">
        <v>110</v>
      </c>
      <c r="AM496" s="18"/>
      <c r="AN496" s="18"/>
      <c r="AO496" s="18"/>
      <c r="AP496" s="22" t="s">
        <v>56</v>
      </c>
      <c r="AQ496" s="18"/>
    </row>
    <row r="497">
      <c r="A497" s="11" t="s">
        <v>2382</v>
      </c>
      <c r="B497" s="11" t="s">
        <v>2383</v>
      </c>
      <c r="C497" s="11" t="str">
        <f>VLOOKUP(A497,import!A:C,3,0)</f>
        <v>DOĞRU</v>
      </c>
      <c r="D497" s="11" t="s">
        <v>100</v>
      </c>
      <c r="E497" s="11">
        <f>VLOOKUP(A497,import!A:J,5,0)</f>
        <v>157</v>
      </c>
      <c r="F497" s="11" t="str">
        <f>VLOOKUP(A497,import!A:J,6,0)</f>
        <v/>
      </c>
      <c r="G497" s="11">
        <f>VLOOKUP(A497,import!A:J,7,0)</f>
        <v>8</v>
      </c>
      <c r="H497" s="11">
        <f>VLOOKUP(A497,import!A:J,8,0)</f>
        <v>1</v>
      </c>
      <c r="I497" s="11">
        <f>VLOOKUP(A497,import!A:J,9,0)</f>
        <v>9</v>
      </c>
      <c r="J497" s="12">
        <f>VLOOKUP(A497,import!A:J,10,0)</f>
        <v>0.89</v>
      </c>
      <c r="K497" s="11" t="s">
        <v>2384</v>
      </c>
      <c r="L497" s="11">
        <v>5.013331038E9</v>
      </c>
      <c r="M497" s="11" t="s">
        <v>47</v>
      </c>
      <c r="N497" s="11" t="s">
        <v>131</v>
      </c>
      <c r="O497" s="11" t="s">
        <v>2385</v>
      </c>
      <c r="P497" s="11" t="str">
        <f>VLOOKUP(A497,import!A:P,16,0)</f>
        <v>Geleneksel</v>
      </c>
      <c r="Q497" s="13"/>
      <c r="R497" s="13" t="b">
        <v>1</v>
      </c>
      <c r="S497" s="13" t="b">
        <v>0</v>
      </c>
      <c r="T497" s="14" t="s">
        <v>74</v>
      </c>
      <c r="U497" s="14" t="s">
        <v>140</v>
      </c>
      <c r="V497" s="23" t="s">
        <v>76</v>
      </c>
      <c r="W497" s="14" t="s">
        <v>2386</v>
      </c>
      <c r="X497" s="24">
        <v>44599.0</v>
      </c>
      <c r="Y497" s="24">
        <v>44599.0</v>
      </c>
      <c r="Z497" s="18"/>
      <c r="AA497" s="19" t="s">
        <v>54</v>
      </c>
      <c r="AB497" s="20">
        <v>44599.0</v>
      </c>
      <c r="AC497" s="19"/>
      <c r="AD497" s="20"/>
      <c r="AE497" s="21"/>
      <c r="AF497" s="18"/>
      <c r="AG497" s="21"/>
      <c r="AH497" s="18"/>
      <c r="AI497" s="18"/>
      <c r="AJ497" s="18"/>
      <c r="AK497" s="19" t="s">
        <v>140</v>
      </c>
      <c r="AL497" s="19"/>
      <c r="AM497" s="18"/>
      <c r="AN497" s="18"/>
      <c r="AO497" s="18"/>
      <c r="AP497" s="22" t="s">
        <v>56</v>
      </c>
      <c r="AQ497" s="18"/>
    </row>
    <row r="498">
      <c r="A498" s="11" t="s">
        <v>2387</v>
      </c>
      <c r="B498" s="11" t="s">
        <v>2388</v>
      </c>
      <c r="C498" s="11" t="str">
        <f>VLOOKUP(A498,import!A:C,3,0)</f>
        <v>DOĞRU</v>
      </c>
      <c r="D498" s="11" t="s">
        <v>100</v>
      </c>
      <c r="E498" s="11">
        <f>VLOOKUP(A498,import!A:J,5,0)</f>
        <v>872</v>
      </c>
      <c r="F498" s="11">
        <f>VLOOKUP(A498,import!A:J,6,0)</f>
        <v>39</v>
      </c>
      <c r="G498" s="11">
        <f>VLOOKUP(A498,import!A:J,7,0)</f>
        <v>0</v>
      </c>
      <c r="H498" s="11">
        <f>VLOOKUP(A498,import!A:J,8,0)</f>
        <v>28</v>
      </c>
      <c r="I498" s="11">
        <f>VLOOKUP(A498,import!A:J,9,0)</f>
        <v>28</v>
      </c>
      <c r="J498" s="12">
        <f>VLOOKUP(A498,import!A:J,10,0)</f>
        <v>0</v>
      </c>
      <c r="K498" s="11" t="s">
        <v>2389</v>
      </c>
      <c r="L498" s="11">
        <v>3.529990924E9</v>
      </c>
      <c r="M498" s="11" t="s">
        <v>71</v>
      </c>
      <c r="N498" s="11" t="s">
        <v>797</v>
      </c>
      <c r="O498" s="11" t="s">
        <v>2390</v>
      </c>
      <c r="P498" s="11" t="str">
        <f>VLOOKUP(A498,import!A:P,16,0)</f>
        <v>Geleneksel</v>
      </c>
      <c r="Q498" s="13"/>
      <c r="R498" s="13" t="b">
        <v>1</v>
      </c>
      <c r="S498" s="13" t="b">
        <v>0</v>
      </c>
      <c r="T498" s="14" t="s">
        <v>50</v>
      </c>
      <c r="U498" s="14"/>
      <c r="V498" s="14"/>
      <c r="W498" s="14"/>
      <c r="X498" s="24"/>
      <c r="Y498" s="24"/>
      <c r="Z498" s="18"/>
      <c r="AA498" s="19"/>
      <c r="AB498" s="20"/>
      <c r="AC498" s="19"/>
      <c r="AD498" s="20"/>
      <c r="AE498" s="21"/>
      <c r="AF498" s="18"/>
      <c r="AG498" s="21"/>
      <c r="AH498" s="18"/>
      <c r="AI498" s="18"/>
      <c r="AJ498" s="18"/>
      <c r="AK498" s="19"/>
      <c r="AL498" s="19"/>
      <c r="AM498" s="18"/>
      <c r="AN498" s="18"/>
      <c r="AO498" s="18"/>
      <c r="AP498" s="22" t="s">
        <v>56</v>
      </c>
      <c r="AQ498" s="18"/>
    </row>
    <row r="499">
      <c r="A499" s="11" t="s">
        <v>2391</v>
      </c>
      <c r="B499" s="11" t="s">
        <v>2392</v>
      </c>
      <c r="C499" s="11" t="str">
        <f>VLOOKUP(A499,import!A:C,3,0)</f>
        <v>DOĞRU</v>
      </c>
      <c r="D499" s="11" t="s">
        <v>100</v>
      </c>
      <c r="E499" s="11">
        <f>VLOOKUP(A499,import!A:J,5,0)</f>
        <v>223</v>
      </c>
      <c r="F499" s="11">
        <f>VLOOKUP(A499,import!A:J,6,0)</f>
        <v>4</v>
      </c>
      <c r="G499" s="11">
        <f>VLOOKUP(A499,import!A:J,7,0)</f>
        <v>0</v>
      </c>
      <c r="H499" s="11">
        <f>VLOOKUP(A499,import!A:J,8,0)</f>
        <v>32</v>
      </c>
      <c r="I499" s="11">
        <f>VLOOKUP(A499,import!A:J,9,0)</f>
        <v>32</v>
      </c>
      <c r="J499" s="12">
        <f>VLOOKUP(A499,import!A:J,10,0)</f>
        <v>0</v>
      </c>
      <c r="K499" s="11" t="s">
        <v>2393</v>
      </c>
      <c r="L499" s="11">
        <v>3.522326066E9</v>
      </c>
      <c r="M499" s="11" t="s">
        <v>71</v>
      </c>
      <c r="N499" s="11" t="s">
        <v>1814</v>
      </c>
      <c r="O499" s="11" t="s">
        <v>2394</v>
      </c>
      <c r="P499" s="11" t="str">
        <f>VLOOKUP(A499,import!A:P,16,0)</f>
        <v>Geleneksel</v>
      </c>
      <c r="Q499" s="13"/>
      <c r="R499" s="13" t="b">
        <v>1</v>
      </c>
      <c r="S499" s="13" t="b">
        <v>1</v>
      </c>
      <c r="T499" s="14"/>
      <c r="U499" s="14"/>
      <c r="V499" s="14"/>
      <c r="W499" s="14" t="s">
        <v>969</v>
      </c>
      <c r="X499" s="24"/>
      <c r="Y499" s="24"/>
      <c r="Z499" s="19" t="s">
        <v>711</v>
      </c>
      <c r="AA499" s="19" t="s">
        <v>54</v>
      </c>
      <c r="AB499" s="20">
        <v>44476.0</v>
      </c>
      <c r="AC499" s="18"/>
      <c r="AD499" s="18"/>
      <c r="AE499" s="21"/>
      <c r="AF499" s="18"/>
      <c r="AG499" s="21"/>
      <c r="AH499" s="18"/>
      <c r="AI499" s="18"/>
      <c r="AJ499" s="18"/>
      <c r="AK499" s="19" t="s">
        <v>95</v>
      </c>
      <c r="AL499" s="18"/>
      <c r="AM499" s="18"/>
      <c r="AN499" s="18"/>
      <c r="AO499" s="18"/>
      <c r="AP499" s="22" t="s">
        <v>56</v>
      </c>
      <c r="AQ499" s="18"/>
    </row>
    <row r="500">
      <c r="A500" s="11" t="s">
        <v>2395</v>
      </c>
      <c r="B500" s="11" t="s">
        <v>2396</v>
      </c>
      <c r="C500" s="11" t="str">
        <f>VLOOKUP(A500,import!A:C,3,0)</f>
        <v>DOĞRU</v>
      </c>
      <c r="D500" s="11" t="s">
        <v>100</v>
      </c>
      <c r="E500" s="11">
        <f>VLOOKUP(A500,import!A:J,5,0)</f>
        <v>481</v>
      </c>
      <c r="F500" s="11">
        <f>VLOOKUP(A500,import!A:J,6,0)</f>
        <v>20</v>
      </c>
      <c r="G500" s="11">
        <f>VLOOKUP(A500,import!A:J,7,0)</f>
        <v>9</v>
      </c>
      <c r="H500" s="11">
        <f>VLOOKUP(A500,import!A:J,8,0)</f>
        <v>6</v>
      </c>
      <c r="I500" s="11">
        <f>VLOOKUP(A500,import!A:J,9,0)</f>
        <v>15</v>
      </c>
      <c r="J500" s="12">
        <f>VLOOKUP(A500,import!A:J,10,0)</f>
        <v>0.6</v>
      </c>
      <c r="K500" s="11" t="s">
        <v>2397</v>
      </c>
      <c r="L500" s="11">
        <v>5.524531138E9</v>
      </c>
      <c r="M500" s="11" t="s">
        <v>71</v>
      </c>
      <c r="N500" s="11" t="s">
        <v>62</v>
      </c>
      <c r="O500" s="11" t="s">
        <v>2398</v>
      </c>
      <c r="P500" s="11" t="str">
        <f>VLOOKUP(A500,import!A:P,16,0)</f>
        <v>Geleneksel</v>
      </c>
      <c r="Q500" s="13"/>
      <c r="R500" s="13" t="b">
        <v>1</v>
      </c>
      <c r="S500" s="13" t="b">
        <v>0</v>
      </c>
      <c r="T500" s="14" t="s">
        <v>74</v>
      </c>
      <c r="U500" s="14" t="s">
        <v>86</v>
      </c>
      <c r="V500" s="30" t="s">
        <v>76</v>
      </c>
      <c r="W500" s="45"/>
      <c r="X500" s="24">
        <v>44611.0</v>
      </c>
      <c r="Y500" s="24">
        <v>44613.0</v>
      </c>
      <c r="Z500" s="18"/>
      <c r="AA500" s="19" t="s">
        <v>54</v>
      </c>
      <c r="AB500" s="20">
        <v>44611.0</v>
      </c>
      <c r="AC500" s="19"/>
      <c r="AD500" s="20"/>
      <c r="AE500" s="21"/>
      <c r="AF500" s="18"/>
      <c r="AG500" s="21"/>
      <c r="AH500" s="18"/>
      <c r="AI500" s="18"/>
      <c r="AJ500" s="18"/>
      <c r="AK500" s="19" t="s">
        <v>86</v>
      </c>
      <c r="AL500" s="19"/>
      <c r="AM500" s="18"/>
      <c r="AN500" s="18"/>
      <c r="AO500" s="18"/>
      <c r="AP500" s="22" t="s">
        <v>56</v>
      </c>
      <c r="AQ500" s="18"/>
    </row>
    <row r="501">
      <c r="A501" s="22" t="s">
        <v>2399</v>
      </c>
      <c r="B501" s="22" t="s">
        <v>2400</v>
      </c>
      <c r="C501" s="11" t="str">
        <f>VLOOKUP(A501,import!A:C,3,0)</f>
        <v>DOĞRU</v>
      </c>
      <c r="D501" s="22" t="s">
        <v>100</v>
      </c>
      <c r="E501" s="11" t="str">
        <f>VLOOKUP(A501,import!A:J,5,0)</f>
        <v/>
      </c>
      <c r="F501" s="11" t="str">
        <f>VLOOKUP(A501,import!A:J,6,0)</f>
        <v/>
      </c>
      <c r="G501" s="11">
        <f>VLOOKUP(A501,import!A:J,7,0)</f>
        <v>0</v>
      </c>
      <c r="H501" s="11">
        <f>VLOOKUP(A501,import!A:J,8,0)</f>
        <v>27</v>
      </c>
      <c r="I501" s="11">
        <f>VLOOKUP(A501,import!A:J,9,0)</f>
        <v>27</v>
      </c>
      <c r="J501" s="12">
        <f>VLOOKUP(A501,import!A:J,10,0)</f>
        <v>0</v>
      </c>
      <c r="K501" s="22" t="s">
        <v>2401</v>
      </c>
      <c r="L501" s="22">
        <v>5.526774138E9</v>
      </c>
      <c r="M501" s="22" t="s">
        <v>71</v>
      </c>
      <c r="N501" s="22" t="s">
        <v>1116</v>
      </c>
      <c r="O501" s="22" t="s">
        <v>2402</v>
      </c>
      <c r="P501" s="11" t="str">
        <f>VLOOKUP(A501,import!A:P,16,0)</f>
        <v>Geleneksel</v>
      </c>
      <c r="Q501" s="13"/>
      <c r="R501" s="13" t="b">
        <v>0</v>
      </c>
      <c r="S501" s="13" t="b">
        <v>0</v>
      </c>
      <c r="T501" s="14" t="s">
        <v>50</v>
      </c>
      <c r="U501" s="14"/>
      <c r="V501" s="14"/>
      <c r="W501" s="14"/>
      <c r="X501" s="24"/>
      <c r="Y501" s="24"/>
      <c r="Z501" s="18"/>
      <c r="AA501" s="19"/>
      <c r="AB501" s="20"/>
      <c r="AC501" s="19"/>
      <c r="AD501" s="20"/>
      <c r="AE501" s="19"/>
      <c r="AF501" s="20"/>
      <c r="AG501" s="21"/>
      <c r="AH501" s="18"/>
      <c r="AI501" s="18"/>
      <c r="AJ501" s="18"/>
      <c r="AK501" s="19"/>
      <c r="AL501" s="19"/>
      <c r="AM501" s="19"/>
      <c r="AN501" s="18"/>
      <c r="AO501" s="18"/>
      <c r="AP501" s="22"/>
      <c r="AQ501" s="18"/>
    </row>
    <row r="502">
      <c r="A502" s="11" t="s">
        <v>2403</v>
      </c>
      <c r="B502" s="11" t="s">
        <v>2404</v>
      </c>
      <c r="C502" s="11" t="str">
        <f>VLOOKUP(A502,import!A:C,3,0)</f>
        <v>DOĞRU</v>
      </c>
      <c r="D502" s="11" t="s">
        <v>100</v>
      </c>
      <c r="E502" s="11">
        <f>VLOOKUP(A502,import!A:J,5,0)</f>
        <v>174</v>
      </c>
      <c r="F502" s="11">
        <f>VLOOKUP(A502,import!A:J,6,0)</f>
        <v>10</v>
      </c>
      <c r="G502" s="11">
        <f>VLOOKUP(A502,import!A:J,7,0)</f>
        <v>0</v>
      </c>
      <c r="H502" s="11">
        <f>VLOOKUP(A502,import!A:J,8,0)</f>
        <v>5</v>
      </c>
      <c r="I502" s="11">
        <f>VLOOKUP(A502,import!A:J,9,0)</f>
        <v>5</v>
      </c>
      <c r="J502" s="12">
        <f>VLOOKUP(A502,import!A:J,10,0)</f>
        <v>0</v>
      </c>
      <c r="K502" s="11" t="s">
        <v>70</v>
      </c>
      <c r="L502" s="11">
        <v>3.523395958E9</v>
      </c>
      <c r="M502" s="11" t="s">
        <v>71</v>
      </c>
      <c r="N502" s="11" t="s">
        <v>72</v>
      </c>
      <c r="O502" s="11" t="s">
        <v>73</v>
      </c>
      <c r="P502" s="11" t="str">
        <f>VLOOKUP(A502,import!A:P,16,0)</f>
        <v>Geleneksel</v>
      </c>
      <c r="Q502" s="13"/>
      <c r="R502" s="13" t="b">
        <v>1</v>
      </c>
      <c r="S502" s="13" t="b">
        <v>0</v>
      </c>
      <c r="T502" s="14" t="s">
        <v>50</v>
      </c>
      <c r="U502" s="15"/>
      <c r="V502" s="15"/>
      <c r="W502" s="14"/>
      <c r="X502" s="17"/>
      <c r="Y502" s="17"/>
      <c r="Z502" s="18"/>
      <c r="AA502" s="18"/>
      <c r="AB502" s="18"/>
      <c r="AC502" s="18"/>
      <c r="AD502" s="18"/>
      <c r="AE502" s="21"/>
      <c r="AF502" s="18"/>
      <c r="AG502" s="21"/>
      <c r="AH502" s="18"/>
      <c r="AI502" s="18"/>
      <c r="AJ502" s="18"/>
      <c r="AK502" s="18"/>
      <c r="AL502" s="18"/>
      <c r="AM502" s="18"/>
      <c r="AN502" s="18"/>
      <c r="AO502" s="18"/>
      <c r="AP502" s="22" t="s">
        <v>56</v>
      </c>
      <c r="AQ502" s="18"/>
    </row>
    <row r="503">
      <c r="A503" s="11" t="s">
        <v>2405</v>
      </c>
      <c r="B503" s="11" t="s">
        <v>2406</v>
      </c>
      <c r="C503" s="11" t="str">
        <f>VLOOKUP(A503,import!A:C,3,0)</f>
        <v>YANLIŞ</v>
      </c>
      <c r="D503" s="11" t="s">
        <v>100</v>
      </c>
      <c r="E503" s="11">
        <f>VLOOKUP(A503,import!A:J,5,0)</f>
        <v>38</v>
      </c>
      <c r="F503" s="11" t="str">
        <f>VLOOKUP(A503,import!A:J,6,0)</f>
        <v/>
      </c>
      <c r="G503" s="11">
        <f>VLOOKUP(A503,import!A:J,7,0)</f>
        <v>0</v>
      </c>
      <c r="H503" s="11">
        <f>VLOOKUP(A503,import!A:J,8,0)</f>
        <v>10</v>
      </c>
      <c r="I503" s="11">
        <f>VLOOKUP(A503,import!A:J,9,0)</f>
        <v>10</v>
      </c>
      <c r="J503" s="12">
        <f>VLOOKUP(A503,import!A:J,10,0)</f>
        <v>0</v>
      </c>
      <c r="K503" s="11" t="s">
        <v>2407</v>
      </c>
      <c r="L503" s="11">
        <v>3.525026E9</v>
      </c>
      <c r="M503" s="11" t="s">
        <v>47</v>
      </c>
      <c r="N503" s="11" t="s">
        <v>138</v>
      </c>
      <c r="O503" s="11" t="s">
        <v>2408</v>
      </c>
      <c r="P503" s="11" t="str">
        <f>VLOOKUP(A503,import!A:P,16,0)</f>
        <v>Geleneksel</v>
      </c>
      <c r="Q503" s="13"/>
      <c r="R503" s="13" t="b">
        <v>1</v>
      </c>
      <c r="S503" s="13" t="b">
        <v>0</v>
      </c>
      <c r="T503" s="14" t="s">
        <v>50</v>
      </c>
      <c r="U503" s="14"/>
      <c r="V503" s="14"/>
      <c r="W503" s="14"/>
      <c r="X503" s="24"/>
      <c r="Y503" s="24"/>
      <c r="Z503" s="18"/>
      <c r="AA503" s="19"/>
      <c r="AB503" s="20"/>
      <c r="AC503" s="19"/>
      <c r="AD503" s="20"/>
      <c r="AE503" s="21"/>
      <c r="AF503" s="18"/>
      <c r="AG503" s="21"/>
      <c r="AH503" s="18"/>
      <c r="AI503" s="18"/>
      <c r="AJ503" s="18"/>
      <c r="AK503" s="19"/>
      <c r="AL503" s="19"/>
      <c r="AM503" s="18"/>
      <c r="AN503" s="18"/>
      <c r="AO503" s="18"/>
      <c r="AP503" s="22" t="s">
        <v>56</v>
      </c>
      <c r="AQ503" s="18"/>
    </row>
    <row r="504">
      <c r="A504" s="11" t="s">
        <v>2409</v>
      </c>
      <c r="B504" s="11" t="s">
        <v>2406</v>
      </c>
      <c r="C504" s="11" t="str">
        <f>VLOOKUP(A504,import!A:C,3,0)</f>
        <v>DOĞRU</v>
      </c>
      <c r="D504" s="11" t="s">
        <v>100</v>
      </c>
      <c r="E504" s="11">
        <f>VLOOKUP(A504,import!A:J,5,0)</f>
        <v>943</v>
      </c>
      <c r="F504" s="11">
        <f>VLOOKUP(A504,import!A:J,6,0)</f>
        <v>44</v>
      </c>
      <c r="G504" s="11">
        <f>VLOOKUP(A504,import!A:J,7,0)</f>
        <v>0</v>
      </c>
      <c r="H504" s="11">
        <f>VLOOKUP(A504,import!A:J,8,0)</f>
        <v>46</v>
      </c>
      <c r="I504" s="11">
        <f>VLOOKUP(A504,import!A:J,9,0)</f>
        <v>46</v>
      </c>
      <c r="J504" s="12">
        <f>VLOOKUP(A504,import!A:J,10,0)</f>
        <v>0</v>
      </c>
      <c r="K504" s="11" t="s">
        <v>2410</v>
      </c>
      <c r="L504" s="11">
        <v>3.525026E9</v>
      </c>
      <c r="M504" s="11" t="s">
        <v>47</v>
      </c>
      <c r="N504" s="11" t="s">
        <v>525</v>
      </c>
      <c r="O504" s="11" t="s">
        <v>2408</v>
      </c>
      <c r="P504" s="11" t="str">
        <f>VLOOKUP(A504,import!A:P,16,0)</f>
        <v>Geleneksel</v>
      </c>
      <c r="Q504" s="13"/>
      <c r="R504" s="13" t="b">
        <v>1</v>
      </c>
      <c r="S504" s="13" t="b">
        <v>0</v>
      </c>
      <c r="T504" s="14" t="s">
        <v>50</v>
      </c>
      <c r="U504" s="15"/>
      <c r="V504" s="15"/>
      <c r="W504" s="14" t="s">
        <v>2411</v>
      </c>
      <c r="X504" s="17"/>
      <c r="Y504" s="17"/>
      <c r="Z504" s="18"/>
      <c r="AA504" s="19" t="s">
        <v>54</v>
      </c>
      <c r="AB504" s="20">
        <v>44365.0</v>
      </c>
      <c r="AC504" s="18"/>
      <c r="AD504" s="18"/>
      <c r="AE504" s="21"/>
      <c r="AF504" s="18"/>
      <c r="AG504" s="21"/>
      <c r="AH504" s="18"/>
      <c r="AI504" s="18"/>
      <c r="AJ504" s="18"/>
      <c r="AK504" s="19" t="s">
        <v>55</v>
      </c>
      <c r="AL504" s="18"/>
      <c r="AM504" s="18"/>
      <c r="AN504" s="18"/>
      <c r="AO504" s="18"/>
      <c r="AP504" s="22" t="s">
        <v>56</v>
      </c>
      <c r="AQ504" s="18"/>
    </row>
    <row r="505">
      <c r="A505" s="11" t="s">
        <v>2412</v>
      </c>
      <c r="B505" s="11" t="s">
        <v>2413</v>
      </c>
      <c r="C505" s="11" t="str">
        <f>VLOOKUP(A505,import!A:C,3,0)</f>
        <v>DOĞRU</v>
      </c>
      <c r="D505" s="11" t="s">
        <v>100</v>
      </c>
      <c r="E505" s="11">
        <f>VLOOKUP(A505,import!A:J,5,0)</f>
        <v>40</v>
      </c>
      <c r="F505" s="11">
        <f>VLOOKUP(A505,import!A:J,6,0)</f>
        <v>1</v>
      </c>
      <c r="G505" s="11">
        <f>VLOOKUP(A505,import!A:J,7,0)</f>
        <v>5</v>
      </c>
      <c r="H505" s="11">
        <f>VLOOKUP(A505,import!A:J,8,0)</f>
        <v>5</v>
      </c>
      <c r="I505" s="11">
        <f>VLOOKUP(A505,import!A:J,9,0)</f>
        <v>10</v>
      </c>
      <c r="J505" s="12">
        <f>VLOOKUP(A505,import!A:J,10,0)</f>
        <v>0.5</v>
      </c>
      <c r="K505" s="11" t="s">
        <v>2341</v>
      </c>
      <c r="L505" s="11">
        <v>3.524377125E9</v>
      </c>
      <c r="M505" s="11" t="s">
        <v>47</v>
      </c>
      <c r="N505" s="11" t="s">
        <v>131</v>
      </c>
      <c r="O505" s="11" t="s">
        <v>2342</v>
      </c>
      <c r="P505" s="11" t="str">
        <f>VLOOKUP(A505,import!A:P,16,0)</f>
        <v>Geleneksel</v>
      </c>
      <c r="Q505" s="13"/>
      <c r="R505" s="13" t="b">
        <v>1</v>
      </c>
      <c r="S505" s="13" t="b">
        <v>0</v>
      </c>
      <c r="T505" s="14" t="s">
        <v>74</v>
      </c>
      <c r="U505" s="14" t="s">
        <v>110</v>
      </c>
      <c r="V505" s="23" t="s">
        <v>76</v>
      </c>
      <c r="W505" s="14" t="s">
        <v>2414</v>
      </c>
      <c r="X505" s="24">
        <v>44589.0</v>
      </c>
      <c r="Y505" s="24">
        <v>44592.0</v>
      </c>
      <c r="Z505" s="18"/>
      <c r="AA505" s="19" t="s">
        <v>54</v>
      </c>
      <c r="AB505" s="20">
        <v>44477.0</v>
      </c>
      <c r="AC505" s="19" t="s">
        <v>54</v>
      </c>
      <c r="AD505" s="20">
        <v>44589.0</v>
      </c>
      <c r="AE505" s="21"/>
      <c r="AF505" s="18"/>
      <c r="AG505" s="21"/>
      <c r="AH505" s="18"/>
      <c r="AI505" s="18"/>
      <c r="AJ505" s="18"/>
      <c r="AK505" s="19" t="s">
        <v>95</v>
      </c>
      <c r="AL505" s="19" t="s">
        <v>110</v>
      </c>
      <c r="AM505" s="18"/>
      <c r="AN505" s="18"/>
      <c r="AO505" s="18"/>
      <c r="AP505" s="22" t="s">
        <v>56</v>
      </c>
      <c r="AQ505" s="18"/>
    </row>
    <row r="506">
      <c r="A506" s="11" t="s">
        <v>2415</v>
      </c>
      <c r="B506" s="11" t="s">
        <v>2416</v>
      </c>
      <c r="C506" s="11" t="str">
        <f>VLOOKUP(A506,import!A:C,3,0)</f>
        <v>DOĞRU</v>
      </c>
      <c r="D506" s="11" t="s">
        <v>100</v>
      </c>
      <c r="E506" s="11">
        <f>VLOOKUP(A506,import!A:J,5,0)</f>
        <v>2</v>
      </c>
      <c r="F506" s="11" t="str">
        <f>VLOOKUP(A506,import!A:J,6,0)</f>
        <v/>
      </c>
      <c r="G506" s="11">
        <f>VLOOKUP(A506,import!A:J,7,0)</f>
        <v>0</v>
      </c>
      <c r="H506" s="11">
        <f>VLOOKUP(A506,import!A:J,8,0)</f>
        <v>10</v>
      </c>
      <c r="I506" s="11">
        <f>VLOOKUP(A506,import!A:J,9,0)</f>
        <v>10</v>
      </c>
      <c r="J506" s="12">
        <f>VLOOKUP(A506,import!A:J,10,0)</f>
        <v>0</v>
      </c>
      <c r="K506" s="11" t="s">
        <v>2384</v>
      </c>
      <c r="L506" s="11">
        <v>5.526139513E9</v>
      </c>
      <c r="M506" s="11" t="s">
        <v>47</v>
      </c>
      <c r="N506" s="11" t="s">
        <v>2417</v>
      </c>
      <c r="O506" s="11" t="s">
        <v>2418</v>
      </c>
      <c r="P506" s="11" t="str">
        <f>VLOOKUP(A506,import!A:P,16,0)</f>
        <v>Geleneksel</v>
      </c>
      <c r="Q506" s="13"/>
      <c r="R506" s="13" t="b">
        <v>1</v>
      </c>
      <c r="S506" s="13" t="b">
        <v>0</v>
      </c>
      <c r="T506" s="14" t="s">
        <v>50</v>
      </c>
      <c r="U506" s="15"/>
      <c r="V506" s="15"/>
      <c r="W506" s="14"/>
      <c r="X506" s="17"/>
      <c r="Y506" s="17"/>
      <c r="Z506" s="18"/>
      <c r="AA506" s="18"/>
      <c r="AB506" s="18"/>
      <c r="AC506" s="18"/>
      <c r="AD506" s="18"/>
      <c r="AE506" s="21"/>
      <c r="AF506" s="18"/>
      <c r="AG506" s="21"/>
      <c r="AH506" s="18"/>
      <c r="AI506" s="18"/>
      <c r="AJ506" s="18"/>
      <c r="AK506" s="18"/>
      <c r="AL506" s="18"/>
      <c r="AM506" s="18"/>
      <c r="AN506" s="18"/>
      <c r="AO506" s="18"/>
      <c r="AP506" s="22" t="s">
        <v>56</v>
      </c>
      <c r="AQ506" s="18"/>
    </row>
    <row r="507">
      <c r="A507" s="11" t="s">
        <v>2419</v>
      </c>
      <c r="B507" s="11" t="s">
        <v>2420</v>
      </c>
      <c r="C507" s="11" t="str">
        <f>VLOOKUP(A507,import!A:C,3,0)</f>
        <v>DOĞRU</v>
      </c>
      <c r="D507" s="11" t="s">
        <v>100</v>
      </c>
      <c r="E507" s="11">
        <f>VLOOKUP(A507,import!A:J,5,0)</f>
        <v>276</v>
      </c>
      <c r="F507" s="11">
        <f>VLOOKUP(A507,import!A:J,6,0)</f>
        <v>5</v>
      </c>
      <c r="G507" s="11">
        <f>VLOOKUP(A507,import!A:J,7,0)</f>
        <v>0</v>
      </c>
      <c r="H507" s="11">
        <f>VLOOKUP(A507,import!A:J,8,0)</f>
        <v>10</v>
      </c>
      <c r="I507" s="11">
        <f>VLOOKUP(A507,import!A:J,9,0)</f>
        <v>10</v>
      </c>
      <c r="J507" s="12">
        <f>VLOOKUP(A507,import!A:J,10,0)</f>
        <v>0</v>
      </c>
      <c r="K507" s="11" t="s">
        <v>2421</v>
      </c>
      <c r="L507" s="11">
        <v>3.525013501E9</v>
      </c>
      <c r="M507" s="11" t="s">
        <v>47</v>
      </c>
      <c r="N507" s="11" t="s">
        <v>482</v>
      </c>
      <c r="O507" s="11" t="s">
        <v>2422</v>
      </c>
      <c r="P507" s="11" t="str">
        <f>VLOOKUP(A507,import!A:P,16,0)</f>
        <v>Geleneksel</v>
      </c>
      <c r="Q507" s="13"/>
      <c r="R507" s="13" t="b">
        <v>1</v>
      </c>
      <c r="S507" s="13" t="b">
        <v>1</v>
      </c>
      <c r="T507" s="14"/>
      <c r="U507" s="14"/>
      <c r="V507" s="14"/>
      <c r="W507" s="14" t="s">
        <v>2423</v>
      </c>
      <c r="X507" s="24"/>
      <c r="Y507" s="24"/>
      <c r="Z507" s="18"/>
      <c r="AA507" s="19" t="s">
        <v>54</v>
      </c>
      <c r="AB507" s="20">
        <v>44589.0</v>
      </c>
      <c r="AC507" s="19"/>
      <c r="AD507" s="20"/>
      <c r="AE507" s="21"/>
      <c r="AF507" s="18"/>
      <c r="AG507" s="21"/>
      <c r="AH507" s="18"/>
      <c r="AI507" s="18"/>
      <c r="AJ507" s="18"/>
      <c r="AK507" s="19" t="s">
        <v>110</v>
      </c>
      <c r="AL507" s="19"/>
      <c r="AM507" s="18"/>
      <c r="AN507" s="18"/>
      <c r="AO507" s="18"/>
      <c r="AP507" s="22" t="s">
        <v>56</v>
      </c>
      <c r="AQ507" s="18"/>
    </row>
    <row r="508">
      <c r="A508" s="11" t="s">
        <v>2424</v>
      </c>
      <c r="B508" s="11" t="s">
        <v>2425</v>
      </c>
      <c r="C508" s="11" t="str">
        <f>VLOOKUP(A508,import!A:C,3,0)</f>
        <v>DOĞRU</v>
      </c>
      <c r="D508" s="11" t="s">
        <v>100</v>
      </c>
      <c r="E508" s="11">
        <f>VLOOKUP(A508,import!A:J,5,0)</f>
        <v>15</v>
      </c>
      <c r="F508" s="11">
        <f>VLOOKUP(A508,import!A:J,6,0)</f>
        <v>7</v>
      </c>
      <c r="G508" s="11">
        <f>VLOOKUP(A508,import!A:J,7,0)</f>
        <v>0</v>
      </c>
      <c r="H508" s="11">
        <f>VLOOKUP(A508,import!A:J,8,0)</f>
        <v>8</v>
      </c>
      <c r="I508" s="11">
        <f>VLOOKUP(A508,import!A:J,9,0)</f>
        <v>8</v>
      </c>
      <c r="J508" s="12">
        <f>VLOOKUP(A508,import!A:J,10,0)</f>
        <v>0</v>
      </c>
      <c r="K508" s="11" t="s">
        <v>2384</v>
      </c>
      <c r="L508" s="11">
        <v>3.52233434E9</v>
      </c>
      <c r="M508" s="11" t="s">
        <v>47</v>
      </c>
      <c r="N508" s="11" t="s">
        <v>125</v>
      </c>
      <c r="O508" s="11" t="s">
        <v>2426</v>
      </c>
      <c r="P508" s="11" t="str">
        <f>VLOOKUP(A508,import!A:P,16,0)</f>
        <v>Geleneksel</v>
      </c>
      <c r="Q508" s="13"/>
      <c r="R508" s="13" t="b">
        <v>0</v>
      </c>
      <c r="S508" s="13" t="b">
        <v>0</v>
      </c>
      <c r="T508" s="14" t="s">
        <v>50</v>
      </c>
      <c r="U508" s="14"/>
      <c r="V508" s="14"/>
      <c r="W508" s="14"/>
      <c r="X508" s="24"/>
      <c r="Y508" s="24"/>
      <c r="Z508" s="18"/>
      <c r="AA508" s="19"/>
      <c r="AB508" s="20"/>
      <c r="AC508" s="19"/>
      <c r="AD508" s="20"/>
      <c r="AE508" s="19"/>
      <c r="AF508" s="20"/>
      <c r="AG508" s="21"/>
      <c r="AH508" s="18"/>
      <c r="AI508" s="18"/>
      <c r="AJ508" s="18"/>
      <c r="AK508" s="19"/>
      <c r="AL508" s="19"/>
      <c r="AM508" s="19"/>
      <c r="AN508" s="18"/>
      <c r="AO508" s="18"/>
      <c r="AP508" s="22"/>
      <c r="AQ508" s="18"/>
    </row>
    <row r="509">
      <c r="A509" s="11" t="s">
        <v>2427</v>
      </c>
      <c r="B509" s="11" t="s">
        <v>2428</v>
      </c>
      <c r="C509" s="11" t="str">
        <f>VLOOKUP(A509,import!A:C,3,0)</f>
        <v>DOĞRU</v>
      </c>
      <c r="D509" s="11" t="s">
        <v>100</v>
      </c>
      <c r="E509" s="11">
        <f>VLOOKUP(A509,import!A:J,5,0)</f>
        <v>296</v>
      </c>
      <c r="F509" s="11">
        <f>VLOOKUP(A509,import!A:J,6,0)</f>
        <v>32</v>
      </c>
      <c r="G509" s="11">
        <f>VLOOKUP(A509,import!A:J,7,0)</f>
        <v>0</v>
      </c>
      <c r="H509" s="11">
        <f>VLOOKUP(A509,import!A:J,8,0)</f>
        <v>21</v>
      </c>
      <c r="I509" s="11">
        <f>VLOOKUP(A509,import!A:J,9,0)</f>
        <v>21</v>
      </c>
      <c r="J509" s="12">
        <f>VLOOKUP(A509,import!A:J,10,0)</f>
        <v>0</v>
      </c>
      <c r="K509" s="11" t="s">
        <v>2429</v>
      </c>
      <c r="L509" s="11">
        <v>3.523263801E9</v>
      </c>
      <c r="M509" s="11" t="s">
        <v>47</v>
      </c>
      <c r="N509" s="11" t="s">
        <v>496</v>
      </c>
      <c r="O509" s="11" t="s">
        <v>2430</v>
      </c>
      <c r="P509" s="11" t="str">
        <f>VLOOKUP(A509,import!A:P,16,0)</f>
        <v>Geleneksel</v>
      </c>
      <c r="Q509" s="13"/>
      <c r="R509" s="13" t="b">
        <v>1</v>
      </c>
      <c r="S509" s="13" t="b">
        <v>0</v>
      </c>
      <c r="T509" s="14" t="s">
        <v>50</v>
      </c>
      <c r="U509" s="14"/>
      <c r="V509" s="14"/>
      <c r="W509" s="14"/>
      <c r="X509" s="24"/>
      <c r="Y509" s="24"/>
      <c r="Z509" s="18"/>
      <c r="AA509" s="18"/>
      <c r="AB509" s="18"/>
      <c r="AC509" s="18"/>
      <c r="AD509" s="18"/>
      <c r="AE509" s="21"/>
      <c r="AF509" s="18"/>
      <c r="AG509" s="21"/>
      <c r="AH509" s="18"/>
      <c r="AI509" s="18"/>
      <c r="AJ509" s="18"/>
      <c r="AK509" s="18"/>
      <c r="AL509" s="18"/>
      <c r="AM509" s="18"/>
      <c r="AN509" s="18"/>
      <c r="AO509" s="18"/>
      <c r="AP509" s="22" t="s">
        <v>56</v>
      </c>
      <c r="AQ509" s="18"/>
    </row>
    <row r="510">
      <c r="A510" s="11" t="s">
        <v>2431</v>
      </c>
      <c r="B510" s="11" t="s">
        <v>2432</v>
      </c>
      <c r="C510" s="11" t="str">
        <f>VLOOKUP(A510,import!A:C,3,0)</f>
        <v>DOĞRU</v>
      </c>
      <c r="D510" s="11" t="s">
        <v>100</v>
      </c>
      <c r="E510" s="11">
        <f>VLOOKUP(A510,import!A:J,5,0)</f>
        <v>750</v>
      </c>
      <c r="F510" s="11">
        <f>VLOOKUP(A510,import!A:J,6,0)</f>
        <v>6</v>
      </c>
      <c r="G510" s="11">
        <f>VLOOKUP(A510,import!A:J,7,0)</f>
        <v>0</v>
      </c>
      <c r="H510" s="11">
        <f>VLOOKUP(A510,import!A:J,8,0)</f>
        <v>26</v>
      </c>
      <c r="I510" s="11">
        <f>VLOOKUP(A510,import!A:J,9,0)</f>
        <v>26</v>
      </c>
      <c r="J510" s="12">
        <f>VLOOKUP(A510,import!A:J,10,0)</f>
        <v>0</v>
      </c>
      <c r="K510" s="11" t="s">
        <v>2433</v>
      </c>
      <c r="L510" s="11">
        <v>5.313722374E9</v>
      </c>
      <c r="M510" s="11" t="s">
        <v>47</v>
      </c>
      <c r="N510" s="11" t="s">
        <v>448</v>
      </c>
      <c r="O510" s="11" t="s">
        <v>2434</v>
      </c>
      <c r="P510" s="11" t="str">
        <f>VLOOKUP(A510,import!A:P,16,0)</f>
        <v>Geleneksel</v>
      </c>
      <c r="Q510" s="13"/>
      <c r="R510" s="13" t="b">
        <v>1</v>
      </c>
      <c r="S510" s="13" t="b">
        <v>0</v>
      </c>
      <c r="T510" s="14" t="s">
        <v>50</v>
      </c>
      <c r="U510" s="14"/>
      <c r="V510" s="31"/>
      <c r="W510" s="14"/>
      <c r="X510" s="24"/>
      <c r="Y510" s="24"/>
      <c r="Z510" s="18"/>
      <c r="AA510" s="18"/>
      <c r="AB510" s="18"/>
      <c r="AC510" s="18"/>
      <c r="AD510" s="18"/>
      <c r="AE510" s="21"/>
      <c r="AF510" s="18"/>
      <c r="AG510" s="21"/>
      <c r="AH510" s="18"/>
      <c r="AI510" s="18"/>
      <c r="AJ510" s="18"/>
      <c r="AK510" s="18"/>
      <c r="AL510" s="18"/>
      <c r="AM510" s="18"/>
      <c r="AN510" s="18"/>
      <c r="AO510" s="18"/>
      <c r="AP510" s="22" t="s">
        <v>56</v>
      </c>
      <c r="AQ510" s="18"/>
    </row>
    <row r="511">
      <c r="A511" s="22" t="s">
        <v>2435</v>
      </c>
      <c r="B511" s="22" t="s">
        <v>2436</v>
      </c>
      <c r="C511" s="11" t="str">
        <f>VLOOKUP(A511,import!A:C,3,0)</f>
        <v>DOĞRU</v>
      </c>
      <c r="D511" s="22" t="s">
        <v>100</v>
      </c>
      <c r="E511" s="11">
        <f>VLOOKUP(A511,import!A:J,5,0)</f>
        <v>4</v>
      </c>
      <c r="F511" s="11">
        <f>VLOOKUP(A511,import!A:J,6,0)</f>
        <v>4</v>
      </c>
      <c r="G511" s="11">
        <f>VLOOKUP(A511,import!A:J,7,0)</f>
        <v>0</v>
      </c>
      <c r="H511" s="11">
        <f>VLOOKUP(A511,import!A:J,8,0)</f>
        <v>6</v>
      </c>
      <c r="I511" s="11">
        <f>VLOOKUP(A511,import!A:J,9,0)</f>
        <v>6</v>
      </c>
      <c r="J511" s="12">
        <f>VLOOKUP(A511,import!A:J,10,0)</f>
        <v>0</v>
      </c>
      <c r="K511" s="22" t="s">
        <v>2437</v>
      </c>
      <c r="L511" s="22">
        <v>3.522280024E9</v>
      </c>
      <c r="M511" s="22" t="s">
        <v>47</v>
      </c>
      <c r="N511" s="22" t="s">
        <v>1552</v>
      </c>
      <c r="O511" s="22" t="s">
        <v>1693</v>
      </c>
      <c r="P511" s="11" t="str">
        <f>VLOOKUP(A511,import!A:P,16,0)</f>
        <v>Geleneksel</v>
      </c>
      <c r="Q511" s="13"/>
      <c r="R511" s="13" t="b">
        <v>0</v>
      </c>
      <c r="S511" s="13" t="b">
        <v>0</v>
      </c>
      <c r="T511" s="14" t="s">
        <v>50</v>
      </c>
      <c r="U511" s="14"/>
      <c r="V511" s="30"/>
      <c r="W511" s="14"/>
      <c r="X511" s="24"/>
      <c r="Y511" s="24"/>
      <c r="Z511" s="18"/>
      <c r="AA511" s="19"/>
      <c r="AB511" s="20"/>
      <c r="AC511" s="19"/>
      <c r="AD511" s="20"/>
      <c r="AE511" s="19"/>
      <c r="AF511" s="20"/>
      <c r="AG511" s="21"/>
      <c r="AH511" s="18"/>
      <c r="AI511" s="18"/>
      <c r="AJ511" s="18"/>
      <c r="AK511" s="19"/>
      <c r="AL511" s="19"/>
      <c r="AM511" s="19"/>
      <c r="AN511" s="18"/>
      <c r="AO511" s="18"/>
      <c r="AP511" s="22"/>
      <c r="AQ511" s="18"/>
    </row>
    <row r="512">
      <c r="A512" s="11" t="s">
        <v>2438</v>
      </c>
      <c r="B512" s="11" t="s">
        <v>2439</v>
      </c>
      <c r="C512" s="11" t="str">
        <f>VLOOKUP(A512,import!A:C,3,0)</f>
        <v>DOĞRU</v>
      </c>
      <c r="D512" s="11" t="s">
        <v>100</v>
      </c>
      <c r="E512" s="11">
        <f>VLOOKUP(A512,import!A:J,5,0)</f>
        <v>49</v>
      </c>
      <c r="F512" s="11">
        <f>VLOOKUP(A512,import!A:J,6,0)</f>
        <v>5</v>
      </c>
      <c r="G512" s="11">
        <f>VLOOKUP(A512,import!A:J,7,0)</f>
        <v>0</v>
      </c>
      <c r="H512" s="11">
        <f>VLOOKUP(A512,import!A:J,8,0)</f>
        <v>6</v>
      </c>
      <c r="I512" s="11">
        <f>VLOOKUP(A512,import!A:J,9,0)</f>
        <v>6</v>
      </c>
      <c r="J512" s="12">
        <f>VLOOKUP(A512,import!A:J,10,0)</f>
        <v>0</v>
      </c>
      <c r="K512" s="11" t="s">
        <v>2440</v>
      </c>
      <c r="L512" s="11">
        <v>3.524371133E9</v>
      </c>
      <c r="M512" s="11" t="s">
        <v>61</v>
      </c>
      <c r="N512" s="11" t="s">
        <v>107</v>
      </c>
      <c r="O512" s="11" t="s">
        <v>2441</v>
      </c>
      <c r="P512" s="11" t="str">
        <f>VLOOKUP(A512,import!A:P,16,0)</f>
        <v>Geleneksel</v>
      </c>
      <c r="Q512" s="13"/>
      <c r="R512" s="13" t="b">
        <v>0</v>
      </c>
      <c r="S512" s="13" t="b">
        <v>0</v>
      </c>
      <c r="T512" s="14" t="s">
        <v>50</v>
      </c>
      <c r="U512" s="14"/>
      <c r="V512" s="14"/>
      <c r="W512" s="14"/>
      <c r="X512" s="24"/>
      <c r="Y512" s="24"/>
      <c r="Z512" s="18"/>
      <c r="AA512" s="19"/>
      <c r="AB512" s="20"/>
      <c r="AC512" s="19"/>
      <c r="AD512" s="20"/>
      <c r="AE512" s="21"/>
      <c r="AF512" s="18"/>
      <c r="AG512" s="21"/>
      <c r="AH512" s="18"/>
      <c r="AI512" s="18"/>
      <c r="AJ512" s="18"/>
      <c r="AK512" s="19"/>
      <c r="AL512" s="19"/>
      <c r="AM512" s="18"/>
      <c r="AN512" s="18"/>
      <c r="AO512" s="18"/>
      <c r="AP512" s="22"/>
      <c r="AQ512" s="18"/>
    </row>
    <row r="513">
      <c r="A513" s="11" t="s">
        <v>2442</v>
      </c>
      <c r="B513" s="11" t="s">
        <v>2443</v>
      </c>
      <c r="C513" s="11" t="str">
        <f>VLOOKUP(A513,import!A:C,3,0)</f>
        <v>DOĞRU</v>
      </c>
      <c r="D513" s="11" t="s">
        <v>100</v>
      </c>
      <c r="E513" s="11">
        <f>VLOOKUP(A513,import!A:J,5,0)</f>
        <v>3045</v>
      </c>
      <c r="F513" s="11">
        <f>VLOOKUP(A513,import!A:J,6,0)</f>
        <v>138</v>
      </c>
      <c r="G513" s="11">
        <f>VLOOKUP(A513,import!A:J,7,0)</f>
        <v>0</v>
      </c>
      <c r="H513" s="11">
        <f>VLOOKUP(A513,import!A:J,8,0)</f>
        <v>22</v>
      </c>
      <c r="I513" s="11">
        <f>VLOOKUP(A513,import!A:J,9,0)</f>
        <v>22</v>
      </c>
      <c r="J513" s="12">
        <f>VLOOKUP(A513,import!A:J,10,0)</f>
        <v>0</v>
      </c>
      <c r="K513" s="11" t="s">
        <v>2444</v>
      </c>
      <c r="L513" s="11">
        <v>3.525038988E9</v>
      </c>
      <c r="M513" s="11" t="s">
        <v>61</v>
      </c>
      <c r="N513" s="11" t="s">
        <v>62</v>
      </c>
      <c r="O513" s="11" t="s">
        <v>2445</v>
      </c>
      <c r="P513" s="11" t="str">
        <f>VLOOKUP(A513,import!A:P,16,0)</f>
        <v>Geleneksel</v>
      </c>
      <c r="Q513" s="13"/>
      <c r="R513" s="13" t="b">
        <v>1</v>
      </c>
      <c r="S513" s="13" t="b">
        <v>0</v>
      </c>
      <c r="T513" s="14" t="s">
        <v>50</v>
      </c>
      <c r="U513" s="15"/>
      <c r="V513" s="15"/>
      <c r="W513" s="14" t="s">
        <v>283</v>
      </c>
      <c r="X513" s="17"/>
      <c r="Y513" s="17"/>
      <c r="Z513" s="18"/>
      <c r="AA513" s="18"/>
      <c r="AB513" s="18"/>
      <c r="AC513" s="18"/>
      <c r="AD513" s="18"/>
      <c r="AE513" s="21"/>
      <c r="AF513" s="18"/>
      <c r="AG513" s="21"/>
      <c r="AH513" s="18"/>
      <c r="AI513" s="18"/>
      <c r="AJ513" s="18"/>
      <c r="AK513" s="18"/>
      <c r="AL513" s="18"/>
      <c r="AM513" s="18"/>
      <c r="AN513" s="18"/>
      <c r="AO513" s="18"/>
      <c r="AP513" s="22" t="s">
        <v>56</v>
      </c>
      <c r="AQ513" s="18"/>
    </row>
    <row r="514">
      <c r="A514" s="11" t="s">
        <v>2446</v>
      </c>
      <c r="B514" s="11" t="s">
        <v>2447</v>
      </c>
      <c r="C514" s="11" t="str">
        <f>VLOOKUP(A514,import!A:C,3,0)</f>
        <v>DOĞRU</v>
      </c>
      <c r="D514" s="11" t="s">
        <v>100</v>
      </c>
      <c r="E514" s="11">
        <f>VLOOKUP(A514,import!A:J,5,0)</f>
        <v>1748</v>
      </c>
      <c r="F514" s="11">
        <f>VLOOKUP(A514,import!A:J,6,0)</f>
        <v>15</v>
      </c>
      <c r="G514" s="11">
        <f>VLOOKUP(A514,import!A:J,7,0)</f>
        <v>2</v>
      </c>
      <c r="H514" s="11">
        <f>VLOOKUP(A514,import!A:J,8,0)</f>
        <v>16</v>
      </c>
      <c r="I514" s="11">
        <f>VLOOKUP(A514,import!A:J,9,0)</f>
        <v>18</v>
      </c>
      <c r="J514" s="12">
        <f>VLOOKUP(A514,import!A:J,10,0)</f>
        <v>0.11</v>
      </c>
      <c r="K514" s="11" t="s">
        <v>2448</v>
      </c>
      <c r="L514" s="11">
        <v>3.524314646E9</v>
      </c>
      <c r="M514" s="11" t="s">
        <v>61</v>
      </c>
      <c r="N514" s="11" t="s">
        <v>62</v>
      </c>
      <c r="O514" s="11" t="s">
        <v>2449</v>
      </c>
      <c r="P514" s="11" t="str">
        <f>VLOOKUP(A514,import!A:P,16,0)</f>
        <v>Geleneksel</v>
      </c>
      <c r="Q514" s="13"/>
      <c r="R514" s="13" t="b">
        <v>1</v>
      </c>
      <c r="S514" s="13" t="b">
        <v>0</v>
      </c>
      <c r="T514" s="14" t="s">
        <v>50</v>
      </c>
      <c r="U514" s="14"/>
      <c r="V514" s="14"/>
      <c r="W514" s="14" t="s">
        <v>283</v>
      </c>
      <c r="X514" s="24"/>
      <c r="Y514" s="24"/>
      <c r="Z514" s="18"/>
      <c r="AA514" s="18"/>
      <c r="AB514" s="18"/>
      <c r="AC514" s="18"/>
      <c r="AD514" s="18"/>
      <c r="AE514" s="21"/>
      <c r="AF514" s="18"/>
      <c r="AG514" s="21"/>
      <c r="AH514" s="18"/>
      <c r="AI514" s="18"/>
      <c r="AJ514" s="18"/>
      <c r="AK514" s="18"/>
      <c r="AL514" s="18"/>
      <c r="AM514" s="18"/>
      <c r="AN514" s="18"/>
      <c r="AO514" s="18"/>
      <c r="AP514" s="22" t="s">
        <v>56</v>
      </c>
      <c r="AQ514" s="18"/>
    </row>
    <row r="515">
      <c r="A515" s="11" t="s">
        <v>2450</v>
      </c>
      <c r="B515" s="11" t="s">
        <v>2451</v>
      </c>
      <c r="C515" s="11" t="str">
        <f>VLOOKUP(A515,import!A:C,3,0)</f>
        <v>DOĞRU</v>
      </c>
      <c r="D515" s="11" t="s">
        <v>100</v>
      </c>
      <c r="E515" s="11">
        <f>VLOOKUP(A515,import!A:J,5,0)</f>
        <v>3836</v>
      </c>
      <c r="F515" s="11">
        <f>VLOOKUP(A515,import!A:J,6,0)</f>
        <v>135</v>
      </c>
      <c r="G515" s="11">
        <f>VLOOKUP(A515,import!A:J,7,0)</f>
        <v>0</v>
      </c>
      <c r="H515" s="11">
        <f>VLOOKUP(A515,import!A:J,8,0)</f>
        <v>43</v>
      </c>
      <c r="I515" s="11">
        <f>VLOOKUP(A515,import!A:J,9,0)</f>
        <v>43</v>
      </c>
      <c r="J515" s="12">
        <f>VLOOKUP(A515,import!A:J,10,0)</f>
        <v>0</v>
      </c>
      <c r="K515" s="11" t="s">
        <v>2452</v>
      </c>
      <c r="L515" s="11">
        <v>5.52595909E9</v>
      </c>
      <c r="M515" s="11" t="s">
        <v>61</v>
      </c>
      <c r="N515" s="11" t="s">
        <v>62</v>
      </c>
      <c r="O515" s="11" t="s">
        <v>2453</v>
      </c>
      <c r="P515" s="11" t="str">
        <f>VLOOKUP(A515,import!A:P,16,0)</f>
        <v>Geleneksel</v>
      </c>
      <c r="Q515" s="13"/>
      <c r="R515" s="13" t="b">
        <v>1</v>
      </c>
      <c r="S515" s="13" t="b">
        <v>0</v>
      </c>
      <c r="T515" s="14" t="s">
        <v>94</v>
      </c>
      <c r="U515" s="14" t="s">
        <v>1531</v>
      </c>
      <c r="V515" s="23" t="s">
        <v>121</v>
      </c>
      <c r="W515" s="14" t="s">
        <v>2454</v>
      </c>
      <c r="X515" s="24">
        <v>44579.0</v>
      </c>
      <c r="Y515" s="24">
        <v>44581.0</v>
      </c>
      <c r="Z515" s="19" t="s">
        <v>711</v>
      </c>
      <c r="AA515" s="19" t="s">
        <v>54</v>
      </c>
      <c r="AB515" s="20">
        <v>44579.0</v>
      </c>
      <c r="AC515" s="19" t="s">
        <v>54</v>
      </c>
      <c r="AD515" s="20">
        <v>44638.0</v>
      </c>
      <c r="AE515" s="21"/>
      <c r="AF515" s="18"/>
      <c r="AG515" s="21"/>
      <c r="AH515" s="18"/>
      <c r="AI515" s="18"/>
      <c r="AJ515" s="18"/>
      <c r="AK515" s="19" t="s">
        <v>1531</v>
      </c>
      <c r="AL515" s="19" t="s">
        <v>140</v>
      </c>
      <c r="AM515" s="18"/>
      <c r="AN515" s="18"/>
      <c r="AO515" s="18"/>
      <c r="AP515" s="22" t="s">
        <v>56</v>
      </c>
      <c r="AQ515" s="18"/>
    </row>
    <row r="516">
      <c r="A516" s="11" t="s">
        <v>2455</v>
      </c>
      <c r="B516" s="11" t="s">
        <v>2456</v>
      </c>
      <c r="C516" s="11" t="str">
        <f>VLOOKUP(A516,import!A:C,3,0)</f>
        <v>DOĞRU</v>
      </c>
      <c r="D516" s="11" t="s">
        <v>69</v>
      </c>
      <c r="E516" s="11">
        <f>VLOOKUP(A516,import!A:J,5,0)</f>
        <v>2342</v>
      </c>
      <c r="F516" s="11">
        <f>VLOOKUP(A516,import!A:J,6,0)</f>
        <v>131</v>
      </c>
      <c r="G516" s="11">
        <f>VLOOKUP(A516,import!A:J,7,0)</f>
        <v>0</v>
      </c>
      <c r="H516" s="11">
        <f>VLOOKUP(A516,import!A:J,8,0)</f>
        <v>42</v>
      </c>
      <c r="I516" s="11">
        <f>VLOOKUP(A516,import!A:J,9,0)</f>
        <v>42</v>
      </c>
      <c r="J516" s="12">
        <f>VLOOKUP(A516,import!A:J,10,0)</f>
        <v>0</v>
      </c>
      <c r="K516" s="11" t="s">
        <v>2457</v>
      </c>
      <c r="L516" s="11">
        <v>3.524376006E9</v>
      </c>
      <c r="M516" s="11" t="s">
        <v>61</v>
      </c>
      <c r="N516" s="11" t="s">
        <v>62</v>
      </c>
      <c r="O516" s="11" t="s">
        <v>2458</v>
      </c>
      <c r="P516" s="11" t="str">
        <f>VLOOKUP(A516,import!A:P,16,0)</f>
        <v>Geleneksel</v>
      </c>
      <c r="Q516" s="13"/>
      <c r="R516" s="13" t="b">
        <v>1</v>
      </c>
      <c r="S516" s="13" t="b">
        <v>0</v>
      </c>
      <c r="T516" s="14" t="s">
        <v>133</v>
      </c>
      <c r="U516" s="15"/>
      <c r="V516" s="15"/>
      <c r="W516" s="14" t="s">
        <v>2459</v>
      </c>
      <c r="X516" s="17"/>
      <c r="Y516" s="17"/>
      <c r="Z516" s="18"/>
      <c r="AA516" s="19" t="s">
        <v>54</v>
      </c>
      <c r="AB516" s="20">
        <v>44358.0</v>
      </c>
      <c r="AC516" s="19" t="s">
        <v>54</v>
      </c>
      <c r="AD516" s="20">
        <v>44358.0</v>
      </c>
      <c r="AE516" s="19" t="s">
        <v>54</v>
      </c>
      <c r="AF516" s="20">
        <v>44622.0</v>
      </c>
      <c r="AG516" s="19" t="s">
        <v>54</v>
      </c>
      <c r="AH516" s="20">
        <v>44666.0</v>
      </c>
      <c r="AI516" s="18"/>
      <c r="AJ516" s="18"/>
      <c r="AK516" s="19" t="s">
        <v>55</v>
      </c>
      <c r="AL516" s="19" t="s">
        <v>55</v>
      </c>
      <c r="AM516" s="19" t="s">
        <v>75</v>
      </c>
      <c r="AN516" s="19" t="s">
        <v>110</v>
      </c>
      <c r="AO516" s="18"/>
      <c r="AP516" s="22" t="s">
        <v>56</v>
      </c>
      <c r="AQ516" s="18"/>
    </row>
    <row r="517">
      <c r="A517" s="11" t="s">
        <v>2460</v>
      </c>
      <c r="B517" s="11" t="s">
        <v>2461</v>
      </c>
      <c r="C517" s="11" t="str">
        <f>VLOOKUP(A517,import!A:C,3,0)</f>
        <v>YANLIŞ</v>
      </c>
      <c r="D517" s="11" t="s">
        <v>453</v>
      </c>
      <c r="E517" s="11">
        <f>VLOOKUP(A517,import!A:J,5,0)</f>
        <v>784</v>
      </c>
      <c r="F517" s="11" t="str">
        <f>VLOOKUP(A517,import!A:J,6,0)</f>
        <v/>
      </c>
      <c r="G517" s="11">
        <f>VLOOKUP(A517,import!A:J,7,0)</f>
        <v>0</v>
      </c>
      <c r="H517" s="11">
        <f>VLOOKUP(A517,import!A:J,8,0)</f>
        <v>47</v>
      </c>
      <c r="I517" s="11">
        <f>VLOOKUP(A517,import!A:J,9,0)</f>
        <v>47</v>
      </c>
      <c r="J517" s="12">
        <f>VLOOKUP(A517,import!A:J,10,0)</f>
        <v>0</v>
      </c>
      <c r="K517" s="11" t="s">
        <v>2462</v>
      </c>
      <c r="L517" s="11">
        <v>5.517152602E9</v>
      </c>
      <c r="M517" s="11" t="s">
        <v>61</v>
      </c>
      <c r="N517" s="11" t="s">
        <v>160</v>
      </c>
      <c r="O517" s="11" t="s">
        <v>2463</v>
      </c>
      <c r="P517" s="11" t="str">
        <f>VLOOKUP(A517,import!A:P,16,0)</f>
        <v>Geleneksel</v>
      </c>
      <c r="Q517" s="13"/>
      <c r="R517" s="13" t="b">
        <v>1</v>
      </c>
      <c r="S517" s="13" t="b">
        <v>0</v>
      </c>
      <c r="T517" s="14" t="s">
        <v>133</v>
      </c>
      <c r="U517" s="14" t="s">
        <v>568</v>
      </c>
      <c r="V517" s="14" t="s">
        <v>96</v>
      </c>
      <c r="W517" s="14" t="s">
        <v>2464</v>
      </c>
      <c r="X517" s="24">
        <v>44302.0</v>
      </c>
      <c r="Y517" s="24">
        <v>44309.0</v>
      </c>
      <c r="Z517" s="18"/>
      <c r="AA517" s="19" t="s">
        <v>64</v>
      </c>
      <c r="AB517" s="20">
        <v>44358.0</v>
      </c>
      <c r="AC517" s="18"/>
      <c r="AD517" s="18"/>
      <c r="AE517" s="21"/>
      <c r="AF517" s="18"/>
      <c r="AG517" s="21"/>
      <c r="AH517" s="18"/>
      <c r="AI517" s="18"/>
      <c r="AJ517" s="18"/>
      <c r="AK517" s="19" t="s">
        <v>55</v>
      </c>
      <c r="AL517" s="18"/>
      <c r="AM517" s="18"/>
      <c r="AN517" s="18"/>
      <c r="AO517" s="18"/>
      <c r="AP517" s="22" t="s">
        <v>56</v>
      </c>
      <c r="AQ517" s="18"/>
    </row>
    <row r="518">
      <c r="A518" s="11" t="s">
        <v>2465</v>
      </c>
      <c r="B518" s="11" t="s">
        <v>2466</v>
      </c>
      <c r="C518" s="11" t="str">
        <f>VLOOKUP(A518,import!A:C,3,0)</f>
        <v>DOĞRU</v>
      </c>
      <c r="D518" s="11" t="s">
        <v>165</v>
      </c>
      <c r="E518" s="11">
        <f>VLOOKUP(A518,import!A:J,5,0)</f>
        <v>595</v>
      </c>
      <c r="F518" s="11">
        <f>VLOOKUP(A518,import!A:J,6,0)</f>
        <v>34</v>
      </c>
      <c r="G518" s="11">
        <f>VLOOKUP(A518,import!A:J,7,0)</f>
        <v>0</v>
      </c>
      <c r="H518" s="11">
        <f>VLOOKUP(A518,import!A:J,8,0)</f>
        <v>9</v>
      </c>
      <c r="I518" s="11">
        <f>VLOOKUP(A518,import!A:J,9,0)</f>
        <v>9</v>
      </c>
      <c r="J518" s="12">
        <f>VLOOKUP(A518,import!A:J,10,0)</f>
        <v>0</v>
      </c>
      <c r="K518" s="11" t="s">
        <v>2467</v>
      </c>
      <c r="L518" s="11">
        <v>3.522511505E9</v>
      </c>
      <c r="M518" s="11" t="s">
        <v>71</v>
      </c>
      <c r="N518" s="11" t="s">
        <v>224</v>
      </c>
      <c r="O518" s="11" t="s">
        <v>2468</v>
      </c>
      <c r="P518" s="11" t="str">
        <f>VLOOKUP(A518,import!A:P,16,0)</f>
        <v>Geleneksel</v>
      </c>
      <c r="Q518" s="13"/>
      <c r="R518" s="13" t="b">
        <v>1</v>
      </c>
      <c r="S518" s="13" t="b">
        <v>0</v>
      </c>
      <c r="T518" s="14" t="s">
        <v>133</v>
      </c>
      <c r="U518" s="14" t="s">
        <v>110</v>
      </c>
      <c r="V518" s="30" t="s">
        <v>76</v>
      </c>
      <c r="W518" s="14"/>
      <c r="X518" s="24">
        <v>44663.0</v>
      </c>
      <c r="Y518" s="24">
        <v>44664.0</v>
      </c>
      <c r="Z518" s="18"/>
      <c r="AA518" s="19" t="s">
        <v>54</v>
      </c>
      <c r="AB518" s="20">
        <v>44662.0</v>
      </c>
      <c r="AC518" s="19" t="s">
        <v>54</v>
      </c>
      <c r="AD518" s="20">
        <v>44663.0</v>
      </c>
      <c r="AE518" s="21"/>
      <c r="AF518" s="18"/>
      <c r="AG518" s="21"/>
      <c r="AH518" s="18"/>
      <c r="AI518" s="18"/>
      <c r="AJ518" s="18"/>
      <c r="AK518" s="19" t="s">
        <v>110</v>
      </c>
      <c r="AL518" s="19" t="s">
        <v>110</v>
      </c>
      <c r="AM518" s="18"/>
      <c r="AN518" s="18"/>
      <c r="AO518" s="18"/>
      <c r="AP518" s="22" t="s">
        <v>56</v>
      </c>
      <c r="AQ518" s="18"/>
    </row>
    <row r="519">
      <c r="A519" s="11" t="s">
        <v>2469</v>
      </c>
      <c r="B519" s="11" t="s">
        <v>2470</v>
      </c>
      <c r="C519" s="11" t="str">
        <f>VLOOKUP(A519,import!A:C,3,0)</f>
        <v>DOĞRU</v>
      </c>
      <c r="D519" s="11" t="s">
        <v>69</v>
      </c>
      <c r="E519" s="11">
        <f>VLOOKUP(A519,import!A:J,5,0)</f>
        <v>2044</v>
      </c>
      <c r="F519" s="11">
        <f>VLOOKUP(A519,import!A:J,6,0)</f>
        <v>64</v>
      </c>
      <c r="G519" s="11">
        <f>VLOOKUP(A519,import!A:J,7,0)</f>
        <v>31</v>
      </c>
      <c r="H519" s="11">
        <f>VLOOKUP(A519,import!A:J,8,0)</f>
        <v>12</v>
      </c>
      <c r="I519" s="11">
        <f>VLOOKUP(A519,import!A:J,9,0)</f>
        <v>43</v>
      </c>
      <c r="J519" s="12">
        <f>VLOOKUP(A519,import!A:J,10,0)</f>
        <v>0.72</v>
      </c>
      <c r="K519" s="11" t="s">
        <v>2471</v>
      </c>
      <c r="L519" s="11">
        <v>3.523383997E9</v>
      </c>
      <c r="M519" s="11" t="s">
        <v>71</v>
      </c>
      <c r="N519" s="11" t="s">
        <v>2472</v>
      </c>
      <c r="O519" s="11" t="s">
        <v>2473</v>
      </c>
      <c r="P519" s="11" t="str">
        <f>VLOOKUP(A519,import!A:P,16,0)</f>
        <v>Geleneksel</v>
      </c>
      <c r="Q519" s="13"/>
      <c r="R519" s="13" t="b">
        <v>1</v>
      </c>
      <c r="S519" s="13" t="b">
        <v>1</v>
      </c>
      <c r="T519" s="14" t="s">
        <v>74</v>
      </c>
      <c r="U519" s="14" t="s">
        <v>79</v>
      </c>
      <c r="V519" s="14" t="s">
        <v>96</v>
      </c>
      <c r="W519" s="14" t="s">
        <v>2474</v>
      </c>
      <c r="X519" s="24">
        <v>44351.0</v>
      </c>
      <c r="Y519" s="24">
        <v>44354.0</v>
      </c>
      <c r="Z519" s="18"/>
      <c r="AA519" s="19" t="s">
        <v>54</v>
      </c>
      <c r="AB519" s="20">
        <v>44349.0</v>
      </c>
      <c r="AC519" s="19" t="s">
        <v>54</v>
      </c>
      <c r="AD519" s="20">
        <v>44351.0</v>
      </c>
      <c r="AE519" s="21"/>
      <c r="AF519" s="18"/>
      <c r="AG519" s="21"/>
      <c r="AH519" s="18"/>
      <c r="AI519" s="18"/>
      <c r="AJ519" s="18"/>
      <c r="AK519" s="18"/>
      <c r="AL519" s="19" t="s">
        <v>79</v>
      </c>
      <c r="AM519" s="18"/>
      <c r="AN519" s="18"/>
      <c r="AO519" s="18"/>
      <c r="AP519" s="22" t="s">
        <v>56</v>
      </c>
      <c r="AQ519" s="18"/>
    </row>
    <row r="520">
      <c r="A520" s="22" t="s">
        <v>2475</v>
      </c>
      <c r="B520" s="22" t="s">
        <v>2476</v>
      </c>
      <c r="C520" s="11" t="str">
        <f>VLOOKUP(A520,import!A:C,3,0)</f>
        <v>DOĞRU</v>
      </c>
      <c r="D520" s="22" t="s">
        <v>83</v>
      </c>
      <c r="E520" s="11" t="str">
        <f>VLOOKUP(A520,import!A:J,5,0)</f>
        <v/>
      </c>
      <c r="F520" s="11" t="str">
        <f>VLOOKUP(A520,import!A:J,6,0)</f>
        <v/>
      </c>
      <c r="G520" s="11">
        <f>VLOOKUP(A520,import!A:J,7,0)</f>
        <v>0</v>
      </c>
      <c r="H520" s="11">
        <f>VLOOKUP(A520,import!A:J,8,0)</f>
        <v>6</v>
      </c>
      <c r="I520" s="11">
        <f>VLOOKUP(A520,import!A:J,9,0)</f>
        <v>6</v>
      </c>
      <c r="J520" s="12">
        <f>VLOOKUP(A520,import!A:J,10,0)</f>
        <v>0</v>
      </c>
      <c r="K520" s="22" t="s">
        <v>2393</v>
      </c>
      <c r="L520" s="22">
        <v>3.522326066E9</v>
      </c>
      <c r="M520" s="22" t="s">
        <v>71</v>
      </c>
      <c r="N520" s="22" t="s">
        <v>1814</v>
      </c>
      <c r="O520" s="22" t="s">
        <v>2477</v>
      </c>
      <c r="P520" s="11" t="str">
        <f>VLOOKUP(A520,import!A:P,16,0)</f>
        <v>Geleneksel</v>
      </c>
      <c r="Q520" s="13"/>
      <c r="R520" s="13" t="b">
        <v>1</v>
      </c>
      <c r="S520" s="13" t="b">
        <v>0</v>
      </c>
      <c r="T520" s="14" t="s">
        <v>53</v>
      </c>
      <c r="U520" s="14"/>
      <c r="V520" s="30"/>
      <c r="W520" s="14" t="s">
        <v>704</v>
      </c>
      <c r="X520" s="24"/>
      <c r="Y520" s="24"/>
      <c r="Z520" s="18"/>
      <c r="AA520" s="19" t="s">
        <v>53</v>
      </c>
      <c r="AB520" s="20">
        <v>44663.0</v>
      </c>
      <c r="AC520" s="19"/>
      <c r="AD520" s="20"/>
      <c r="AE520" s="19"/>
      <c r="AF520" s="20"/>
      <c r="AG520" s="21"/>
      <c r="AH520" s="18"/>
      <c r="AI520" s="18"/>
      <c r="AJ520" s="18"/>
      <c r="AK520" s="19" t="s">
        <v>110</v>
      </c>
      <c r="AL520" s="19"/>
      <c r="AM520" s="19"/>
      <c r="AN520" s="18"/>
      <c r="AO520" s="18"/>
      <c r="AP520" s="22"/>
      <c r="AQ520" s="18"/>
    </row>
    <row r="521">
      <c r="A521" s="22" t="s">
        <v>2478</v>
      </c>
      <c r="B521" s="22" t="s">
        <v>2479</v>
      </c>
      <c r="C521" s="11" t="str">
        <f>VLOOKUP(A521,import!A:C,3,0)</f>
        <v>DOĞRU</v>
      </c>
      <c r="D521" s="22" t="s">
        <v>172</v>
      </c>
      <c r="E521" s="11" t="str">
        <f>VLOOKUP(A521,import!A:J,5,0)</f>
        <v/>
      </c>
      <c r="F521" s="11" t="str">
        <f>VLOOKUP(A521,import!A:J,6,0)</f>
        <v/>
      </c>
      <c r="G521" s="11">
        <f>VLOOKUP(A521,import!A:J,7,0)</f>
        <v>0</v>
      </c>
      <c r="H521" s="11">
        <f>VLOOKUP(A521,import!A:J,8,0)</f>
        <v>9</v>
      </c>
      <c r="I521" s="11">
        <f>VLOOKUP(A521,import!A:J,9,0)</f>
        <v>9</v>
      </c>
      <c r="J521" s="12">
        <f>VLOOKUP(A521,import!A:J,10,0)</f>
        <v>0</v>
      </c>
      <c r="K521" s="22" t="s">
        <v>2480</v>
      </c>
      <c r="L521" s="22">
        <v>3.52330523E9</v>
      </c>
      <c r="M521" s="22" t="s">
        <v>47</v>
      </c>
      <c r="N521" s="22" t="s">
        <v>1054</v>
      </c>
      <c r="O521" s="22" t="s">
        <v>2481</v>
      </c>
      <c r="P521" s="11" t="str">
        <f>VLOOKUP(A521,import!A:P,16,0)</f>
        <v>Geleneksel</v>
      </c>
      <c r="Q521" s="13"/>
      <c r="R521" s="13" t="b">
        <v>1</v>
      </c>
      <c r="S521" s="13" t="b">
        <v>0</v>
      </c>
      <c r="T521" s="14" t="s">
        <v>133</v>
      </c>
      <c r="U521" s="14"/>
      <c r="V521" s="14"/>
      <c r="W521" s="14" t="s">
        <v>2482</v>
      </c>
      <c r="X521" s="24"/>
      <c r="Y521" s="24"/>
      <c r="Z521" s="18"/>
      <c r="AA521" s="19" t="s">
        <v>54</v>
      </c>
      <c r="AB521" s="20">
        <v>44673.0</v>
      </c>
      <c r="AC521" s="19"/>
      <c r="AD521" s="20"/>
      <c r="AE521" s="19"/>
      <c r="AF521" s="20"/>
      <c r="AG521" s="21"/>
      <c r="AH521" s="18"/>
      <c r="AI521" s="18"/>
      <c r="AJ521" s="18"/>
      <c r="AK521" s="19" t="s">
        <v>110</v>
      </c>
      <c r="AL521" s="19"/>
      <c r="AM521" s="19"/>
      <c r="AN521" s="18"/>
      <c r="AO521" s="18"/>
      <c r="AP521" s="22"/>
      <c r="AQ521" s="18"/>
    </row>
    <row r="522">
      <c r="A522" s="11" t="s">
        <v>2483</v>
      </c>
      <c r="B522" s="11" t="s">
        <v>2484</v>
      </c>
      <c r="C522" s="11" t="str">
        <f>VLOOKUP(A522,import!A:C,3,0)</f>
        <v>DOĞRU</v>
      </c>
      <c r="D522" s="11" t="s">
        <v>45</v>
      </c>
      <c r="E522" s="11">
        <f>VLOOKUP(A522,import!A:J,5,0)</f>
        <v>740</v>
      </c>
      <c r="F522" s="11">
        <f>VLOOKUP(A522,import!A:J,6,0)</f>
        <v>3</v>
      </c>
      <c r="G522" s="11">
        <f>VLOOKUP(A522,import!A:J,7,0)</f>
        <v>0</v>
      </c>
      <c r="H522" s="11">
        <f>VLOOKUP(A522,import!A:J,8,0)</f>
        <v>59</v>
      </c>
      <c r="I522" s="11">
        <f>VLOOKUP(A522,import!A:J,9,0)</f>
        <v>59</v>
      </c>
      <c r="J522" s="12">
        <f>VLOOKUP(A522,import!A:J,10,0)</f>
        <v>0</v>
      </c>
      <c r="K522" s="11" t="s">
        <v>2233</v>
      </c>
      <c r="L522" s="11">
        <v>3.522353597E9</v>
      </c>
      <c r="M522" s="11" t="s">
        <v>47</v>
      </c>
      <c r="N522" s="11" t="s">
        <v>271</v>
      </c>
      <c r="O522" s="11" t="s">
        <v>2234</v>
      </c>
      <c r="P522" s="11" t="str">
        <f>VLOOKUP(A522,import!A:P,16,0)</f>
        <v>Geleneksel</v>
      </c>
      <c r="Q522" s="13"/>
      <c r="R522" s="13" t="b">
        <v>1</v>
      </c>
      <c r="S522" s="13" t="b">
        <v>1</v>
      </c>
      <c r="T522" s="14" t="s">
        <v>168</v>
      </c>
      <c r="U522" s="14"/>
      <c r="V522" s="14"/>
      <c r="W522" s="14" t="s">
        <v>2485</v>
      </c>
      <c r="X522" s="24"/>
      <c r="Y522" s="24"/>
      <c r="Z522" s="18"/>
      <c r="AA522" s="19" t="s">
        <v>54</v>
      </c>
      <c r="AB522" s="20">
        <v>44358.0</v>
      </c>
      <c r="AC522" s="18"/>
      <c r="AD522" s="18"/>
      <c r="AE522" s="21"/>
      <c r="AF522" s="18"/>
      <c r="AG522" s="21"/>
      <c r="AH522" s="18"/>
      <c r="AI522" s="18"/>
      <c r="AJ522" s="18"/>
      <c r="AK522" s="19" t="s">
        <v>55</v>
      </c>
      <c r="AL522" s="18"/>
      <c r="AM522" s="18"/>
      <c r="AN522" s="18"/>
      <c r="AO522" s="18"/>
      <c r="AP522" s="22" t="s">
        <v>56</v>
      </c>
      <c r="AQ522" s="18"/>
    </row>
    <row r="523">
      <c r="A523" s="11" t="s">
        <v>2486</v>
      </c>
      <c r="B523" s="11" t="s">
        <v>2487</v>
      </c>
      <c r="C523" s="11" t="str">
        <f>VLOOKUP(A523,import!A:C,3,0)</f>
        <v>DOĞRU</v>
      </c>
      <c r="D523" s="11" t="s">
        <v>45</v>
      </c>
      <c r="E523" s="11" t="str">
        <f>VLOOKUP(A523,import!A:J,5,0)</f>
        <v/>
      </c>
      <c r="F523" s="11" t="str">
        <f>VLOOKUP(A523,import!A:J,6,0)</f>
        <v/>
      </c>
      <c r="G523" s="11">
        <f>VLOOKUP(A523,import!A:J,7,0)</f>
        <v>0</v>
      </c>
      <c r="H523" s="11">
        <f>VLOOKUP(A523,import!A:J,8,0)</f>
        <v>68</v>
      </c>
      <c r="I523" s="11">
        <f>VLOOKUP(A523,import!A:J,9,0)</f>
        <v>68</v>
      </c>
      <c r="J523" s="12">
        <f>VLOOKUP(A523,import!A:J,10,0)</f>
        <v>0</v>
      </c>
      <c r="K523" s="11" t="s">
        <v>2488</v>
      </c>
      <c r="L523" s="11">
        <v>3.525033606E9</v>
      </c>
      <c r="M523" s="11" t="s">
        <v>47</v>
      </c>
      <c r="N523" s="11" t="s">
        <v>47</v>
      </c>
      <c r="O523" s="11" t="s">
        <v>2489</v>
      </c>
      <c r="P523" s="11" t="str">
        <f>VLOOKUP(A523,import!A:P,16,0)</f>
        <v>Geleneksel</v>
      </c>
      <c r="Q523" s="13"/>
      <c r="R523" s="13" t="b">
        <v>1</v>
      </c>
      <c r="S523" s="13" t="b">
        <v>0</v>
      </c>
      <c r="T523" s="14" t="s">
        <v>168</v>
      </c>
      <c r="U523" s="14"/>
      <c r="V523" s="14"/>
      <c r="W523" s="14" t="s">
        <v>2490</v>
      </c>
      <c r="X523" s="24"/>
      <c r="Y523" s="24"/>
      <c r="Z523" s="18"/>
      <c r="AA523" s="19"/>
      <c r="AB523" s="20"/>
      <c r="AC523" s="19"/>
      <c r="AD523" s="20"/>
      <c r="AE523" s="21"/>
      <c r="AF523" s="18"/>
      <c r="AG523" s="21"/>
      <c r="AH523" s="18"/>
      <c r="AI523" s="18"/>
      <c r="AJ523" s="18"/>
      <c r="AK523" s="19"/>
      <c r="AL523" s="19"/>
      <c r="AM523" s="18"/>
      <c r="AN523" s="18"/>
      <c r="AO523" s="18"/>
      <c r="AP523" s="22"/>
      <c r="AQ523" s="18"/>
    </row>
    <row r="524">
      <c r="A524" s="11" t="s">
        <v>2491</v>
      </c>
      <c r="B524" s="11" t="s">
        <v>2492</v>
      </c>
      <c r="C524" s="11" t="str">
        <f>VLOOKUP(A524,import!A:C,3,0)</f>
        <v>DOĞRU</v>
      </c>
      <c r="D524" s="11" t="s">
        <v>172</v>
      </c>
      <c r="E524" s="11">
        <f>VLOOKUP(A524,import!A:J,5,0)</f>
        <v>7424</v>
      </c>
      <c r="F524" s="11" t="str">
        <f>VLOOKUP(A524,import!A:J,6,0)</f>
        <v/>
      </c>
      <c r="G524" s="11">
        <f>VLOOKUP(A524,import!A:J,7,0)</f>
        <v>12</v>
      </c>
      <c r="H524" s="11">
        <f>VLOOKUP(A524,import!A:J,8,0)</f>
        <v>1</v>
      </c>
      <c r="I524" s="11">
        <f>VLOOKUP(A524,import!A:J,9,0)</f>
        <v>13</v>
      </c>
      <c r="J524" s="12">
        <f>VLOOKUP(A524,import!A:J,10,0)</f>
        <v>0.92</v>
      </c>
      <c r="K524" s="11" t="s">
        <v>2493</v>
      </c>
      <c r="L524" s="11">
        <v>3.523360777E9</v>
      </c>
      <c r="M524" s="11" t="s">
        <v>47</v>
      </c>
      <c r="N524" s="11" t="s">
        <v>2494</v>
      </c>
      <c r="O524" s="11" t="s">
        <v>2495</v>
      </c>
      <c r="P524" s="11" t="str">
        <f>VLOOKUP(A524,import!A:P,16,0)</f>
        <v>Geleneksel</v>
      </c>
      <c r="Q524" s="13"/>
      <c r="R524" s="13" t="b">
        <v>1</v>
      </c>
      <c r="S524" s="13" t="b">
        <v>0</v>
      </c>
      <c r="T524" s="14" t="s">
        <v>74</v>
      </c>
      <c r="U524" s="14" t="s">
        <v>80</v>
      </c>
      <c r="V524" s="14"/>
      <c r="W524" s="14"/>
      <c r="X524" s="24">
        <v>44614.0</v>
      </c>
      <c r="Y524" s="24">
        <v>44615.0</v>
      </c>
      <c r="Z524" s="18"/>
      <c r="AA524" s="19" t="s">
        <v>78</v>
      </c>
      <c r="AB524" s="48">
        <v>44347.0</v>
      </c>
      <c r="AC524" s="19" t="s">
        <v>78</v>
      </c>
      <c r="AD524" s="48">
        <v>44354.0</v>
      </c>
      <c r="AE524" s="19" t="s">
        <v>78</v>
      </c>
      <c r="AF524" s="48">
        <v>44358.0</v>
      </c>
      <c r="AG524" s="19" t="s">
        <v>54</v>
      </c>
      <c r="AH524" s="48">
        <v>44614.0</v>
      </c>
      <c r="AI524" s="18"/>
      <c r="AJ524" s="19"/>
      <c r="AK524" s="19"/>
      <c r="AL524" s="19" t="s">
        <v>79</v>
      </c>
      <c r="AM524" s="19" t="s">
        <v>55</v>
      </c>
      <c r="AN524" s="19" t="s">
        <v>80</v>
      </c>
      <c r="AO524" s="19"/>
      <c r="AP524" s="22" t="s">
        <v>56</v>
      </c>
      <c r="AQ524" s="19"/>
    </row>
    <row r="525">
      <c r="A525" s="11" t="s">
        <v>2496</v>
      </c>
      <c r="B525" s="11" t="s">
        <v>2497</v>
      </c>
      <c r="C525" s="11" t="str">
        <f>VLOOKUP(A525,import!A:C,3,0)</f>
        <v>DOĞRU</v>
      </c>
      <c r="D525" s="11" t="s">
        <v>172</v>
      </c>
      <c r="E525" s="11">
        <f>VLOOKUP(A525,import!A:J,5,0)</f>
        <v>775</v>
      </c>
      <c r="F525" s="11">
        <f>VLOOKUP(A525,import!A:J,6,0)</f>
        <v>15</v>
      </c>
      <c r="G525" s="11">
        <f>VLOOKUP(A525,import!A:J,7,0)</f>
        <v>0</v>
      </c>
      <c r="H525" s="11">
        <f>VLOOKUP(A525,import!A:J,8,0)</f>
        <v>8</v>
      </c>
      <c r="I525" s="11">
        <f>VLOOKUP(A525,import!A:J,9,0)</f>
        <v>8</v>
      </c>
      <c r="J525" s="12">
        <f>VLOOKUP(A525,import!A:J,10,0)</f>
        <v>0</v>
      </c>
      <c r="K525" s="11" t="s">
        <v>2498</v>
      </c>
      <c r="L525" s="11">
        <v>3.524313919E9</v>
      </c>
      <c r="M525" s="11" t="s">
        <v>61</v>
      </c>
      <c r="N525" s="11" t="s">
        <v>62</v>
      </c>
      <c r="O525" s="11" t="s">
        <v>2499</v>
      </c>
      <c r="P525" s="11" t="str">
        <f>VLOOKUP(A525,import!A:P,16,0)</f>
        <v>Geleneksel</v>
      </c>
      <c r="Q525" s="13"/>
      <c r="R525" s="13" t="b">
        <v>1</v>
      </c>
      <c r="S525" s="13" t="b">
        <v>0</v>
      </c>
      <c r="T525" s="14" t="s">
        <v>133</v>
      </c>
      <c r="U525" s="14" t="s">
        <v>568</v>
      </c>
      <c r="V525" s="49" t="s">
        <v>569</v>
      </c>
      <c r="W525" s="50" t="s">
        <v>2500</v>
      </c>
      <c r="X525" s="24">
        <v>44302.0</v>
      </c>
      <c r="Y525" s="24">
        <v>44305.0</v>
      </c>
      <c r="Z525" s="18"/>
      <c r="AA525" s="19" t="s">
        <v>78</v>
      </c>
      <c r="AB525" s="20">
        <v>44377.0</v>
      </c>
      <c r="AC525" s="19" t="s">
        <v>54</v>
      </c>
      <c r="AD525" s="20">
        <v>44608.0</v>
      </c>
      <c r="AE525" s="19" t="s">
        <v>54</v>
      </c>
      <c r="AF525" s="20">
        <v>44670.0</v>
      </c>
      <c r="AG525" s="21"/>
      <c r="AH525" s="18"/>
      <c r="AI525" s="18"/>
      <c r="AJ525" s="18"/>
      <c r="AK525" s="19" t="s">
        <v>79</v>
      </c>
      <c r="AL525" s="19" t="s">
        <v>66</v>
      </c>
      <c r="AM525" s="19" t="s">
        <v>110</v>
      </c>
      <c r="AN525" s="18"/>
      <c r="AO525" s="18"/>
      <c r="AP525" s="22" t="s">
        <v>56</v>
      </c>
      <c r="AQ525" s="18"/>
    </row>
    <row r="526">
      <c r="A526" s="11" t="s">
        <v>2501</v>
      </c>
      <c r="B526" s="11" t="s">
        <v>2502</v>
      </c>
      <c r="C526" s="11" t="str">
        <f>VLOOKUP(A526,import!A:C,3,0)</f>
        <v>YANLIŞ</v>
      </c>
      <c r="D526" s="11" t="s">
        <v>172</v>
      </c>
      <c r="E526" s="11">
        <f>VLOOKUP(A526,import!A:J,5,0)</f>
        <v>404</v>
      </c>
      <c r="F526" s="11" t="str">
        <f>VLOOKUP(A526,import!A:J,6,0)</f>
        <v/>
      </c>
      <c r="G526" s="11">
        <f>VLOOKUP(A526,import!A:J,7,0)</f>
        <v>0</v>
      </c>
      <c r="H526" s="11">
        <f>VLOOKUP(A526,import!A:J,8,0)</f>
        <v>11</v>
      </c>
      <c r="I526" s="11">
        <f>VLOOKUP(A526,import!A:J,9,0)</f>
        <v>11</v>
      </c>
      <c r="J526" s="12">
        <f>VLOOKUP(A526,import!A:J,10,0)</f>
        <v>0</v>
      </c>
      <c r="K526" s="11" t="s">
        <v>2503</v>
      </c>
      <c r="L526" s="11">
        <v>5.353385812E9</v>
      </c>
      <c r="M526" s="11" t="s">
        <v>61</v>
      </c>
      <c r="N526" s="11" t="s">
        <v>62</v>
      </c>
      <c r="O526" s="11" t="s">
        <v>2504</v>
      </c>
      <c r="P526" s="11" t="str">
        <f>VLOOKUP(A526,import!A:P,16,0)</f>
        <v>Geleneksel</v>
      </c>
      <c r="Q526" s="13"/>
      <c r="R526" s="13" t="b">
        <v>1</v>
      </c>
      <c r="S526" s="13" t="b">
        <v>0</v>
      </c>
      <c r="T526" s="14" t="s">
        <v>53</v>
      </c>
      <c r="U526" s="14"/>
      <c r="V526" s="14"/>
      <c r="W526" s="14" t="s">
        <v>2505</v>
      </c>
      <c r="X526" s="24"/>
      <c r="Y526" s="24"/>
      <c r="Z526" s="18"/>
      <c r="AA526" s="19" t="s">
        <v>53</v>
      </c>
      <c r="AB526" s="20">
        <v>44579.0</v>
      </c>
      <c r="AC526" s="19"/>
      <c r="AD526" s="20"/>
      <c r="AE526" s="21"/>
      <c r="AF526" s="18"/>
      <c r="AG526" s="21"/>
      <c r="AH526" s="18"/>
      <c r="AI526" s="18"/>
      <c r="AJ526" s="18"/>
      <c r="AK526" s="19" t="s">
        <v>95</v>
      </c>
      <c r="AL526" s="19"/>
      <c r="AM526" s="18"/>
      <c r="AN526" s="18"/>
      <c r="AO526" s="18"/>
      <c r="AP526" s="22" t="s">
        <v>56</v>
      </c>
      <c r="AQ526" s="18"/>
    </row>
    <row r="527">
      <c r="A527" s="11" t="s">
        <v>2506</v>
      </c>
      <c r="B527" s="11" t="s">
        <v>2507</v>
      </c>
      <c r="C527" s="11" t="str">
        <f>VLOOKUP(A527,import!A:C,3,0)</f>
        <v>DOĞRU</v>
      </c>
      <c r="D527" s="11" t="s">
        <v>406</v>
      </c>
      <c r="E527" s="11">
        <f>VLOOKUP(A527,import!A:J,5,0)</f>
        <v>790</v>
      </c>
      <c r="F527" s="11">
        <f>VLOOKUP(A527,import!A:J,6,0)</f>
        <v>29</v>
      </c>
      <c r="G527" s="11">
        <f>VLOOKUP(A527,import!A:J,7,0)</f>
        <v>0</v>
      </c>
      <c r="H527" s="11">
        <f>VLOOKUP(A527,import!A:J,8,0)</f>
        <v>25</v>
      </c>
      <c r="I527" s="11">
        <f>VLOOKUP(A527,import!A:J,9,0)</f>
        <v>25</v>
      </c>
      <c r="J527" s="12">
        <f>VLOOKUP(A527,import!A:J,10,0)</f>
        <v>0</v>
      </c>
      <c r="K527" s="11" t="s">
        <v>1719</v>
      </c>
      <c r="L527" s="11">
        <v>8.50218363E9</v>
      </c>
      <c r="M527" s="11" t="s">
        <v>61</v>
      </c>
      <c r="N527" s="11" t="s">
        <v>107</v>
      </c>
      <c r="O527" s="11" t="s">
        <v>1720</v>
      </c>
      <c r="P527" s="11" t="str">
        <f>VLOOKUP(A527,import!A:P,16,0)</f>
        <v>Geleneksel</v>
      </c>
      <c r="Q527" s="13"/>
      <c r="R527" s="13" t="b">
        <v>1</v>
      </c>
      <c r="S527" s="13" t="b">
        <v>0</v>
      </c>
      <c r="T527" s="14" t="s">
        <v>74</v>
      </c>
      <c r="U527" s="14" t="s">
        <v>75</v>
      </c>
      <c r="V527" s="23" t="s">
        <v>76</v>
      </c>
      <c r="W527" s="14" t="s">
        <v>2508</v>
      </c>
      <c r="X527" s="24">
        <v>44601.0</v>
      </c>
      <c r="Y527" s="24">
        <v>44601.0</v>
      </c>
      <c r="Z527" s="18"/>
      <c r="AA527" s="19" t="s">
        <v>54</v>
      </c>
      <c r="AB527" s="20">
        <v>44594.0</v>
      </c>
      <c r="AC527" s="19" t="s">
        <v>54</v>
      </c>
      <c r="AD527" s="20">
        <v>44601.0</v>
      </c>
      <c r="AE527" s="21"/>
      <c r="AF527" s="18"/>
      <c r="AG527" s="21"/>
      <c r="AH527" s="18"/>
      <c r="AI527" s="18"/>
      <c r="AJ527" s="18"/>
      <c r="AK527" s="19" t="s">
        <v>95</v>
      </c>
      <c r="AL527" s="19" t="s">
        <v>75</v>
      </c>
      <c r="AM527" s="18"/>
      <c r="AN527" s="18"/>
      <c r="AO527" s="18"/>
      <c r="AP527" s="22" t="s">
        <v>56</v>
      </c>
      <c r="AQ527" s="18"/>
    </row>
    <row r="528">
      <c r="A528" s="11" t="s">
        <v>2509</v>
      </c>
      <c r="B528" s="11" t="s">
        <v>2510</v>
      </c>
      <c r="C528" s="11" t="str">
        <f>VLOOKUP(A528,import!A:C,3,0)</f>
        <v>DOĞRU</v>
      </c>
      <c r="D528" s="11" t="s">
        <v>83</v>
      </c>
      <c r="E528" s="11">
        <f>VLOOKUP(A528,import!A:J,5,0)</f>
        <v>733</v>
      </c>
      <c r="F528" s="11">
        <f>VLOOKUP(A528,import!A:J,6,0)</f>
        <v>17</v>
      </c>
      <c r="G528" s="11">
        <f>VLOOKUP(A528,import!A:J,7,0)</f>
        <v>0</v>
      </c>
      <c r="H528" s="11">
        <f>VLOOKUP(A528,import!A:J,8,0)</f>
        <v>30</v>
      </c>
      <c r="I528" s="11">
        <f>VLOOKUP(A528,import!A:J,9,0)</f>
        <v>30</v>
      </c>
      <c r="J528" s="12">
        <f>VLOOKUP(A528,import!A:J,10,0)</f>
        <v>0</v>
      </c>
      <c r="K528" s="11" t="s">
        <v>270</v>
      </c>
      <c r="L528" s="11">
        <v>5.300651695E9</v>
      </c>
      <c r="M528" s="11" t="s">
        <v>47</v>
      </c>
      <c r="N528" s="11" t="s">
        <v>271</v>
      </c>
      <c r="O528" s="11" t="s">
        <v>2511</v>
      </c>
      <c r="P528" s="11" t="str">
        <f>VLOOKUP(A528,import!A:P,16,0)</f>
        <v>Geleneksel</v>
      </c>
      <c r="Q528" s="13"/>
      <c r="R528" s="13" t="b">
        <v>1</v>
      </c>
      <c r="S528" s="13" t="b">
        <v>0</v>
      </c>
      <c r="T528" s="25" t="s">
        <v>74</v>
      </c>
      <c r="U528" s="25" t="s">
        <v>181</v>
      </c>
      <c r="V528" s="25"/>
      <c r="W528" s="14" t="s">
        <v>2512</v>
      </c>
      <c r="X528" s="34">
        <v>44284.0</v>
      </c>
      <c r="Y528" s="34">
        <v>44285.0</v>
      </c>
      <c r="Z528" s="18"/>
      <c r="AA528" s="19" t="s">
        <v>78</v>
      </c>
      <c r="AB528" s="20">
        <v>44358.0</v>
      </c>
      <c r="AC528" s="19" t="s">
        <v>53</v>
      </c>
      <c r="AD528" s="20">
        <v>44358.0</v>
      </c>
      <c r="AE528" s="21"/>
      <c r="AF528" s="18"/>
      <c r="AG528" s="21"/>
      <c r="AH528" s="18"/>
      <c r="AI528" s="18"/>
      <c r="AJ528" s="18"/>
      <c r="AK528" s="19" t="s">
        <v>55</v>
      </c>
      <c r="AL528" s="19" t="s">
        <v>55</v>
      </c>
      <c r="AM528" s="18"/>
      <c r="AN528" s="18"/>
      <c r="AO528" s="18"/>
      <c r="AP528" s="22" t="s">
        <v>56</v>
      </c>
      <c r="AQ528" s="18"/>
    </row>
    <row r="529">
      <c r="A529" s="11" t="s">
        <v>2513</v>
      </c>
      <c r="B529" s="11" t="s">
        <v>2514</v>
      </c>
      <c r="C529" s="11" t="str">
        <f>VLOOKUP(A529,import!A:C,3,0)</f>
        <v>DOĞRU</v>
      </c>
      <c r="D529" s="11" t="s">
        <v>368</v>
      </c>
      <c r="E529" s="11">
        <f>VLOOKUP(A529,import!A:J,5,0)</f>
        <v>4438</v>
      </c>
      <c r="F529" s="11">
        <f>VLOOKUP(A529,import!A:J,6,0)</f>
        <v>136</v>
      </c>
      <c r="G529" s="11">
        <f>VLOOKUP(A529,import!A:J,7,0)</f>
        <v>24</v>
      </c>
      <c r="H529" s="11">
        <f>VLOOKUP(A529,import!A:J,8,0)</f>
        <v>41</v>
      </c>
      <c r="I529" s="11">
        <f>VLOOKUP(A529,import!A:J,9,0)</f>
        <v>65</v>
      </c>
      <c r="J529" s="12">
        <f>VLOOKUP(A529,import!A:J,10,0)</f>
        <v>0.37</v>
      </c>
      <c r="K529" s="11" t="s">
        <v>2515</v>
      </c>
      <c r="L529" s="11">
        <v>3.5250302E9</v>
      </c>
      <c r="M529" s="11" t="s">
        <v>61</v>
      </c>
      <c r="N529" s="11" t="s">
        <v>62</v>
      </c>
      <c r="O529" s="11" t="s">
        <v>2516</v>
      </c>
      <c r="P529" s="11" t="str">
        <f>VLOOKUP(A529,import!A:P,16,0)</f>
        <v>Geleneksel</v>
      </c>
      <c r="Q529" s="13"/>
      <c r="R529" s="13" t="b">
        <v>1</v>
      </c>
      <c r="S529" s="13" t="b">
        <v>1</v>
      </c>
      <c r="T529" s="15"/>
      <c r="U529" s="15"/>
      <c r="V529" s="40"/>
      <c r="W529" s="14"/>
      <c r="X529" s="17"/>
      <c r="Y529" s="17"/>
      <c r="Z529" s="18"/>
      <c r="AA529" s="18"/>
      <c r="AB529" s="18"/>
      <c r="AC529" s="18"/>
      <c r="AD529" s="18"/>
      <c r="AE529" s="21"/>
      <c r="AF529" s="18"/>
      <c r="AG529" s="21"/>
      <c r="AH529" s="18"/>
      <c r="AI529" s="18"/>
      <c r="AJ529" s="18"/>
      <c r="AK529" s="18"/>
      <c r="AL529" s="18"/>
      <c r="AM529" s="18"/>
      <c r="AN529" s="18"/>
      <c r="AO529" s="18"/>
      <c r="AP529" s="22" t="s">
        <v>56</v>
      </c>
      <c r="AQ529" s="18"/>
    </row>
    <row r="530">
      <c r="A530" s="11" t="s">
        <v>2517</v>
      </c>
      <c r="B530" s="11" t="s">
        <v>2518</v>
      </c>
      <c r="C530" s="11" t="str">
        <f>VLOOKUP(A530,import!A:C,3,0)</f>
        <v>YANLIŞ</v>
      </c>
      <c r="D530" s="11" t="s">
        <v>406</v>
      </c>
      <c r="E530" s="11">
        <f>VLOOKUP(A530,import!A:J,5,0)</f>
        <v>1614</v>
      </c>
      <c r="F530" s="11" t="str">
        <f>VLOOKUP(A530,import!A:J,6,0)</f>
        <v/>
      </c>
      <c r="G530" s="11">
        <f>VLOOKUP(A530,import!A:J,7,0)</f>
        <v>0</v>
      </c>
      <c r="H530" s="11">
        <f>VLOOKUP(A530,import!A:J,8,0)</f>
        <v>74</v>
      </c>
      <c r="I530" s="11">
        <f>VLOOKUP(A530,import!A:J,9,0)</f>
        <v>74</v>
      </c>
      <c r="J530" s="12">
        <f>VLOOKUP(A530,import!A:J,10,0)</f>
        <v>0</v>
      </c>
      <c r="K530" s="11" t="s">
        <v>2220</v>
      </c>
      <c r="L530" s="11">
        <v>3.522353435E9</v>
      </c>
      <c r="M530" s="11" t="s">
        <v>71</v>
      </c>
      <c r="N530" s="11" t="s">
        <v>797</v>
      </c>
      <c r="O530" s="11" t="s">
        <v>2519</v>
      </c>
      <c r="P530" s="11" t="str">
        <f>VLOOKUP(A530,import!A:P,16,0)</f>
        <v>Geleneksel</v>
      </c>
      <c r="Q530" s="13"/>
      <c r="R530" s="13" t="b">
        <v>1</v>
      </c>
      <c r="S530" s="13" t="b">
        <v>0</v>
      </c>
      <c r="T530" s="14" t="s">
        <v>168</v>
      </c>
      <c r="U530" s="15"/>
      <c r="V530" s="40"/>
      <c r="W530" s="14" t="s">
        <v>2520</v>
      </c>
      <c r="X530" s="17"/>
      <c r="Y530" s="17"/>
      <c r="Z530" s="18"/>
      <c r="AA530" s="19" t="s">
        <v>78</v>
      </c>
      <c r="AB530" s="20">
        <v>44378.0</v>
      </c>
      <c r="AC530" s="18"/>
      <c r="AD530" s="18"/>
      <c r="AE530" s="21"/>
      <c r="AF530" s="18"/>
      <c r="AG530" s="21"/>
      <c r="AH530" s="18"/>
      <c r="AI530" s="18"/>
      <c r="AJ530" s="18"/>
      <c r="AK530" s="19" t="s">
        <v>79</v>
      </c>
      <c r="AL530" s="18"/>
      <c r="AM530" s="18"/>
      <c r="AN530" s="18"/>
      <c r="AO530" s="18"/>
      <c r="AP530" s="22" t="s">
        <v>56</v>
      </c>
      <c r="AQ530" s="18"/>
    </row>
    <row r="531">
      <c r="A531" s="11" t="s">
        <v>2521</v>
      </c>
      <c r="B531" s="11" t="s">
        <v>2518</v>
      </c>
      <c r="C531" s="11" t="str">
        <f>VLOOKUP(A531,import!A:C,3,0)</f>
        <v>DOĞRU</v>
      </c>
      <c r="D531" s="11" t="s">
        <v>406</v>
      </c>
      <c r="E531" s="11">
        <f>VLOOKUP(A531,import!A:J,5,0)</f>
        <v>85</v>
      </c>
      <c r="F531" s="11">
        <f>VLOOKUP(A531,import!A:J,6,0)</f>
        <v>13</v>
      </c>
      <c r="G531" s="11">
        <f>VLOOKUP(A531,import!A:J,7,0)</f>
        <v>0</v>
      </c>
      <c r="H531" s="11">
        <f>VLOOKUP(A531,import!A:J,8,0)</f>
        <v>59</v>
      </c>
      <c r="I531" s="11">
        <f>VLOOKUP(A531,import!A:J,9,0)</f>
        <v>59</v>
      </c>
      <c r="J531" s="12">
        <f>VLOOKUP(A531,import!A:J,10,0)</f>
        <v>0</v>
      </c>
      <c r="K531" s="11" t="s">
        <v>2220</v>
      </c>
      <c r="L531" s="11">
        <v>3.522353435E9</v>
      </c>
      <c r="M531" s="11" t="s">
        <v>71</v>
      </c>
      <c r="N531" s="11" t="s">
        <v>797</v>
      </c>
      <c r="O531" s="11" t="s">
        <v>2522</v>
      </c>
      <c r="P531" s="11" t="str">
        <f>VLOOKUP(A531,import!A:P,16,0)</f>
        <v>Geleneksel</v>
      </c>
      <c r="Q531" s="13"/>
      <c r="R531" s="13" t="b">
        <v>1</v>
      </c>
      <c r="S531" s="13" t="b">
        <v>0</v>
      </c>
      <c r="T531" s="14"/>
      <c r="U531" s="14"/>
      <c r="V531" s="14"/>
      <c r="W531" s="14" t="s">
        <v>2523</v>
      </c>
      <c r="X531" s="24"/>
      <c r="Y531" s="24"/>
      <c r="Z531" s="18"/>
      <c r="AA531" s="19" t="s">
        <v>54</v>
      </c>
      <c r="AB531" s="24">
        <v>44642.0</v>
      </c>
      <c r="AC531" s="19" t="s">
        <v>347</v>
      </c>
      <c r="AD531" s="20">
        <v>44663.0</v>
      </c>
      <c r="AE531" s="19"/>
      <c r="AF531" s="20"/>
      <c r="AG531" s="21"/>
      <c r="AH531" s="18"/>
      <c r="AI531" s="18"/>
      <c r="AJ531" s="18"/>
      <c r="AK531" s="19" t="s">
        <v>75</v>
      </c>
      <c r="AL531" s="19" t="s">
        <v>110</v>
      </c>
      <c r="AM531" s="19"/>
      <c r="AN531" s="18"/>
      <c r="AO531" s="18"/>
      <c r="AP531" s="22"/>
      <c r="AQ531" s="18"/>
    </row>
    <row r="532">
      <c r="A532" s="11" t="s">
        <v>2524</v>
      </c>
      <c r="B532" s="11" t="s">
        <v>2525</v>
      </c>
      <c r="C532" s="11" t="str">
        <f>VLOOKUP(A532,import!A:C,3,0)</f>
        <v>DOĞRU</v>
      </c>
      <c r="D532" s="11" t="s">
        <v>172</v>
      </c>
      <c r="E532" s="11" t="str">
        <f>VLOOKUP(A532,import!A:J,5,0)</f>
        <v/>
      </c>
      <c r="F532" s="11" t="str">
        <f>VLOOKUP(A532,import!A:J,6,0)</f>
        <v/>
      </c>
      <c r="G532" s="11">
        <f>VLOOKUP(A532,import!A:J,7,0)</f>
        <v>0</v>
      </c>
      <c r="H532" s="11">
        <f>VLOOKUP(A532,import!A:J,8,0)</f>
        <v>37</v>
      </c>
      <c r="I532" s="11">
        <f>VLOOKUP(A532,import!A:J,9,0)</f>
        <v>37</v>
      </c>
      <c r="J532" s="12">
        <f>VLOOKUP(A532,import!A:J,10,0)</f>
        <v>0</v>
      </c>
      <c r="K532" s="11" t="s">
        <v>2526</v>
      </c>
      <c r="L532" s="11">
        <v>3.52666192E9</v>
      </c>
      <c r="M532" s="11" t="s">
        <v>61</v>
      </c>
      <c r="N532" s="11" t="s">
        <v>107</v>
      </c>
      <c r="O532" s="11" t="s">
        <v>2527</v>
      </c>
      <c r="P532" s="11" t="str">
        <f>VLOOKUP(A532,import!A:P,16,0)</f>
        <v>Geleneksel</v>
      </c>
      <c r="Q532" s="13"/>
      <c r="R532" s="13" t="b">
        <v>1</v>
      </c>
      <c r="S532" s="13" t="b">
        <v>0</v>
      </c>
      <c r="T532" s="14" t="s">
        <v>74</v>
      </c>
      <c r="U532" s="14" t="s">
        <v>110</v>
      </c>
      <c r="V532" s="14" t="s">
        <v>2182</v>
      </c>
      <c r="W532" s="14" t="s">
        <v>2528</v>
      </c>
      <c r="X532" s="24">
        <v>44666.0</v>
      </c>
      <c r="Y532" s="24">
        <v>44669.0</v>
      </c>
      <c r="Z532" s="18"/>
      <c r="AA532" s="19" t="s">
        <v>54</v>
      </c>
      <c r="AB532" s="20">
        <v>44666.0</v>
      </c>
      <c r="AC532" s="19"/>
      <c r="AD532" s="20"/>
      <c r="AE532" s="19"/>
      <c r="AF532" s="20"/>
      <c r="AG532" s="21"/>
      <c r="AH532" s="18"/>
      <c r="AI532" s="18"/>
      <c r="AJ532" s="18"/>
      <c r="AK532" s="19" t="s">
        <v>110</v>
      </c>
      <c r="AL532" s="19"/>
      <c r="AM532" s="19"/>
      <c r="AN532" s="18"/>
      <c r="AO532" s="18"/>
      <c r="AP532" s="22"/>
      <c r="AQ532" s="18"/>
    </row>
    <row r="533">
      <c r="A533" s="22" t="s">
        <v>2529</v>
      </c>
      <c r="B533" s="22" t="s">
        <v>2530</v>
      </c>
      <c r="C533" s="11" t="str">
        <f>VLOOKUP(A533,import!A:C,3,0)</f>
        <v>DOĞRU</v>
      </c>
      <c r="D533" s="22" t="s">
        <v>172</v>
      </c>
      <c r="E533" s="11" t="str">
        <f>VLOOKUP(A533,import!A:J,5,0)</f>
        <v/>
      </c>
      <c r="F533" s="11" t="str">
        <f>VLOOKUP(A533,import!A:J,6,0)</f>
        <v/>
      </c>
      <c r="G533" s="11">
        <f>VLOOKUP(A533,import!A:J,7,0)</f>
        <v>0</v>
      </c>
      <c r="H533" s="11">
        <f>VLOOKUP(A533,import!A:J,8,0)</f>
        <v>49</v>
      </c>
      <c r="I533" s="11">
        <f>VLOOKUP(A533,import!A:J,9,0)</f>
        <v>49</v>
      </c>
      <c r="J533" s="12">
        <f>VLOOKUP(A533,import!A:J,10,0)</f>
        <v>0</v>
      </c>
      <c r="K533" s="22" t="s">
        <v>2531</v>
      </c>
      <c r="L533" s="22">
        <v>5.396403858E9</v>
      </c>
      <c r="M533" s="22" t="s">
        <v>47</v>
      </c>
      <c r="N533" s="22" t="s">
        <v>131</v>
      </c>
      <c r="O533" s="22" t="s">
        <v>2532</v>
      </c>
      <c r="P533" s="11" t="str">
        <f>VLOOKUP(A533,import!A:P,16,0)</f>
        <v>Geleneksel</v>
      </c>
      <c r="Q533" s="13"/>
      <c r="R533" s="13" t="b">
        <v>1</v>
      </c>
      <c r="S533" s="13" t="b">
        <v>0</v>
      </c>
      <c r="T533" s="14" t="s">
        <v>133</v>
      </c>
      <c r="U533" s="14" t="s">
        <v>75</v>
      </c>
      <c r="V533" s="30" t="s">
        <v>76</v>
      </c>
      <c r="W533" s="14" t="s">
        <v>2533</v>
      </c>
      <c r="X533" s="24">
        <v>44673.0</v>
      </c>
      <c r="Y533" s="24">
        <v>44674.0</v>
      </c>
      <c r="Z533" s="18"/>
      <c r="AA533" s="19" t="s">
        <v>54</v>
      </c>
      <c r="AB533" s="24">
        <v>44673.0</v>
      </c>
      <c r="AC533" s="19"/>
      <c r="AD533" s="20"/>
      <c r="AE533" s="19"/>
      <c r="AF533" s="20"/>
      <c r="AG533" s="21"/>
      <c r="AH533" s="18"/>
      <c r="AI533" s="18"/>
      <c r="AJ533" s="18"/>
      <c r="AK533" s="19" t="s">
        <v>75</v>
      </c>
      <c r="AL533" s="19"/>
      <c r="AM533" s="19"/>
      <c r="AN533" s="18"/>
      <c r="AO533" s="18"/>
      <c r="AP533" s="22"/>
      <c r="AQ533" s="18"/>
    </row>
    <row r="534">
      <c r="A534" s="22" t="s">
        <v>2534</v>
      </c>
      <c r="B534" s="22" t="s">
        <v>2535</v>
      </c>
      <c r="C534" s="11" t="str">
        <f>VLOOKUP(A534,import!A:C,3,0)</f>
        <v>DOĞRU</v>
      </c>
      <c r="D534" s="22" t="s">
        <v>1598</v>
      </c>
      <c r="E534" s="11">
        <f>VLOOKUP(A534,import!A:J,5,0)</f>
        <v>1</v>
      </c>
      <c r="F534" s="11" t="str">
        <f>VLOOKUP(A534,import!A:J,6,0)</f>
        <v/>
      </c>
      <c r="G534" s="11">
        <f>VLOOKUP(A534,import!A:J,7,0)</f>
        <v>0</v>
      </c>
      <c r="H534" s="11">
        <f>VLOOKUP(A534,import!A:J,8,0)</f>
        <v>17</v>
      </c>
      <c r="I534" s="11">
        <f>VLOOKUP(A534,import!A:J,9,0)</f>
        <v>17</v>
      </c>
      <c r="J534" s="12">
        <f>VLOOKUP(A534,import!A:J,10,0)</f>
        <v>0</v>
      </c>
      <c r="K534" s="22" t="s">
        <v>772</v>
      </c>
      <c r="L534" s="22">
        <v>3.522221219E9</v>
      </c>
      <c r="M534" s="22" t="s">
        <v>47</v>
      </c>
      <c r="N534" s="22" t="s">
        <v>391</v>
      </c>
      <c r="O534" s="22" t="s">
        <v>773</v>
      </c>
      <c r="P534" s="11" t="str">
        <f>VLOOKUP(A534,import!A:P,16,0)</f>
        <v>Geleneksel</v>
      </c>
      <c r="Q534" s="13"/>
      <c r="R534" s="13" t="b">
        <v>1</v>
      </c>
      <c r="S534" s="13" t="b">
        <v>0</v>
      </c>
      <c r="T534" s="14" t="s">
        <v>133</v>
      </c>
      <c r="U534" s="14"/>
      <c r="V534" s="30"/>
      <c r="W534" s="14" t="s">
        <v>2536</v>
      </c>
      <c r="X534" s="24"/>
      <c r="Y534" s="24"/>
      <c r="Z534" s="18"/>
      <c r="AA534" s="19" t="s">
        <v>54</v>
      </c>
      <c r="AB534" s="20">
        <v>44673.0</v>
      </c>
      <c r="AC534" s="19"/>
      <c r="AD534" s="20"/>
      <c r="AE534" s="19"/>
      <c r="AF534" s="20"/>
      <c r="AG534" s="21"/>
      <c r="AH534" s="18"/>
      <c r="AI534" s="18"/>
      <c r="AJ534" s="18"/>
      <c r="AK534" s="19" t="s">
        <v>110</v>
      </c>
      <c r="AL534" s="19"/>
      <c r="AM534" s="19"/>
      <c r="AN534" s="18"/>
      <c r="AO534" s="18"/>
      <c r="AP534" s="22"/>
      <c r="AQ534" s="18"/>
    </row>
    <row r="535">
      <c r="A535" s="11" t="s">
        <v>2537</v>
      </c>
      <c r="B535" s="11" t="s">
        <v>2538</v>
      </c>
      <c r="C535" s="11" t="str">
        <f>VLOOKUP(A535,import!A:C,3,0)</f>
        <v>DOĞRU</v>
      </c>
      <c r="D535" s="11" t="s">
        <v>1598</v>
      </c>
      <c r="E535" s="11">
        <f>VLOOKUP(A535,import!A:J,5,0)</f>
        <v>865</v>
      </c>
      <c r="F535" s="11">
        <f>VLOOKUP(A535,import!A:J,6,0)</f>
        <v>25</v>
      </c>
      <c r="G535" s="11">
        <f>VLOOKUP(A535,import!A:J,7,0)</f>
        <v>7</v>
      </c>
      <c r="H535" s="11">
        <f>VLOOKUP(A535,import!A:J,8,0)</f>
        <v>1</v>
      </c>
      <c r="I535" s="11">
        <f>VLOOKUP(A535,import!A:J,9,0)</f>
        <v>8</v>
      </c>
      <c r="J535" s="12">
        <f>VLOOKUP(A535,import!A:J,10,0)</f>
        <v>0.88</v>
      </c>
      <c r="K535" s="11" t="s">
        <v>2539</v>
      </c>
      <c r="L535" s="11">
        <v>3.522227666E9</v>
      </c>
      <c r="M535" s="11" t="s">
        <v>47</v>
      </c>
      <c r="N535" s="11" t="s">
        <v>307</v>
      </c>
      <c r="O535" s="11" t="s">
        <v>2540</v>
      </c>
      <c r="P535" s="11" t="str">
        <f>VLOOKUP(A535,import!A:P,16,0)</f>
        <v>Geleneksel</v>
      </c>
      <c r="Q535" s="13"/>
      <c r="R535" s="13" t="b">
        <v>1</v>
      </c>
      <c r="S535" s="13" t="b">
        <v>0</v>
      </c>
      <c r="T535" s="14" t="s">
        <v>74</v>
      </c>
      <c r="U535" s="14" t="s">
        <v>95</v>
      </c>
      <c r="V535" s="14" t="s">
        <v>2541</v>
      </c>
      <c r="W535" s="14" t="s">
        <v>2542</v>
      </c>
      <c r="X535" s="24">
        <v>44351.0</v>
      </c>
      <c r="Y535" s="24">
        <v>44356.0</v>
      </c>
      <c r="Z535" s="18"/>
      <c r="AA535" s="19" t="s">
        <v>54</v>
      </c>
      <c r="AB535" s="20">
        <v>44351.0</v>
      </c>
      <c r="AC535" s="18"/>
      <c r="AD535" s="18"/>
      <c r="AE535" s="21"/>
      <c r="AF535" s="18"/>
      <c r="AG535" s="21"/>
      <c r="AH535" s="18"/>
      <c r="AI535" s="18"/>
      <c r="AJ535" s="18"/>
      <c r="AK535" s="19" t="s">
        <v>1389</v>
      </c>
      <c r="AL535" s="18"/>
      <c r="AM535" s="18"/>
      <c r="AN535" s="18"/>
      <c r="AO535" s="18"/>
      <c r="AP535" s="22" t="s">
        <v>56</v>
      </c>
      <c r="AQ535" s="18"/>
    </row>
    <row r="536">
      <c r="A536" s="11" t="s">
        <v>2543</v>
      </c>
      <c r="B536" s="11" t="s">
        <v>2544</v>
      </c>
      <c r="C536" s="11" t="str">
        <f>VLOOKUP(A536,import!A:C,3,0)</f>
        <v>DOĞRU</v>
      </c>
      <c r="D536" s="11" t="s">
        <v>45</v>
      </c>
      <c r="E536" s="11">
        <f>VLOOKUP(A536,import!A:J,5,0)</f>
        <v>1229</v>
      </c>
      <c r="F536" s="11">
        <f>VLOOKUP(A536,import!A:J,6,0)</f>
        <v>144</v>
      </c>
      <c r="G536" s="11">
        <f>VLOOKUP(A536,import!A:J,7,0)</f>
        <v>0</v>
      </c>
      <c r="H536" s="11">
        <f>VLOOKUP(A536,import!A:J,8,0)</f>
        <v>18</v>
      </c>
      <c r="I536" s="11">
        <f>VLOOKUP(A536,import!A:J,9,0)</f>
        <v>18</v>
      </c>
      <c r="J536" s="12">
        <f>VLOOKUP(A536,import!A:J,10,0)</f>
        <v>0</v>
      </c>
      <c r="K536" s="11" t="s">
        <v>344</v>
      </c>
      <c r="L536" s="11">
        <v>3.52503304E9</v>
      </c>
      <c r="M536" s="11" t="s">
        <v>61</v>
      </c>
      <c r="N536" s="11" t="s">
        <v>62</v>
      </c>
      <c r="O536" s="11" t="s">
        <v>345</v>
      </c>
      <c r="P536" s="11" t="str">
        <f>VLOOKUP(A536,import!A:P,16,0)</f>
        <v>Geleneksel</v>
      </c>
      <c r="Q536" s="13"/>
      <c r="R536" s="13" t="b">
        <v>1</v>
      </c>
      <c r="S536" s="13" t="b">
        <v>0</v>
      </c>
      <c r="T536" s="14" t="s">
        <v>64</v>
      </c>
      <c r="U536" s="14"/>
      <c r="V536" s="31"/>
      <c r="W536" s="14" t="s">
        <v>2545</v>
      </c>
      <c r="X536" s="24"/>
      <c r="Y536" s="24"/>
      <c r="Z536" s="18"/>
      <c r="AA536" s="19" t="s">
        <v>347</v>
      </c>
      <c r="AB536" s="20">
        <v>44578.0</v>
      </c>
      <c r="AC536" s="19" t="s">
        <v>347</v>
      </c>
      <c r="AD536" s="20">
        <v>44622.0</v>
      </c>
      <c r="AE536" s="21"/>
      <c r="AF536" s="18"/>
      <c r="AG536" s="21"/>
      <c r="AH536" s="18"/>
      <c r="AI536" s="18"/>
      <c r="AJ536" s="18"/>
      <c r="AK536" s="19" t="s">
        <v>95</v>
      </c>
      <c r="AL536" s="19" t="s">
        <v>75</v>
      </c>
      <c r="AM536" s="18"/>
      <c r="AN536" s="18"/>
      <c r="AO536" s="18"/>
      <c r="AP536" s="22"/>
      <c r="AQ536" s="18"/>
    </row>
    <row r="537">
      <c r="A537" s="11" t="s">
        <v>2546</v>
      </c>
      <c r="B537" s="11" t="s">
        <v>2547</v>
      </c>
      <c r="C537" s="11" t="str">
        <f>VLOOKUP(A537,import!A:C,3,0)</f>
        <v>DOĞRU</v>
      </c>
      <c r="D537" s="11" t="s">
        <v>45</v>
      </c>
      <c r="E537" s="11">
        <f>VLOOKUP(A537,import!A:J,5,0)</f>
        <v>4048</v>
      </c>
      <c r="F537" s="11">
        <f>VLOOKUP(A537,import!A:J,6,0)</f>
        <v>24</v>
      </c>
      <c r="G537" s="11">
        <f>VLOOKUP(A537,import!A:J,7,0)</f>
        <v>7</v>
      </c>
      <c r="H537" s="11">
        <f>VLOOKUP(A537,import!A:J,8,0)</f>
        <v>15</v>
      </c>
      <c r="I537" s="11">
        <f>VLOOKUP(A537,import!A:J,9,0)</f>
        <v>22</v>
      </c>
      <c r="J537" s="12">
        <f>VLOOKUP(A537,import!A:J,10,0)</f>
        <v>0.32</v>
      </c>
      <c r="K537" s="11" t="s">
        <v>2548</v>
      </c>
      <c r="L537" s="11">
        <v>3.52504309E9</v>
      </c>
      <c r="M537" s="11" t="s">
        <v>61</v>
      </c>
      <c r="N537" s="11" t="s">
        <v>250</v>
      </c>
      <c r="O537" s="11" t="s">
        <v>2549</v>
      </c>
      <c r="P537" s="11" t="str">
        <f>VLOOKUP(A537,import!A:P,16,0)</f>
        <v>Geleneksel</v>
      </c>
      <c r="Q537" s="13"/>
      <c r="R537" s="13" t="b">
        <v>1</v>
      </c>
      <c r="S537" s="13" t="b">
        <v>0</v>
      </c>
      <c r="T537" s="14" t="s">
        <v>94</v>
      </c>
      <c r="U537" s="14" t="s">
        <v>95</v>
      </c>
      <c r="V537" s="14" t="s">
        <v>96</v>
      </c>
      <c r="W537" s="14" t="s">
        <v>422</v>
      </c>
      <c r="X537" s="24">
        <v>44350.0</v>
      </c>
      <c r="Y537" s="24">
        <v>44351.0</v>
      </c>
      <c r="Z537" s="18"/>
      <c r="AA537" s="19" t="s">
        <v>53</v>
      </c>
      <c r="AB537" s="20">
        <v>44347.0</v>
      </c>
      <c r="AC537" s="19" t="s">
        <v>54</v>
      </c>
      <c r="AD537" s="20">
        <v>44350.0</v>
      </c>
      <c r="AE537" s="21"/>
      <c r="AF537" s="18"/>
      <c r="AG537" s="21"/>
      <c r="AH537" s="18"/>
      <c r="AI537" s="18"/>
      <c r="AJ537" s="18"/>
      <c r="AK537" s="18"/>
      <c r="AL537" s="19" t="s">
        <v>79</v>
      </c>
      <c r="AM537" s="18"/>
      <c r="AN537" s="18"/>
      <c r="AO537" s="18"/>
      <c r="AP537" s="22" t="s">
        <v>56</v>
      </c>
      <c r="AQ537" s="18"/>
    </row>
    <row r="538">
      <c r="A538" s="11" t="s">
        <v>2550</v>
      </c>
      <c r="B538" s="11" t="s">
        <v>2551</v>
      </c>
      <c r="C538" s="11" t="str">
        <f>VLOOKUP(A538,import!A:C,3,0)</f>
        <v>DOĞRU</v>
      </c>
      <c r="D538" s="11" t="s">
        <v>165</v>
      </c>
      <c r="E538" s="11">
        <f>VLOOKUP(A538,import!A:J,5,0)</f>
        <v>80</v>
      </c>
      <c r="F538" s="11">
        <f>VLOOKUP(A538,import!A:J,6,0)</f>
        <v>32</v>
      </c>
      <c r="G538" s="11">
        <f>VLOOKUP(A538,import!A:J,7,0)</f>
        <v>0</v>
      </c>
      <c r="H538" s="11">
        <f>VLOOKUP(A538,import!A:J,8,0)</f>
        <v>12</v>
      </c>
      <c r="I538" s="11">
        <f>VLOOKUP(A538,import!A:J,9,0)</f>
        <v>12</v>
      </c>
      <c r="J538" s="12">
        <f>VLOOKUP(A538,import!A:J,10,0)</f>
        <v>0</v>
      </c>
      <c r="K538" s="11" t="s">
        <v>2552</v>
      </c>
      <c r="L538" s="11">
        <v>3.525022721E9</v>
      </c>
      <c r="M538" s="11" t="s">
        <v>71</v>
      </c>
      <c r="N538" s="11" t="s">
        <v>214</v>
      </c>
      <c r="O538" s="11" t="s">
        <v>2553</v>
      </c>
      <c r="P538" s="11" t="str">
        <f>VLOOKUP(A538,import!A:P,16,0)</f>
        <v>Geleneksel</v>
      </c>
      <c r="Q538" s="13"/>
      <c r="R538" s="13" t="b">
        <v>1</v>
      </c>
      <c r="S538" s="13" t="b">
        <v>0</v>
      </c>
      <c r="T538" s="14" t="s">
        <v>133</v>
      </c>
      <c r="U538" s="14" t="s">
        <v>110</v>
      </c>
      <c r="V538" s="30" t="s">
        <v>76</v>
      </c>
      <c r="W538" s="14"/>
      <c r="X538" s="24">
        <v>44662.0</v>
      </c>
      <c r="Y538" s="24">
        <v>44663.0</v>
      </c>
      <c r="Z538" s="18"/>
      <c r="AA538" s="19" t="s">
        <v>54</v>
      </c>
      <c r="AB538" s="20">
        <v>44662.0</v>
      </c>
      <c r="AC538" s="19"/>
      <c r="AD538" s="20"/>
      <c r="AE538" s="19"/>
      <c r="AF538" s="20"/>
      <c r="AG538" s="21"/>
      <c r="AH538" s="18"/>
      <c r="AI538" s="18"/>
      <c r="AJ538" s="18"/>
      <c r="AK538" s="19" t="s">
        <v>110</v>
      </c>
      <c r="AL538" s="19"/>
      <c r="AM538" s="19"/>
      <c r="AN538" s="18"/>
      <c r="AO538" s="18"/>
      <c r="AP538" s="22"/>
      <c r="AQ538" s="18"/>
    </row>
    <row r="539">
      <c r="A539" s="11" t="s">
        <v>2554</v>
      </c>
      <c r="B539" s="11" t="s">
        <v>2555</v>
      </c>
      <c r="C539" s="11" t="str">
        <f>VLOOKUP(A539,import!A:C,3,0)</f>
        <v>DOĞRU</v>
      </c>
      <c r="D539" s="11" t="s">
        <v>45</v>
      </c>
      <c r="E539" s="11">
        <f>VLOOKUP(A539,import!A:J,5,0)</f>
        <v>3113</v>
      </c>
      <c r="F539" s="11">
        <f>VLOOKUP(A539,import!A:J,6,0)</f>
        <v>251</v>
      </c>
      <c r="G539" s="11">
        <f>VLOOKUP(A539,import!A:J,7,0)</f>
        <v>0</v>
      </c>
      <c r="H539" s="11">
        <f>VLOOKUP(A539,import!A:J,8,0)</f>
        <v>18</v>
      </c>
      <c r="I539" s="11">
        <f>VLOOKUP(A539,import!A:J,9,0)</f>
        <v>18</v>
      </c>
      <c r="J539" s="12">
        <f>VLOOKUP(A539,import!A:J,10,0)</f>
        <v>0</v>
      </c>
      <c r="K539" s="11" t="s">
        <v>2556</v>
      </c>
      <c r="L539" s="11">
        <v>3.52431144E9</v>
      </c>
      <c r="M539" s="11" t="s">
        <v>61</v>
      </c>
      <c r="N539" s="11" t="s">
        <v>62</v>
      </c>
      <c r="O539" s="11" t="s">
        <v>2557</v>
      </c>
      <c r="P539" s="11" t="str">
        <f>VLOOKUP(A539,import!A:P,16,0)</f>
        <v>Geleneksel</v>
      </c>
      <c r="Q539" s="13"/>
      <c r="R539" s="13" t="b">
        <v>1</v>
      </c>
      <c r="S539" s="13" t="b">
        <v>0</v>
      </c>
      <c r="T539" s="14" t="s">
        <v>94</v>
      </c>
      <c r="U539" s="14" t="s">
        <v>568</v>
      </c>
      <c r="V539" s="49" t="s">
        <v>569</v>
      </c>
      <c r="W539" s="14" t="s">
        <v>2558</v>
      </c>
      <c r="X539" s="24">
        <v>44302.0</v>
      </c>
      <c r="Y539" s="24">
        <v>44305.0</v>
      </c>
      <c r="Z539" s="19" t="s">
        <v>2338</v>
      </c>
      <c r="AA539" s="19" t="s">
        <v>64</v>
      </c>
      <c r="AB539" s="20">
        <v>44358.0</v>
      </c>
      <c r="AC539" s="18"/>
      <c r="AD539" s="18"/>
      <c r="AE539" s="21"/>
      <c r="AF539" s="18"/>
      <c r="AG539" s="21"/>
      <c r="AH539" s="18"/>
      <c r="AI539" s="18"/>
      <c r="AJ539" s="18"/>
      <c r="AK539" s="19" t="s">
        <v>55</v>
      </c>
      <c r="AL539" s="18"/>
      <c r="AM539" s="18"/>
      <c r="AN539" s="18"/>
      <c r="AO539" s="18"/>
      <c r="AP539" s="22" t="s">
        <v>56</v>
      </c>
      <c r="AQ539" s="18"/>
    </row>
    <row r="540">
      <c r="A540" s="11" t="s">
        <v>2559</v>
      </c>
      <c r="B540" s="11" t="s">
        <v>2560</v>
      </c>
      <c r="C540" s="11" t="str">
        <f>VLOOKUP(A540,import!A:C,3,0)</f>
        <v>YANLIŞ</v>
      </c>
      <c r="D540" s="11" t="s">
        <v>172</v>
      </c>
      <c r="E540" s="11" t="str">
        <f>VLOOKUP(A540,import!A:J,5,0)</f>
        <v/>
      </c>
      <c r="F540" s="11" t="str">
        <f>VLOOKUP(A540,import!A:J,6,0)</f>
        <v/>
      </c>
      <c r="G540" s="11">
        <f>VLOOKUP(A540,import!A:J,7,0)</f>
        <v>0</v>
      </c>
      <c r="H540" s="11">
        <f>VLOOKUP(A540,import!A:J,8,0)</f>
        <v>12</v>
      </c>
      <c r="I540" s="11">
        <f>VLOOKUP(A540,import!A:J,9,0)</f>
        <v>12</v>
      </c>
      <c r="J540" s="12">
        <f>VLOOKUP(A540,import!A:J,10,0)</f>
        <v>0</v>
      </c>
      <c r="K540" s="11" t="s">
        <v>2561</v>
      </c>
      <c r="L540" s="11">
        <v>3.52231581E9</v>
      </c>
      <c r="M540" s="11" t="s">
        <v>47</v>
      </c>
      <c r="N540" s="11" t="s">
        <v>307</v>
      </c>
      <c r="O540" s="11" t="s">
        <v>2562</v>
      </c>
      <c r="P540" s="11" t="str">
        <f>VLOOKUP(A540,import!A:P,16,0)</f>
        <v>Geleneksel</v>
      </c>
      <c r="Q540" s="13"/>
      <c r="R540" s="13" t="b">
        <v>0</v>
      </c>
      <c r="S540" s="13" t="b">
        <v>0</v>
      </c>
      <c r="T540" s="14"/>
      <c r="U540" s="14"/>
      <c r="V540" s="14"/>
      <c r="W540" s="14"/>
      <c r="X540" s="24"/>
      <c r="Y540" s="24"/>
      <c r="Z540" s="18"/>
      <c r="AA540" s="19"/>
      <c r="AB540" s="20"/>
      <c r="AC540" s="19"/>
      <c r="AD540" s="20"/>
      <c r="AE540" s="21"/>
      <c r="AF540" s="18"/>
      <c r="AG540" s="21"/>
      <c r="AH540" s="18"/>
      <c r="AI540" s="18"/>
      <c r="AJ540" s="18"/>
      <c r="AK540" s="19"/>
      <c r="AL540" s="19"/>
      <c r="AM540" s="18"/>
      <c r="AN540" s="18"/>
      <c r="AO540" s="18"/>
      <c r="AP540" s="22"/>
      <c r="AQ540" s="18"/>
    </row>
    <row r="541">
      <c r="A541" s="11" t="s">
        <v>2563</v>
      </c>
      <c r="B541" s="11" t="s">
        <v>2564</v>
      </c>
      <c r="C541" s="11" t="str">
        <f>VLOOKUP(A541,import!A:C,3,0)</f>
        <v>DOĞRU</v>
      </c>
      <c r="D541" s="11" t="s">
        <v>172</v>
      </c>
      <c r="E541" s="11">
        <f>VLOOKUP(A541,import!A:J,5,0)</f>
        <v>2051</v>
      </c>
      <c r="F541" s="11">
        <f>VLOOKUP(A541,import!A:J,6,0)</f>
        <v>158</v>
      </c>
      <c r="G541" s="11">
        <f>VLOOKUP(A541,import!A:J,7,0)</f>
        <v>0</v>
      </c>
      <c r="H541" s="11">
        <f>VLOOKUP(A541,import!A:J,8,0)</f>
        <v>18</v>
      </c>
      <c r="I541" s="11">
        <f>VLOOKUP(A541,import!A:J,9,0)</f>
        <v>18</v>
      </c>
      <c r="J541" s="12">
        <f>VLOOKUP(A541,import!A:J,10,0)</f>
        <v>0</v>
      </c>
      <c r="K541" s="11" t="s">
        <v>561</v>
      </c>
      <c r="L541" s="11">
        <v>5.41471638E9</v>
      </c>
      <c r="M541" s="11" t="s">
        <v>61</v>
      </c>
      <c r="N541" s="11" t="s">
        <v>62</v>
      </c>
      <c r="O541" s="11" t="s">
        <v>562</v>
      </c>
      <c r="P541" s="11" t="str">
        <f>VLOOKUP(A541,import!A:P,16,0)</f>
        <v>Geleneksel</v>
      </c>
      <c r="Q541" s="13"/>
      <c r="R541" s="13" t="b">
        <v>1</v>
      </c>
      <c r="S541" s="13" t="b">
        <v>0</v>
      </c>
      <c r="T541" s="14" t="s">
        <v>2565</v>
      </c>
      <c r="U541" s="14"/>
      <c r="V541" s="14"/>
      <c r="W541" s="14" t="s">
        <v>2566</v>
      </c>
      <c r="X541" s="24"/>
      <c r="Y541" s="24"/>
      <c r="Z541" s="18"/>
      <c r="AA541" s="19" t="s">
        <v>64</v>
      </c>
      <c r="AB541" s="20">
        <v>44579.0</v>
      </c>
      <c r="AC541" s="19"/>
      <c r="AD541" s="20"/>
      <c r="AE541" s="21"/>
      <c r="AF541" s="18"/>
      <c r="AG541" s="21"/>
      <c r="AH541" s="18"/>
      <c r="AI541" s="18"/>
      <c r="AJ541" s="18"/>
      <c r="AK541" s="19" t="s">
        <v>95</v>
      </c>
      <c r="AL541" s="19"/>
      <c r="AM541" s="18"/>
      <c r="AN541" s="18"/>
      <c r="AO541" s="18"/>
      <c r="AP541" s="22" t="s">
        <v>56</v>
      </c>
      <c r="AQ541" s="18"/>
    </row>
    <row r="542">
      <c r="A542" s="11" t="s">
        <v>2567</v>
      </c>
      <c r="B542" s="11" t="s">
        <v>2568</v>
      </c>
      <c r="C542" s="11" t="str">
        <f>VLOOKUP(A542,import!A:C,3,0)</f>
        <v>DOĞRU</v>
      </c>
      <c r="D542" s="11" t="s">
        <v>59</v>
      </c>
      <c r="E542" s="11">
        <f>VLOOKUP(A542,import!A:J,5,0)</f>
        <v>160</v>
      </c>
      <c r="F542" s="11" t="str">
        <f>VLOOKUP(A542,import!A:J,6,0)</f>
        <v/>
      </c>
      <c r="G542" s="11">
        <f>VLOOKUP(A542,import!A:J,7,0)</f>
        <v>0</v>
      </c>
      <c r="H542" s="11">
        <f>VLOOKUP(A542,import!A:J,8,0)</f>
        <v>16</v>
      </c>
      <c r="I542" s="11">
        <f>VLOOKUP(A542,import!A:J,9,0)</f>
        <v>16</v>
      </c>
      <c r="J542" s="12">
        <f>VLOOKUP(A542,import!A:J,10,0)</f>
        <v>0</v>
      </c>
      <c r="K542" s="11" t="s">
        <v>2569</v>
      </c>
      <c r="L542" s="11">
        <v>5.461308038E9</v>
      </c>
      <c r="M542" s="11" t="s">
        <v>61</v>
      </c>
      <c r="N542" s="11" t="s">
        <v>62</v>
      </c>
      <c r="O542" s="11" t="s">
        <v>2570</v>
      </c>
      <c r="P542" s="11" t="str">
        <f>VLOOKUP(A542,import!A:P,16,0)</f>
        <v>Geleneksel</v>
      </c>
      <c r="Q542" s="13"/>
      <c r="R542" s="13" t="b">
        <v>1</v>
      </c>
      <c r="S542" s="13" t="b">
        <v>0</v>
      </c>
      <c r="T542" s="14"/>
      <c r="U542" s="14"/>
      <c r="V542" s="14"/>
      <c r="W542" s="14" t="s">
        <v>2571</v>
      </c>
      <c r="X542" s="24"/>
      <c r="Y542" s="24"/>
      <c r="Z542" s="18"/>
      <c r="AA542" s="19" t="s">
        <v>53</v>
      </c>
      <c r="AB542" s="20">
        <v>44579.0</v>
      </c>
      <c r="AC542" s="19" t="s">
        <v>54</v>
      </c>
      <c r="AD542" s="20">
        <v>44638.0</v>
      </c>
      <c r="AE542" s="21"/>
      <c r="AF542" s="18"/>
      <c r="AG542" s="21"/>
      <c r="AH542" s="18"/>
      <c r="AI542" s="18"/>
      <c r="AJ542" s="18"/>
      <c r="AK542" s="19" t="s">
        <v>95</v>
      </c>
      <c r="AL542" s="19" t="s">
        <v>140</v>
      </c>
      <c r="AM542" s="18"/>
      <c r="AN542" s="18"/>
      <c r="AO542" s="18"/>
      <c r="AP542" s="22" t="s">
        <v>56</v>
      </c>
      <c r="AQ542" s="18"/>
    </row>
    <row r="543">
      <c r="A543" s="11" t="s">
        <v>2572</v>
      </c>
      <c r="B543" s="11" t="s">
        <v>2573</v>
      </c>
      <c r="C543" s="11" t="str">
        <f>VLOOKUP(A543,import!A:C,3,0)</f>
        <v>DOĞRU</v>
      </c>
      <c r="D543" s="11" t="s">
        <v>368</v>
      </c>
      <c r="E543" s="11">
        <f>VLOOKUP(A543,import!A:J,5,0)</f>
        <v>458</v>
      </c>
      <c r="F543" s="11">
        <f>VLOOKUP(A543,import!A:J,6,0)</f>
        <v>93</v>
      </c>
      <c r="G543" s="11">
        <f>VLOOKUP(A543,import!A:J,7,0)</f>
        <v>8</v>
      </c>
      <c r="H543" s="11">
        <f>VLOOKUP(A543,import!A:J,8,0)</f>
        <v>80</v>
      </c>
      <c r="I543" s="11">
        <f>VLOOKUP(A543,import!A:J,9,0)</f>
        <v>88</v>
      </c>
      <c r="J543" s="12">
        <f>VLOOKUP(A543,import!A:J,10,0)</f>
        <v>0.09</v>
      </c>
      <c r="K543" s="11" t="s">
        <v>2574</v>
      </c>
      <c r="L543" s="11">
        <v>3.5243107E9</v>
      </c>
      <c r="M543" s="11" t="s">
        <v>61</v>
      </c>
      <c r="N543" s="11" t="s">
        <v>62</v>
      </c>
      <c r="O543" s="11" t="s">
        <v>2575</v>
      </c>
      <c r="P543" s="11" t="str">
        <f>VLOOKUP(A543,import!A:P,16,0)</f>
        <v>Geleneksel</v>
      </c>
      <c r="Q543" s="13"/>
      <c r="R543" s="13" t="b">
        <v>1</v>
      </c>
      <c r="S543" s="13" t="b">
        <v>0</v>
      </c>
      <c r="T543" s="14" t="s">
        <v>74</v>
      </c>
      <c r="U543" s="14" t="s">
        <v>110</v>
      </c>
      <c r="V543" s="30" t="s">
        <v>76</v>
      </c>
      <c r="W543" s="14" t="s">
        <v>2576</v>
      </c>
      <c r="X543" s="24">
        <v>44670.0</v>
      </c>
      <c r="Y543" s="24">
        <v>44671.0</v>
      </c>
      <c r="Z543" s="18"/>
      <c r="AA543" s="19" t="s">
        <v>54</v>
      </c>
      <c r="AB543" s="24">
        <v>44615.0</v>
      </c>
      <c r="AC543" s="19" t="s">
        <v>54</v>
      </c>
      <c r="AD543" s="20">
        <v>44670.0</v>
      </c>
      <c r="AE543" s="19"/>
      <c r="AF543" s="20"/>
      <c r="AG543" s="21"/>
      <c r="AH543" s="18"/>
      <c r="AI543" s="18"/>
      <c r="AJ543" s="18"/>
      <c r="AK543" s="19" t="s">
        <v>75</v>
      </c>
      <c r="AL543" s="19" t="s">
        <v>110</v>
      </c>
      <c r="AM543" s="19"/>
      <c r="AN543" s="18"/>
      <c r="AO543" s="18"/>
      <c r="AP543" s="22"/>
      <c r="AQ543" s="18"/>
    </row>
    <row r="544">
      <c r="A544" s="11" t="s">
        <v>2577</v>
      </c>
      <c r="B544" s="11" t="s">
        <v>2578</v>
      </c>
      <c r="C544" s="11" t="str">
        <f>VLOOKUP(A544,import!A:C,3,0)</f>
        <v>DOĞRU</v>
      </c>
      <c r="D544" s="11" t="s">
        <v>69</v>
      </c>
      <c r="E544" s="11">
        <f>VLOOKUP(A544,import!A:J,5,0)</f>
        <v>66</v>
      </c>
      <c r="F544" s="11">
        <f>VLOOKUP(A544,import!A:J,6,0)</f>
        <v>17</v>
      </c>
      <c r="G544" s="11">
        <f>VLOOKUP(A544,import!A:J,7,0)</f>
        <v>0</v>
      </c>
      <c r="H544" s="11">
        <f>VLOOKUP(A544,import!A:J,8,0)</f>
        <v>43</v>
      </c>
      <c r="I544" s="11">
        <f>VLOOKUP(A544,import!A:J,9,0)</f>
        <v>43</v>
      </c>
      <c r="J544" s="12">
        <f>VLOOKUP(A544,import!A:J,10,0)</f>
        <v>0</v>
      </c>
      <c r="K544" s="11" t="s">
        <v>2579</v>
      </c>
      <c r="L544" s="11">
        <v>3.524313322E9</v>
      </c>
      <c r="M544" s="11" t="s">
        <v>61</v>
      </c>
      <c r="N544" s="11" t="s">
        <v>62</v>
      </c>
      <c r="O544" s="11" t="s">
        <v>2580</v>
      </c>
      <c r="P544" s="11" t="str">
        <f>VLOOKUP(A544,import!A:P,16,0)</f>
        <v>Geleneksel</v>
      </c>
      <c r="Q544" s="13"/>
      <c r="R544" s="13" t="b">
        <v>1</v>
      </c>
      <c r="S544" s="13" t="b">
        <v>0</v>
      </c>
      <c r="T544" s="14" t="s">
        <v>74</v>
      </c>
      <c r="U544" s="14" t="s">
        <v>140</v>
      </c>
      <c r="V544" s="30" t="s">
        <v>76</v>
      </c>
      <c r="W544" s="14" t="s">
        <v>2581</v>
      </c>
      <c r="X544" s="24">
        <v>44620.0</v>
      </c>
      <c r="Y544" s="24">
        <v>44621.0</v>
      </c>
      <c r="Z544" s="18"/>
      <c r="AA544" s="19" t="s">
        <v>54</v>
      </c>
      <c r="AB544" s="20">
        <v>44620.0</v>
      </c>
      <c r="AC544" s="19"/>
      <c r="AD544" s="20"/>
      <c r="AE544" s="19"/>
      <c r="AF544" s="20"/>
      <c r="AG544" s="21"/>
      <c r="AH544" s="18"/>
      <c r="AI544" s="18"/>
      <c r="AJ544" s="18"/>
      <c r="AK544" s="19" t="s">
        <v>140</v>
      </c>
      <c r="AL544" s="19"/>
      <c r="AM544" s="19"/>
      <c r="AN544" s="18"/>
      <c r="AO544" s="18"/>
      <c r="AP544" s="22"/>
      <c r="AQ544" s="18"/>
    </row>
    <row r="545">
      <c r="A545" s="11" t="s">
        <v>2582</v>
      </c>
      <c r="B545" s="11" t="s">
        <v>2583</v>
      </c>
      <c r="C545" s="11" t="str">
        <f>VLOOKUP(A545,import!A:C,3,0)</f>
        <v>YANLIŞ</v>
      </c>
      <c r="D545" s="11" t="s">
        <v>453</v>
      </c>
      <c r="E545" s="11">
        <f>VLOOKUP(A545,import!A:J,5,0)</f>
        <v>92</v>
      </c>
      <c r="F545" s="11" t="str">
        <f>VLOOKUP(A545,import!A:J,6,0)</f>
        <v/>
      </c>
      <c r="G545" s="11">
        <f>VLOOKUP(A545,import!A:J,7,0)</f>
        <v>0</v>
      </c>
      <c r="H545" s="11">
        <f>VLOOKUP(A545,import!A:J,8,0)</f>
        <v>13</v>
      </c>
      <c r="I545" s="11">
        <f>VLOOKUP(A545,import!A:J,9,0)</f>
        <v>13</v>
      </c>
      <c r="J545" s="12">
        <f>VLOOKUP(A545,import!A:J,10,0)</f>
        <v>0</v>
      </c>
      <c r="K545" s="11" t="s">
        <v>2584</v>
      </c>
      <c r="L545" s="11">
        <v>3.52222338E9</v>
      </c>
      <c r="M545" s="11" t="s">
        <v>47</v>
      </c>
      <c r="N545" s="11" t="s">
        <v>391</v>
      </c>
      <c r="O545" s="11" t="s">
        <v>2585</v>
      </c>
      <c r="P545" s="11" t="str">
        <f>VLOOKUP(A545,import!A:P,16,0)</f>
        <v>Geleneksel</v>
      </c>
      <c r="Q545" s="13"/>
      <c r="R545" s="13" t="b">
        <v>1</v>
      </c>
      <c r="S545" s="13" t="b">
        <v>0</v>
      </c>
      <c r="T545" s="14" t="s">
        <v>53</v>
      </c>
      <c r="U545" s="15"/>
      <c r="V545" s="15"/>
      <c r="W545" s="14" t="s">
        <v>2586</v>
      </c>
      <c r="X545" s="17"/>
      <c r="Y545" s="17"/>
      <c r="Z545" s="18"/>
      <c r="AA545" s="19" t="s">
        <v>347</v>
      </c>
      <c r="AB545" s="20">
        <v>44358.0</v>
      </c>
      <c r="AC545" s="19" t="s">
        <v>347</v>
      </c>
      <c r="AD545" s="20">
        <v>44378.0</v>
      </c>
      <c r="AE545" s="21"/>
      <c r="AF545" s="18"/>
      <c r="AG545" s="21"/>
      <c r="AH545" s="18"/>
      <c r="AI545" s="18"/>
      <c r="AJ545" s="18"/>
      <c r="AK545" s="19" t="s">
        <v>55</v>
      </c>
      <c r="AL545" s="19" t="s">
        <v>79</v>
      </c>
      <c r="AM545" s="18"/>
      <c r="AN545" s="18"/>
      <c r="AO545" s="18"/>
      <c r="AP545" s="22" t="s">
        <v>56</v>
      </c>
      <c r="AQ545" s="18"/>
    </row>
    <row r="546">
      <c r="A546" s="11" t="s">
        <v>2587</v>
      </c>
      <c r="B546" s="11" t="s">
        <v>2588</v>
      </c>
      <c r="C546" s="11" t="str">
        <f>VLOOKUP(A546,import!A:C,3,0)</f>
        <v>DOĞRU</v>
      </c>
      <c r="D546" s="11" t="s">
        <v>406</v>
      </c>
      <c r="E546" s="11">
        <f>VLOOKUP(A546,import!A:J,5,0)</f>
        <v>146</v>
      </c>
      <c r="F546" s="11">
        <f>VLOOKUP(A546,import!A:J,6,0)</f>
        <v>93</v>
      </c>
      <c r="G546" s="11">
        <f>VLOOKUP(A546,import!A:J,7,0)</f>
        <v>0</v>
      </c>
      <c r="H546" s="11">
        <f>VLOOKUP(A546,import!A:J,8,0)</f>
        <v>12</v>
      </c>
      <c r="I546" s="11">
        <f>VLOOKUP(A546,import!A:J,9,0)</f>
        <v>12</v>
      </c>
      <c r="J546" s="12">
        <f>VLOOKUP(A546,import!A:J,10,0)</f>
        <v>0</v>
      </c>
      <c r="K546" s="11" t="s">
        <v>2589</v>
      </c>
      <c r="L546" s="11">
        <v>3.525020607E9</v>
      </c>
      <c r="M546" s="11" t="s">
        <v>61</v>
      </c>
      <c r="N546" s="11" t="s">
        <v>62</v>
      </c>
      <c r="O546" s="11" t="s">
        <v>2590</v>
      </c>
      <c r="P546" s="11" t="str">
        <f>VLOOKUP(A546,import!A:P,16,0)</f>
        <v>Geleneksel</v>
      </c>
      <c r="Q546" s="13"/>
      <c r="R546" s="13" t="b">
        <v>1</v>
      </c>
      <c r="S546" s="13" t="b">
        <v>0</v>
      </c>
      <c r="T546" s="14" t="s">
        <v>133</v>
      </c>
      <c r="U546" s="14"/>
      <c r="V546" s="14"/>
      <c r="W546" s="14" t="s">
        <v>2591</v>
      </c>
      <c r="X546" s="24"/>
      <c r="Y546" s="24"/>
      <c r="Z546" s="18"/>
      <c r="AA546" s="19" t="s">
        <v>54</v>
      </c>
      <c r="AB546" s="20">
        <v>44666.0</v>
      </c>
      <c r="AC546" s="19" t="s">
        <v>54</v>
      </c>
      <c r="AD546" s="20">
        <v>44670.0</v>
      </c>
      <c r="AE546" s="19"/>
      <c r="AF546" s="20"/>
      <c r="AG546" s="21"/>
      <c r="AH546" s="18"/>
      <c r="AI546" s="18"/>
      <c r="AJ546" s="18"/>
      <c r="AK546" s="19" t="s">
        <v>110</v>
      </c>
      <c r="AL546" s="19" t="s">
        <v>110</v>
      </c>
      <c r="AM546" s="19"/>
      <c r="AN546" s="18"/>
      <c r="AO546" s="18"/>
      <c r="AP546" s="22"/>
      <c r="AQ546" s="18"/>
    </row>
    <row r="547">
      <c r="A547" s="11" t="s">
        <v>2592</v>
      </c>
      <c r="B547" s="11" t="s">
        <v>2593</v>
      </c>
      <c r="C547" s="11" t="str">
        <f>VLOOKUP(A547,import!A:C,3,0)</f>
        <v>DOĞRU</v>
      </c>
      <c r="D547" s="11" t="s">
        <v>172</v>
      </c>
      <c r="E547" s="11">
        <f>VLOOKUP(A547,import!A:J,5,0)</f>
        <v>107</v>
      </c>
      <c r="F547" s="11" t="str">
        <f>VLOOKUP(A547,import!A:J,6,0)</f>
        <v/>
      </c>
      <c r="G547" s="11">
        <f>VLOOKUP(A547,import!A:J,7,0)</f>
        <v>0</v>
      </c>
      <c r="H547" s="11">
        <f>VLOOKUP(A547,import!A:J,8,0)</f>
        <v>6</v>
      </c>
      <c r="I547" s="11">
        <f>VLOOKUP(A547,import!A:J,9,0)</f>
        <v>6</v>
      </c>
      <c r="J547" s="12">
        <f>VLOOKUP(A547,import!A:J,10,0)</f>
        <v>0</v>
      </c>
      <c r="K547" s="11" t="s">
        <v>2594</v>
      </c>
      <c r="L547" s="11">
        <v>5.550121202E9</v>
      </c>
      <c r="M547" s="11" t="s">
        <v>47</v>
      </c>
      <c r="N547" s="11" t="s">
        <v>1091</v>
      </c>
      <c r="O547" s="11" t="s">
        <v>2595</v>
      </c>
      <c r="P547" s="11" t="str">
        <f>VLOOKUP(A547,import!A:P,16,0)</f>
        <v>Geleneksel</v>
      </c>
      <c r="Q547" s="13"/>
      <c r="R547" s="13" t="b">
        <v>1</v>
      </c>
      <c r="S547" s="13" t="b">
        <v>0</v>
      </c>
      <c r="T547" s="14" t="s">
        <v>133</v>
      </c>
      <c r="U547" s="14"/>
      <c r="V547" s="14"/>
      <c r="W547" s="14" t="s">
        <v>2596</v>
      </c>
      <c r="X547" s="24"/>
      <c r="Y547" s="24"/>
      <c r="Z547" s="18"/>
      <c r="AA547" s="19" t="s">
        <v>54</v>
      </c>
      <c r="AB547" s="20">
        <v>44599.0</v>
      </c>
      <c r="AC547" s="19"/>
      <c r="AD547" s="20"/>
      <c r="AE547" s="19"/>
      <c r="AF547" s="20"/>
      <c r="AG547" s="21"/>
      <c r="AH547" s="18"/>
      <c r="AI547" s="18"/>
      <c r="AJ547" s="18"/>
      <c r="AK547" s="19" t="s">
        <v>110</v>
      </c>
      <c r="AL547" s="19"/>
      <c r="AM547" s="19"/>
      <c r="AN547" s="18"/>
      <c r="AO547" s="18"/>
      <c r="AP547" s="22"/>
      <c r="AQ547" s="18"/>
    </row>
    <row r="548">
      <c r="A548" s="11" t="s">
        <v>2597</v>
      </c>
      <c r="B548" s="11" t="s">
        <v>2598</v>
      </c>
      <c r="C548" s="11" t="str">
        <f>VLOOKUP(A548,import!A:C,3,0)</f>
        <v>DOĞRU</v>
      </c>
      <c r="D548" s="11" t="s">
        <v>406</v>
      </c>
      <c r="E548" s="11">
        <f>VLOOKUP(A548,import!A:J,5,0)</f>
        <v>7111</v>
      </c>
      <c r="F548" s="11">
        <f>VLOOKUP(A548,import!A:J,6,0)</f>
        <v>216</v>
      </c>
      <c r="G548" s="11">
        <f>VLOOKUP(A548,import!A:J,7,0)</f>
        <v>0</v>
      </c>
      <c r="H548" s="11">
        <f>VLOOKUP(A548,import!A:J,8,0)</f>
        <v>40</v>
      </c>
      <c r="I548" s="11">
        <f>VLOOKUP(A548,import!A:J,9,0)</f>
        <v>40</v>
      </c>
      <c r="J548" s="12">
        <f>VLOOKUP(A548,import!A:J,10,0)</f>
        <v>0</v>
      </c>
      <c r="K548" s="11" t="s">
        <v>2599</v>
      </c>
      <c r="L548" s="11">
        <v>3.524383342E9</v>
      </c>
      <c r="M548" s="11" t="s">
        <v>61</v>
      </c>
      <c r="N548" s="11" t="s">
        <v>62</v>
      </c>
      <c r="O548" s="11" t="s">
        <v>2600</v>
      </c>
      <c r="P548" s="11" t="str">
        <f>VLOOKUP(A548,import!A:P,16,0)</f>
        <v>Geleneksel</v>
      </c>
      <c r="Q548" s="13"/>
      <c r="R548" s="13" t="b">
        <v>1</v>
      </c>
      <c r="S548" s="13" t="b">
        <v>1</v>
      </c>
      <c r="T548" s="15"/>
      <c r="U548" s="15"/>
      <c r="V548" s="15"/>
      <c r="W548" s="14" t="s">
        <v>2601</v>
      </c>
      <c r="X548" s="17"/>
      <c r="Y548" s="17"/>
      <c r="Z548" s="18"/>
      <c r="AA548" s="19" t="s">
        <v>54</v>
      </c>
      <c r="AB548" s="20">
        <v>44358.0</v>
      </c>
      <c r="AC548" s="19" t="s">
        <v>54</v>
      </c>
      <c r="AD548" s="20">
        <v>44666.0</v>
      </c>
      <c r="AE548" s="21"/>
      <c r="AF548" s="18"/>
      <c r="AG548" s="21"/>
      <c r="AH548" s="18"/>
      <c r="AI548" s="18"/>
      <c r="AJ548" s="18"/>
      <c r="AK548" s="19" t="s">
        <v>55</v>
      </c>
      <c r="AL548" s="19" t="s">
        <v>110</v>
      </c>
      <c r="AM548" s="18"/>
      <c r="AN548" s="18"/>
      <c r="AO548" s="18"/>
      <c r="AP548" s="22" t="s">
        <v>56</v>
      </c>
      <c r="AQ548" s="18"/>
    </row>
    <row r="549">
      <c r="A549" s="11" t="s">
        <v>2602</v>
      </c>
      <c r="B549" s="11" t="s">
        <v>2603</v>
      </c>
      <c r="C549" s="11" t="str">
        <f>VLOOKUP(A549,import!A:C,3,0)</f>
        <v>DOĞRU</v>
      </c>
      <c r="D549" s="11" t="s">
        <v>59</v>
      </c>
      <c r="E549" s="11">
        <f>VLOOKUP(A549,import!A:J,5,0)</f>
        <v>491</v>
      </c>
      <c r="F549" s="11" t="str">
        <f>VLOOKUP(A549,import!A:J,6,0)</f>
        <v/>
      </c>
      <c r="G549" s="11">
        <f>VLOOKUP(A549,import!A:J,7,0)</f>
        <v>9</v>
      </c>
      <c r="H549" s="11">
        <f>VLOOKUP(A549,import!A:J,8,0)</f>
        <v>24</v>
      </c>
      <c r="I549" s="11">
        <f>VLOOKUP(A549,import!A:J,9,0)</f>
        <v>33</v>
      </c>
      <c r="J549" s="12">
        <f>VLOOKUP(A549,import!A:J,10,0)</f>
        <v>0.27</v>
      </c>
      <c r="K549" s="11" t="s">
        <v>2604</v>
      </c>
      <c r="L549" s="11">
        <v>3.52333808E9</v>
      </c>
      <c r="M549" s="11" t="s">
        <v>47</v>
      </c>
      <c r="N549" s="11" t="s">
        <v>391</v>
      </c>
      <c r="O549" s="11" t="s">
        <v>2605</v>
      </c>
      <c r="P549" s="11" t="str">
        <f>VLOOKUP(A549,import!A:P,16,0)</f>
        <v>Geleneksel</v>
      </c>
      <c r="Q549" s="13"/>
      <c r="R549" s="13" t="b">
        <v>1</v>
      </c>
      <c r="S549" s="13" t="b">
        <v>0</v>
      </c>
      <c r="T549" s="14" t="s">
        <v>133</v>
      </c>
      <c r="U549" s="14" t="s">
        <v>110</v>
      </c>
      <c r="V549" s="23" t="s">
        <v>76</v>
      </c>
      <c r="W549" s="14" t="s">
        <v>2606</v>
      </c>
      <c r="X549" s="24">
        <v>44589.0</v>
      </c>
      <c r="Y549" s="24">
        <v>44592.0</v>
      </c>
      <c r="Z549" s="18"/>
      <c r="AA549" s="19" t="s">
        <v>54</v>
      </c>
      <c r="AB549" s="20">
        <v>44589.0</v>
      </c>
      <c r="AC549" s="19"/>
      <c r="AD549" s="20"/>
      <c r="AE549" s="21"/>
      <c r="AF549" s="18"/>
      <c r="AG549" s="21"/>
      <c r="AH549" s="18"/>
      <c r="AI549" s="18"/>
      <c r="AJ549" s="18"/>
      <c r="AK549" s="19" t="s">
        <v>110</v>
      </c>
      <c r="AL549" s="19"/>
      <c r="AM549" s="18"/>
      <c r="AN549" s="18"/>
      <c r="AO549" s="18"/>
      <c r="AP549" s="22" t="s">
        <v>56</v>
      </c>
      <c r="AQ549" s="18"/>
    </row>
    <row r="550">
      <c r="A550" s="11" t="s">
        <v>2607</v>
      </c>
      <c r="B550" s="11" t="s">
        <v>2608</v>
      </c>
      <c r="C550" s="11" t="str">
        <f>VLOOKUP(A550,import!A:C,3,0)</f>
        <v>YANLIŞ</v>
      </c>
      <c r="D550" s="11" t="s">
        <v>59</v>
      </c>
      <c r="E550" s="11" t="str">
        <f>VLOOKUP(A550,import!A:J,5,0)</f>
        <v/>
      </c>
      <c r="F550" s="11" t="str">
        <f>VLOOKUP(A550,import!A:J,6,0)</f>
        <v/>
      </c>
      <c r="G550" s="11">
        <f>VLOOKUP(A550,import!A:J,7,0)</f>
        <v>0</v>
      </c>
      <c r="H550" s="11">
        <f>VLOOKUP(A550,import!A:J,8,0)</f>
        <v>8</v>
      </c>
      <c r="I550" s="11">
        <f>VLOOKUP(A550,import!A:J,9,0)</f>
        <v>8</v>
      </c>
      <c r="J550" s="12">
        <f>VLOOKUP(A550,import!A:J,10,0)</f>
        <v>0</v>
      </c>
      <c r="K550" s="11" t="s">
        <v>2609</v>
      </c>
      <c r="L550" s="11">
        <v>5.464053885E9</v>
      </c>
      <c r="M550" s="11" t="s">
        <v>71</v>
      </c>
      <c r="N550" s="11" t="s">
        <v>224</v>
      </c>
      <c r="O550" s="11" t="s">
        <v>2610</v>
      </c>
      <c r="P550" s="11" t="str">
        <f>VLOOKUP(A550,import!A:P,16,0)</f>
        <v>Geleneksel</v>
      </c>
      <c r="Q550" s="13"/>
      <c r="R550" s="13" t="b">
        <v>1</v>
      </c>
      <c r="S550" s="13" t="b">
        <v>0</v>
      </c>
      <c r="T550" s="14" t="s">
        <v>115</v>
      </c>
      <c r="U550" s="14"/>
      <c r="V550" s="14"/>
      <c r="W550" s="14" t="s">
        <v>2611</v>
      </c>
      <c r="X550" s="24"/>
      <c r="Y550" s="24"/>
      <c r="Z550" s="18"/>
      <c r="AA550" s="19" t="s">
        <v>78</v>
      </c>
      <c r="AB550" s="20">
        <v>44613.0</v>
      </c>
      <c r="AC550" s="19" t="s">
        <v>54</v>
      </c>
      <c r="AD550" s="20">
        <v>44616.0</v>
      </c>
      <c r="AE550" s="21"/>
      <c r="AF550" s="18"/>
      <c r="AG550" s="21"/>
      <c r="AH550" s="18"/>
      <c r="AI550" s="18"/>
      <c r="AJ550" s="18"/>
      <c r="AK550" s="19" t="s">
        <v>66</v>
      </c>
      <c r="AL550" s="19" t="s">
        <v>80</v>
      </c>
      <c r="AM550" s="18"/>
      <c r="AN550" s="18"/>
      <c r="AO550" s="18"/>
      <c r="AP550" s="22"/>
      <c r="AQ550" s="18"/>
    </row>
    <row r="551">
      <c r="A551" s="11" t="s">
        <v>2612</v>
      </c>
      <c r="B551" s="11" t="s">
        <v>2613</v>
      </c>
      <c r="C551" s="11" t="str">
        <f>VLOOKUP(A551,import!A:C,3,0)</f>
        <v>DOĞRU</v>
      </c>
      <c r="D551" s="11" t="s">
        <v>165</v>
      </c>
      <c r="E551" s="11">
        <f>VLOOKUP(A551,import!A:J,5,0)</f>
        <v>1638</v>
      </c>
      <c r="F551" s="11">
        <f>VLOOKUP(A551,import!A:J,6,0)</f>
        <v>95</v>
      </c>
      <c r="G551" s="11">
        <f>VLOOKUP(A551,import!A:J,7,0)</f>
        <v>0</v>
      </c>
      <c r="H551" s="11">
        <f>VLOOKUP(A551,import!A:J,8,0)</f>
        <v>24</v>
      </c>
      <c r="I551" s="11">
        <f>VLOOKUP(A551,import!A:J,9,0)</f>
        <v>24</v>
      </c>
      <c r="J551" s="12">
        <f>VLOOKUP(A551,import!A:J,10,0)</f>
        <v>0</v>
      </c>
      <c r="K551" s="11" t="s">
        <v>2614</v>
      </c>
      <c r="L551" s="11">
        <v>3.525043494E9</v>
      </c>
      <c r="M551" s="11" t="s">
        <v>47</v>
      </c>
      <c r="N551" s="11" t="s">
        <v>48</v>
      </c>
      <c r="O551" s="11" t="s">
        <v>2615</v>
      </c>
      <c r="P551" s="11" t="str">
        <f>VLOOKUP(A551,import!A:P,16,0)</f>
        <v>Geleneksel</v>
      </c>
      <c r="Q551" s="13"/>
      <c r="R551" s="13" t="b">
        <v>1</v>
      </c>
      <c r="S551" s="13" t="b">
        <v>1</v>
      </c>
      <c r="T551" s="14"/>
      <c r="U551" s="14" t="s">
        <v>2616</v>
      </c>
      <c r="V551" s="23" t="s">
        <v>121</v>
      </c>
      <c r="W551" s="14" t="s">
        <v>2617</v>
      </c>
      <c r="X551" s="24">
        <v>44572.0</v>
      </c>
      <c r="Y551" s="24">
        <v>44572.0</v>
      </c>
      <c r="Z551" s="18"/>
      <c r="AA551" s="19" t="s">
        <v>54</v>
      </c>
      <c r="AB551" s="20">
        <v>44572.0</v>
      </c>
      <c r="AC551" s="19" t="s">
        <v>54</v>
      </c>
      <c r="AD551" s="20">
        <v>44603.0</v>
      </c>
      <c r="AE551" s="21"/>
      <c r="AF551" s="18"/>
      <c r="AG551" s="21"/>
      <c r="AH551" s="18"/>
      <c r="AI551" s="18"/>
      <c r="AJ551" s="18"/>
      <c r="AK551" s="19" t="s">
        <v>2616</v>
      </c>
      <c r="AL551" s="19" t="s">
        <v>75</v>
      </c>
      <c r="AM551" s="18"/>
      <c r="AN551" s="18"/>
      <c r="AO551" s="18"/>
      <c r="AP551" s="22" t="s">
        <v>56</v>
      </c>
      <c r="AQ551" s="18"/>
    </row>
    <row r="552">
      <c r="A552" s="11" t="s">
        <v>2618</v>
      </c>
      <c r="B552" s="11" t="s">
        <v>2619</v>
      </c>
      <c r="C552" s="11" t="str">
        <f>VLOOKUP(A552,import!A:C,3,0)</f>
        <v>DOĞRU</v>
      </c>
      <c r="D552" s="11" t="s">
        <v>69</v>
      </c>
      <c r="E552" s="11">
        <f>VLOOKUP(A552,import!A:J,5,0)</f>
        <v>876</v>
      </c>
      <c r="F552" s="11">
        <f>VLOOKUP(A552,import!A:J,6,0)</f>
        <v>32</v>
      </c>
      <c r="G552" s="11">
        <f>VLOOKUP(A552,import!A:J,7,0)</f>
        <v>44</v>
      </c>
      <c r="H552" s="11">
        <f>VLOOKUP(A552,import!A:J,8,0)</f>
        <v>8</v>
      </c>
      <c r="I552" s="11">
        <f>VLOOKUP(A552,import!A:J,9,0)</f>
        <v>52</v>
      </c>
      <c r="J552" s="12">
        <f>VLOOKUP(A552,import!A:J,10,0)</f>
        <v>0.85</v>
      </c>
      <c r="K552" s="11" t="s">
        <v>2620</v>
      </c>
      <c r="L552" s="11">
        <v>3.522335005E9</v>
      </c>
      <c r="M552" s="11" t="s">
        <v>71</v>
      </c>
      <c r="N552" s="11" t="s">
        <v>797</v>
      </c>
      <c r="O552" s="11" t="s">
        <v>2621</v>
      </c>
      <c r="P552" s="11" t="str">
        <f>VLOOKUP(A552,import!A:P,16,0)</f>
        <v>Geleneksel</v>
      </c>
      <c r="Q552" s="13"/>
      <c r="R552" s="13" t="b">
        <v>1</v>
      </c>
      <c r="S552" s="13" t="b">
        <v>0</v>
      </c>
      <c r="T552" s="14" t="s">
        <v>133</v>
      </c>
      <c r="U552" s="14" t="s">
        <v>2622</v>
      </c>
      <c r="V552" s="14" t="s">
        <v>96</v>
      </c>
      <c r="W552" s="14" t="s">
        <v>2623</v>
      </c>
      <c r="X552" s="24">
        <v>44365.0</v>
      </c>
      <c r="Y552" s="24">
        <v>44371.0</v>
      </c>
      <c r="Z552" s="18"/>
      <c r="AA552" s="19" t="s">
        <v>54</v>
      </c>
      <c r="AB552" s="20">
        <v>44365.0</v>
      </c>
      <c r="AC552" s="18"/>
      <c r="AD552" s="18"/>
      <c r="AE552" s="21"/>
      <c r="AF552" s="18"/>
      <c r="AG552" s="21"/>
      <c r="AH552" s="18"/>
      <c r="AI552" s="18"/>
      <c r="AJ552" s="18"/>
      <c r="AK552" s="19" t="s">
        <v>2622</v>
      </c>
      <c r="AL552" s="18"/>
      <c r="AM552" s="18"/>
      <c r="AN552" s="18"/>
      <c r="AO552" s="18"/>
      <c r="AP552" s="22" t="s">
        <v>56</v>
      </c>
      <c r="AQ552" s="18"/>
    </row>
    <row r="553">
      <c r="A553" s="11" t="s">
        <v>2624</v>
      </c>
      <c r="B553" s="11" t="s">
        <v>2625</v>
      </c>
      <c r="C553" s="11" t="str">
        <f>VLOOKUP(A553,import!A:C,3,0)</f>
        <v>DOĞRU</v>
      </c>
      <c r="D553" s="11" t="s">
        <v>69</v>
      </c>
      <c r="E553" s="11">
        <f>VLOOKUP(A553,import!A:J,5,0)</f>
        <v>54</v>
      </c>
      <c r="F553" s="11">
        <f>VLOOKUP(A553,import!A:J,6,0)</f>
        <v>8</v>
      </c>
      <c r="G553" s="11">
        <f>VLOOKUP(A553,import!A:J,7,0)</f>
        <v>11</v>
      </c>
      <c r="H553" s="11">
        <f>VLOOKUP(A553,import!A:J,8,0)</f>
        <v>17</v>
      </c>
      <c r="I553" s="11">
        <f>VLOOKUP(A553,import!A:J,9,0)</f>
        <v>28</v>
      </c>
      <c r="J553" s="12">
        <f>VLOOKUP(A553,import!A:J,10,0)</f>
        <v>0.39</v>
      </c>
      <c r="K553" s="11" t="s">
        <v>2626</v>
      </c>
      <c r="L553" s="11">
        <v>5.061669494E9</v>
      </c>
      <c r="M553" s="11" t="s">
        <v>71</v>
      </c>
      <c r="N553" s="11" t="s">
        <v>543</v>
      </c>
      <c r="O553" s="11" t="s">
        <v>2627</v>
      </c>
      <c r="P553" s="11" t="str">
        <f>VLOOKUP(A553,import!A:P,16,0)</f>
        <v>Geleneksel</v>
      </c>
      <c r="Q553" s="13"/>
      <c r="R553" s="13" t="b">
        <v>1</v>
      </c>
      <c r="S553" s="13" t="b">
        <v>0</v>
      </c>
      <c r="T553" s="14" t="s">
        <v>74</v>
      </c>
      <c r="U553" s="14" t="s">
        <v>75</v>
      </c>
      <c r="V553" s="14"/>
      <c r="W553" s="14" t="s">
        <v>2628</v>
      </c>
      <c r="X553" s="24">
        <v>44627.0</v>
      </c>
      <c r="Y553" s="24">
        <v>44630.0</v>
      </c>
      <c r="Z553" s="18"/>
      <c r="AA553" s="19" t="s">
        <v>54</v>
      </c>
      <c r="AB553" s="24">
        <v>44617.0</v>
      </c>
      <c r="AC553" s="19" t="s">
        <v>54</v>
      </c>
      <c r="AD553" s="20">
        <v>44627.0</v>
      </c>
      <c r="AE553" s="21"/>
      <c r="AF553" s="18"/>
      <c r="AG553" s="21"/>
      <c r="AH553" s="18"/>
      <c r="AI553" s="18"/>
      <c r="AJ553" s="18"/>
      <c r="AK553" s="19" t="s">
        <v>75</v>
      </c>
      <c r="AL553" s="19" t="s">
        <v>75</v>
      </c>
      <c r="AM553" s="18"/>
      <c r="AN553" s="18"/>
      <c r="AO553" s="18"/>
      <c r="AP553" s="22" t="s">
        <v>56</v>
      </c>
      <c r="AQ553" s="18"/>
    </row>
    <row r="554">
      <c r="A554" s="11" t="s">
        <v>2629</v>
      </c>
      <c r="B554" s="11" t="s">
        <v>2630</v>
      </c>
      <c r="C554" s="11" t="str">
        <f>VLOOKUP(A554,import!A:C,3,0)</f>
        <v>DOĞRU</v>
      </c>
      <c r="D554" s="11" t="s">
        <v>172</v>
      </c>
      <c r="E554" s="11">
        <f>VLOOKUP(A554,import!A:J,5,0)</f>
        <v>823</v>
      </c>
      <c r="F554" s="11">
        <f>VLOOKUP(A554,import!A:J,6,0)</f>
        <v>9</v>
      </c>
      <c r="G554" s="11">
        <f>VLOOKUP(A554,import!A:J,7,0)</f>
        <v>7</v>
      </c>
      <c r="H554" s="11">
        <f>VLOOKUP(A554,import!A:J,8,0)</f>
        <v>3</v>
      </c>
      <c r="I554" s="11">
        <f>VLOOKUP(A554,import!A:J,9,0)</f>
        <v>10</v>
      </c>
      <c r="J554" s="12">
        <f>VLOOKUP(A554,import!A:J,10,0)</f>
        <v>0.7</v>
      </c>
      <c r="K554" s="11" t="s">
        <v>2631</v>
      </c>
      <c r="L554" s="11">
        <v>5.386183883E9</v>
      </c>
      <c r="M554" s="11" t="s">
        <v>47</v>
      </c>
      <c r="N554" s="11" t="s">
        <v>1406</v>
      </c>
      <c r="O554" s="11" t="s">
        <v>2632</v>
      </c>
      <c r="P554" s="11" t="str">
        <f>VLOOKUP(A554,import!A:P,16,0)</f>
        <v>Geleneksel</v>
      </c>
      <c r="Q554" s="13"/>
      <c r="R554" s="13" t="b">
        <v>1</v>
      </c>
      <c r="S554" s="13" t="b">
        <v>0</v>
      </c>
      <c r="T554" s="14" t="s">
        <v>74</v>
      </c>
      <c r="U554" s="14" t="s">
        <v>110</v>
      </c>
      <c r="V554" s="23" t="s">
        <v>121</v>
      </c>
      <c r="W554" s="14"/>
      <c r="X554" s="24">
        <v>44571.0</v>
      </c>
      <c r="Y554" s="24">
        <v>44572.0</v>
      </c>
      <c r="Z554" s="18"/>
      <c r="AA554" s="19" t="s">
        <v>54</v>
      </c>
      <c r="AB554" s="20">
        <v>44571.0</v>
      </c>
      <c r="AC554" s="19"/>
      <c r="AD554" s="20"/>
      <c r="AE554" s="21"/>
      <c r="AF554" s="18"/>
      <c r="AG554" s="21"/>
      <c r="AH554" s="18"/>
      <c r="AI554" s="18"/>
      <c r="AJ554" s="18"/>
      <c r="AK554" s="19" t="s">
        <v>110</v>
      </c>
      <c r="AL554" s="19"/>
      <c r="AM554" s="18"/>
      <c r="AN554" s="18"/>
      <c r="AO554" s="18"/>
      <c r="AP554" s="22" t="s">
        <v>56</v>
      </c>
      <c r="AQ554" s="18"/>
    </row>
    <row r="555">
      <c r="A555" s="11" t="s">
        <v>2633</v>
      </c>
      <c r="B555" s="11" t="s">
        <v>2634</v>
      </c>
      <c r="C555" s="11" t="str">
        <f>VLOOKUP(A555,import!A:C,3,0)</f>
        <v>DOĞRU</v>
      </c>
      <c r="D555" s="11" t="s">
        <v>100</v>
      </c>
      <c r="E555" s="11">
        <f>VLOOKUP(A555,import!A:J,5,0)</f>
        <v>521</v>
      </c>
      <c r="F555" s="11" t="str">
        <f>VLOOKUP(A555,import!A:J,6,0)</f>
        <v/>
      </c>
      <c r="G555" s="11">
        <f>VLOOKUP(A555,import!A:J,7,0)</f>
        <v>4</v>
      </c>
      <c r="H555" s="11">
        <f>VLOOKUP(A555,import!A:J,8,0)</f>
        <v>3</v>
      </c>
      <c r="I555" s="11">
        <f>VLOOKUP(A555,import!A:J,9,0)</f>
        <v>7</v>
      </c>
      <c r="J555" s="12">
        <f>VLOOKUP(A555,import!A:J,10,0)</f>
        <v>0.57</v>
      </c>
      <c r="K555" s="11" t="s">
        <v>2635</v>
      </c>
      <c r="L555" s="11">
        <v>5.384357766E9</v>
      </c>
      <c r="M555" s="11" t="s">
        <v>47</v>
      </c>
      <c r="N555" s="11" t="s">
        <v>125</v>
      </c>
      <c r="O555" s="11" t="s">
        <v>2636</v>
      </c>
      <c r="P555" s="11" t="str">
        <f>VLOOKUP(A555,import!A:P,16,0)</f>
        <v>Geleneksel</v>
      </c>
      <c r="Q555" s="13"/>
      <c r="R555" s="13" t="b">
        <v>1</v>
      </c>
      <c r="S555" s="13" t="b">
        <v>0</v>
      </c>
      <c r="T555" s="14" t="s">
        <v>74</v>
      </c>
      <c r="U555" s="14" t="s">
        <v>75</v>
      </c>
      <c r="V555" s="14" t="s">
        <v>1589</v>
      </c>
      <c r="W555" s="14"/>
      <c r="X555" s="24">
        <v>44588.0</v>
      </c>
      <c r="Y555" s="24">
        <v>44593.0</v>
      </c>
      <c r="Z555" s="18"/>
      <c r="AA555" s="19" t="s">
        <v>54</v>
      </c>
      <c r="AB555" s="20">
        <v>44588.0</v>
      </c>
      <c r="AC555" s="19" t="s">
        <v>53</v>
      </c>
      <c r="AD555" s="20">
        <v>44631.0</v>
      </c>
      <c r="AE555" s="21"/>
      <c r="AF555" s="18"/>
      <c r="AG555" s="21"/>
      <c r="AH555" s="18"/>
      <c r="AI555" s="18"/>
      <c r="AJ555" s="18"/>
      <c r="AK555" s="19" t="s">
        <v>75</v>
      </c>
      <c r="AL555" s="19" t="s">
        <v>75</v>
      </c>
      <c r="AM555" s="19" t="s">
        <v>127</v>
      </c>
      <c r="AN555" s="18"/>
      <c r="AO555" s="18"/>
      <c r="AP555" s="22" t="s">
        <v>56</v>
      </c>
      <c r="AQ555" s="18"/>
    </row>
    <row r="556">
      <c r="A556" s="11" t="s">
        <v>2637</v>
      </c>
      <c r="B556" s="11" t="s">
        <v>2638</v>
      </c>
      <c r="C556" s="11" t="str">
        <f>VLOOKUP(A556,import!A:C,3,0)</f>
        <v>DOĞRU</v>
      </c>
      <c r="D556" s="11" t="s">
        <v>100</v>
      </c>
      <c r="E556" s="11" t="str">
        <f>VLOOKUP(A556,import!A:J,5,0)</f>
        <v/>
      </c>
      <c r="F556" s="11" t="str">
        <f>VLOOKUP(A556,import!A:J,6,0)</f>
        <v/>
      </c>
      <c r="G556" s="11">
        <f>VLOOKUP(A556,import!A:J,7,0)</f>
        <v>0</v>
      </c>
      <c r="H556" s="11">
        <f>VLOOKUP(A556,import!A:J,8,0)</f>
        <v>10</v>
      </c>
      <c r="I556" s="11">
        <f>VLOOKUP(A556,import!A:J,9,0)</f>
        <v>10</v>
      </c>
      <c r="J556" s="12">
        <f>VLOOKUP(A556,import!A:J,10,0)</f>
        <v>0</v>
      </c>
      <c r="K556" s="11" t="s">
        <v>738</v>
      </c>
      <c r="L556" s="11">
        <v>3.525036969E9</v>
      </c>
      <c r="M556" s="11" t="s">
        <v>61</v>
      </c>
      <c r="N556" s="11" t="s">
        <v>2639</v>
      </c>
      <c r="O556" s="11" t="s">
        <v>2640</v>
      </c>
      <c r="P556" s="11" t="str">
        <f>VLOOKUP(A556,import!A:P,16,0)</f>
        <v>Geleneksel</v>
      </c>
      <c r="Q556" s="13"/>
      <c r="R556" s="13" t="b">
        <v>1</v>
      </c>
      <c r="S556" s="13" t="b">
        <v>0</v>
      </c>
      <c r="T556" s="14"/>
      <c r="U556" s="14"/>
      <c r="V556" s="14"/>
      <c r="W556" s="14"/>
      <c r="X556" s="24"/>
      <c r="Y556" s="24"/>
      <c r="Z556" s="18"/>
      <c r="AA556" s="19" t="s">
        <v>347</v>
      </c>
      <c r="AB556" s="20">
        <v>44670.0</v>
      </c>
      <c r="AC556" s="19"/>
      <c r="AD556" s="20"/>
      <c r="AE556" s="19"/>
      <c r="AF556" s="20"/>
      <c r="AG556" s="21"/>
      <c r="AH556" s="18"/>
      <c r="AI556" s="18"/>
      <c r="AJ556" s="18"/>
      <c r="AK556" s="19" t="s">
        <v>110</v>
      </c>
      <c r="AL556" s="19"/>
      <c r="AM556" s="19"/>
      <c r="AN556" s="18"/>
      <c r="AO556" s="18"/>
      <c r="AP556" s="22"/>
      <c r="AQ556" s="18"/>
    </row>
    <row r="557">
      <c r="A557" s="11" t="s">
        <v>2641</v>
      </c>
      <c r="B557" s="11" t="s">
        <v>2642</v>
      </c>
      <c r="C557" s="11" t="str">
        <f>VLOOKUP(A557,import!A:C,3,0)</f>
        <v>DOĞRU</v>
      </c>
      <c r="D557" s="11" t="s">
        <v>172</v>
      </c>
      <c r="E557" s="11">
        <f>VLOOKUP(A557,import!A:J,5,0)</f>
        <v>10237</v>
      </c>
      <c r="F557" s="11">
        <f>VLOOKUP(A557,import!A:J,6,0)</f>
        <v>95</v>
      </c>
      <c r="G557" s="11">
        <f>VLOOKUP(A557,import!A:J,7,0)</f>
        <v>4</v>
      </c>
      <c r="H557" s="11">
        <f>VLOOKUP(A557,import!A:J,8,0)</f>
        <v>7</v>
      </c>
      <c r="I557" s="11">
        <f>VLOOKUP(A557,import!A:J,9,0)</f>
        <v>11</v>
      </c>
      <c r="J557" s="12">
        <f>VLOOKUP(A557,import!A:J,10,0)</f>
        <v>0.36</v>
      </c>
      <c r="K557" s="11" t="s">
        <v>2643</v>
      </c>
      <c r="L557" s="11">
        <v>3.52437707E9</v>
      </c>
      <c r="M557" s="11" t="s">
        <v>61</v>
      </c>
      <c r="N557" s="11" t="s">
        <v>811</v>
      </c>
      <c r="O557" s="11" t="s">
        <v>2644</v>
      </c>
      <c r="P557" s="11" t="str">
        <f>VLOOKUP(A557,import!A:P,16,0)</f>
        <v>Geleneksel</v>
      </c>
      <c r="Q557" s="13"/>
      <c r="R557" s="13" t="b">
        <v>1</v>
      </c>
      <c r="S557" s="13" t="b">
        <v>0</v>
      </c>
      <c r="T557" s="14" t="s">
        <v>74</v>
      </c>
      <c r="U557" s="14" t="s">
        <v>95</v>
      </c>
      <c r="V557" s="14" t="s">
        <v>96</v>
      </c>
      <c r="W557" s="14" t="s">
        <v>2645</v>
      </c>
      <c r="X557" s="24">
        <v>44349.0</v>
      </c>
      <c r="Y557" s="24">
        <v>44351.0</v>
      </c>
      <c r="Z557" s="18"/>
      <c r="AA557" s="19" t="s">
        <v>54</v>
      </c>
      <c r="AB557" s="20">
        <v>44349.0</v>
      </c>
      <c r="AC557" s="18"/>
      <c r="AD557" s="18"/>
      <c r="AE557" s="21"/>
      <c r="AF557" s="18"/>
      <c r="AG557" s="21"/>
      <c r="AH557" s="18"/>
      <c r="AI557" s="18"/>
      <c r="AJ557" s="18"/>
      <c r="AK557" s="19" t="s">
        <v>437</v>
      </c>
      <c r="AL557" s="18"/>
      <c r="AM557" s="18"/>
      <c r="AN557" s="18"/>
      <c r="AO557" s="18"/>
      <c r="AP557" s="22" t="s">
        <v>56</v>
      </c>
      <c r="AQ557" s="18"/>
    </row>
    <row r="558">
      <c r="A558" s="11" t="s">
        <v>2646</v>
      </c>
      <c r="B558" s="11" t="s">
        <v>2647</v>
      </c>
      <c r="C558" s="11" t="str">
        <f>VLOOKUP(A558,import!A:C,3,0)</f>
        <v>DOĞRU</v>
      </c>
      <c r="D558" s="11" t="s">
        <v>165</v>
      </c>
      <c r="E558" s="11">
        <f>VLOOKUP(A558,import!A:J,5,0)</f>
        <v>3714</v>
      </c>
      <c r="F558" s="11" t="str">
        <f>VLOOKUP(A558,import!A:J,6,0)</f>
        <v/>
      </c>
      <c r="G558" s="11">
        <f>VLOOKUP(A558,import!A:J,7,0)</f>
        <v>0</v>
      </c>
      <c r="H558" s="11">
        <f>VLOOKUP(A558,import!A:J,8,0)</f>
        <v>26</v>
      </c>
      <c r="I558" s="11">
        <f>VLOOKUP(A558,import!A:J,9,0)</f>
        <v>26</v>
      </c>
      <c r="J558" s="12">
        <f>VLOOKUP(A558,import!A:J,10,0)</f>
        <v>0</v>
      </c>
      <c r="K558" s="11" t="s">
        <v>2648</v>
      </c>
      <c r="L558" s="11">
        <v>3.524376616E9</v>
      </c>
      <c r="M558" s="11" t="s">
        <v>61</v>
      </c>
      <c r="N558" s="11" t="s">
        <v>62</v>
      </c>
      <c r="O558" s="11" t="s">
        <v>2649</v>
      </c>
      <c r="P558" s="11" t="str">
        <f>VLOOKUP(A558,import!A:P,16,0)</f>
        <v>Geleneksel</v>
      </c>
      <c r="Q558" s="13"/>
      <c r="R558" s="13" t="b">
        <v>1</v>
      </c>
      <c r="S558" s="13" t="b">
        <v>0</v>
      </c>
      <c r="T558" s="14"/>
      <c r="U558" s="14"/>
      <c r="V558" s="14"/>
      <c r="W558" s="14" t="s">
        <v>2650</v>
      </c>
      <c r="X558" s="24"/>
      <c r="Y558" s="24"/>
      <c r="Z558" s="18"/>
      <c r="AA558" s="19" t="s">
        <v>54</v>
      </c>
      <c r="AB558" s="20">
        <v>44579.0</v>
      </c>
      <c r="AC558" s="19"/>
      <c r="AD558" s="20"/>
      <c r="AE558" s="21"/>
      <c r="AF558" s="18"/>
      <c r="AG558" s="21"/>
      <c r="AH558" s="18"/>
      <c r="AI558" s="18"/>
      <c r="AJ558" s="18"/>
      <c r="AK558" s="19" t="s">
        <v>86</v>
      </c>
      <c r="AL558" s="19"/>
      <c r="AM558" s="18"/>
      <c r="AN558" s="18"/>
      <c r="AO558" s="18"/>
      <c r="AP558" s="22" t="s">
        <v>56</v>
      </c>
      <c r="AQ558" s="18"/>
    </row>
    <row r="559">
      <c r="A559" s="11" t="s">
        <v>2651</v>
      </c>
      <c r="B559" s="11" t="s">
        <v>2652</v>
      </c>
      <c r="C559" s="11" t="str">
        <f>VLOOKUP(A559,import!A:C,3,0)</f>
        <v>DOĞRU</v>
      </c>
      <c r="D559" s="11" t="s">
        <v>406</v>
      </c>
      <c r="E559" s="11">
        <f>VLOOKUP(A559,import!A:J,5,0)</f>
        <v>1018</v>
      </c>
      <c r="F559" s="11">
        <f>VLOOKUP(A559,import!A:J,6,0)</f>
        <v>10</v>
      </c>
      <c r="G559" s="11">
        <f>VLOOKUP(A559,import!A:J,7,0)</f>
        <v>0</v>
      </c>
      <c r="H559" s="11">
        <f>VLOOKUP(A559,import!A:J,8,0)</f>
        <v>34</v>
      </c>
      <c r="I559" s="11">
        <f>VLOOKUP(A559,import!A:J,9,0)</f>
        <v>34</v>
      </c>
      <c r="J559" s="12">
        <f>VLOOKUP(A559,import!A:J,10,0)</f>
        <v>0</v>
      </c>
      <c r="K559" s="11" t="s">
        <v>2653</v>
      </c>
      <c r="L559" s="11">
        <v>3.5250458E9</v>
      </c>
      <c r="M559" s="11" t="s">
        <v>47</v>
      </c>
      <c r="N559" s="11" t="s">
        <v>271</v>
      </c>
      <c r="O559" s="11" t="s">
        <v>2654</v>
      </c>
      <c r="P559" s="11" t="str">
        <f>VLOOKUP(A559,import!A:P,16,0)</f>
        <v>Geleneksel</v>
      </c>
      <c r="Q559" s="13"/>
      <c r="R559" s="13" t="b">
        <v>1</v>
      </c>
      <c r="S559" s="13" t="b">
        <v>0</v>
      </c>
      <c r="T559" s="14" t="s">
        <v>168</v>
      </c>
      <c r="U559" s="14" t="s">
        <v>95</v>
      </c>
      <c r="V559" s="14" t="s">
        <v>96</v>
      </c>
      <c r="W559" s="14" t="s">
        <v>2655</v>
      </c>
      <c r="X559" s="24">
        <v>44327.0</v>
      </c>
      <c r="Y559" s="24">
        <v>44333.0</v>
      </c>
      <c r="Z559" s="18"/>
      <c r="AA559" s="19" t="s">
        <v>78</v>
      </c>
      <c r="AB559" s="20">
        <v>44614.0</v>
      </c>
      <c r="AC559" s="19" t="s">
        <v>54</v>
      </c>
      <c r="AD559" s="20">
        <v>44614.0</v>
      </c>
      <c r="AE559" s="21"/>
      <c r="AF559" s="18"/>
      <c r="AG559" s="21"/>
      <c r="AH559" s="18"/>
      <c r="AI559" s="18"/>
      <c r="AJ559" s="18"/>
      <c r="AK559" s="19" t="s">
        <v>110</v>
      </c>
      <c r="AL559" s="19" t="s">
        <v>80</v>
      </c>
      <c r="AM559" s="18"/>
      <c r="AN559" s="18"/>
      <c r="AO559" s="18"/>
      <c r="AP559" s="22" t="s">
        <v>56</v>
      </c>
      <c r="AQ559" s="18"/>
    </row>
    <row r="560">
      <c r="A560" s="11" t="s">
        <v>2656</v>
      </c>
      <c r="B560" s="11" t="s">
        <v>2657</v>
      </c>
      <c r="C560" s="11" t="str">
        <f>VLOOKUP(A560,import!A:C,3,0)</f>
        <v>DOĞRU</v>
      </c>
      <c r="D560" s="11" t="s">
        <v>100</v>
      </c>
      <c r="E560" s="11">
        <f>VLOOKUP(A560,import!A:J,5,0)</f>
        <v>5</v>
      </c>
      <c r="F560" s="11" t="str">
        <f>VLOOKUP(A560,import!A:J,6,0)</f>
        <v/>
      </c>
      <c r="G560" s="11">
        <f>VLOOKUP(A560,import!A:J,7,0)</f>
        <v>10</v>
      </c>
      <c r="H560" s="11">
        <f>VLOOKUP(A560,import!A:J,8,0)</f>
        <v>6</v>
      </c>
      <c r="I560" s="11">
        <f>VLOOKUP(A560,import!A:J,9,0)</f>
        <v>16</v>
      </c>
      <c r="J560" s="12">
        <f>VLOOKUP(A560,import!A:J,10,0)</f>
        <v>0.63</v>
      </c>
      <c r="K560" s="11" t="s">
        <v>2658</v>
      </c>
      <c r="L560" s="11">
        <v>5.412577085E9</v>
      </c>
      <c r="M560" s="11" t="s">
        <v>71</v>
      </c>
      <c r="N560" s="11" t="s">
        <v>102</v>
      </c>
      <c r="O560" s="11" t="s">
        <v>2659</v>
      </c>
      <c r="P560" s="11" t="str">
        <f>VLOOKUP(A560,import!A:P,16,0)</f>
        <v>Geleneksel</v>
      </c>
      <c r="Q560" s="13"/>
      <c r="R560" s="13" t="b">
        <v>1</v>
      </c>
      <c r="S560" s="13" t="b">
        <v>0</v>
      </c>
      <c r="T560" s="14" t="s">
        <v>74</v>
      </c>
      <c r="U560" s="14" t="s">
        <v>75</v>
      </c>
      <c r="V560" s="30" t="s">
        <v>76</v>
      </c>
      <c r="W560" s="14" t="s">
        <v>2660</v>
      </c>
      <c r="X560" s="24">
        <v>44642.0</v>
      </c>
      <c r="Y560" s="24">
        <v>44644.0</v>
      </c>
      <c r="Z560" s="18"/>
      <c r="AA560" s="19" t="s">
        <v>54</v>
      </c>
      <c r="AB560" s="24">
        <v>44642.0</v>
      </c>
      <c r="AC560" s="19"/>
      <c r="AD560" s="20"/>
      <c r="AE560" s="19"/>
      <c r="AF560" s="20"/>
      <c r="AG560" s="21"/>
      <c r="AH560" s="18"/>
      <c r="AI560" s="18"/>
      <c r="AJ560" s="18"/>
      <c r="AK560" s="19" t="s">
        <v>75</v>
      </c>
      <c r="AL560" s="19"/>
      <c r="AM560" s="19"/>
      <c r="AN560" s="18"/>
      <c r="AO560" s="18"/>
      <c r="AP560" s="22"/>
      <c r="AQ560" s="18"/>
    </row>
    <row r="561">
      <c r="A561" s="22" t="s">
        <v>2661</v>
      </c>
      <c r="B561" s="22" t="s">
        <v>2662</v>
      </c>
      <c r="C561" s="11" t="str">
        <f>VLOOKUP(A561,import!A:C,3,0)</f>
        <v>DOĞRU</v>
      </c>
      <c r="D561" s="22" t="s">
        <v>100</v>
      </c>
      <c r="E561" s="11" t="str">
        <f>VLOOKUP(A561,import!A:J,5,0)</f>
        <v/>
      </c>
      <c r="F561" s="11" t="str">
        <f>VLOOKUP(A561,import!A:J,6,0)</f>
        <v/>
      </c>
      <c r="G561" s="11">
        <f>VLOOKUP(A561,import!A:J,7,0)</f>
        <v>0</v>
      </c>
      <c r="H561" s="11">
        <f>VLOOKUP(A561,import!A:J,8,0)</f>
        <v>7</v>
      </c>
      <c r="I561" s="11">
        <f>VLOOKUP(A561,import!A:J,9,0)</f>
        <v>7</v>
      </c>
      <c r="J561" s="12">
        <f>VLOOKUP(A561,import!A:J,10,0)</f>
        <v>0</v>
      </c>
      <c r="K561" s="22" t="s">
        <v>2663</v>
      </c>
      <c r="L561" s="22">
        <v>3.52502902E9</v>
      </c>
      <c r="M561" s="22" t="s">
        <v>47</v>
      </c>
      <c r="N561" s="22" t="s">
        <v>138</v>
      </c>
      <c r="O561" s="22" t="s">
        <v>2664</v>
      </c>
      <c r="P561" s="11" t="str">
        <f>VLOOKUP(A561,import!A:P,16,0)</f>
        <v>Geleneksel</v>
      </c>
      <c r="Q561" s="13"/>
      <c r="R561" s="13" t="b">
        <v>0</v>
      </c>
      <c r="S561" s="13" t="b">
        <v>0</v>
      </c>
      <c r="T561" s="14"/>
      <c r="U561" s="14"/>
      <c r="V561" s="14"/>
      <c r="W561" s="14" t="s">
        <v>2665</v>
      </c>
      <c r="X561" s="24"/>
      <c r="Y561" s="24"/>
      <c r="Z561" s="18"/>
      <c r="AA561" s="19" t="s">
        <v>54</v>
      </c>
      <c r="AB561" s="24">
        <v>44678.0</v>
      </c>
      <c r="AC561" s="19"/>
      <c r="AD561" s="20"/>
      <c r="AE561" s="19"/>
      <c r="AF561" s="20"/>
      <c r="AG561" s="21"/>
      <c r="AH561" s="18"/>
      <c r="AI561" s="18"/>
      <c r="AJ561" s="18"/>
      <c r="AK561" s="19" t="s">
        <v>75</v>
      </c>
      <c r="AL561" s="19"/>
      <c r="AM561" s="19"/>
      <c r="AN561" s="18"/>
      <c r="AO561" s="18"/>
      <c r="AP561" s="22"/>
      <c r="AQ561" s="18"/>
    </row>
    <row r="562">
      <c r="A562" s="11" t="s">
        <v>2666</v>
      </c>
      <c r="B562" s="11" t="s">
        <v>2667</v>
      </c>
      <c r="C562" s="11" t="str">
        <f>VLOOKUP(A562,import!A:C,3,0)</f>
        <v>DOĞRU</v>
      </c>
      <c r="D562" s="11" t="s">
        <v>406</v>
      </c>
      <c r="E562" s="11">
        <f>VLOOKUP(A562,import!A:J,5,0)</f>
        <v>15</v>
      </c>
      <c r="F562" s="11">
        <f>VLOOKUP(A562,import!A:J,6,0)</f>
        <v>4</v>
      </c>
      <c r="G562" s="11">
        <f>VLOOKUP(A562,import!A:J,7,0)</f>
        <v>9</v>
      </c>
      <c r="H562" s="11">
        <f>VLOOKUP(A562,import!A:J,8,0)</f>
        <v>0</v>
      </c>
      <c r="I562" s="11">
        <f>VLOOKUP(A562,import!A:J,9,0)</f>
        <v>9</v>
      </c>
      <c r="J562" s="12">
        <f>VLOOKUP(A562,import!A:J,10,0)</f>
        <v>1</v>
      </c>
      <c r="K562" s="11" t="s">
        <v>2668</v>
      </c>
      <c r="L562" s="11">
        <v>3.522208081E9</v>
      </c>
      <c r="M562" s="11" t="s">
        <v>47</v>
      </c>
      <c r="N562" s="11" t="s">
        <v>391</v>
      </c>
      <c r="O562" s="11" t="s">
        <v>2669</v>
      </c>
      <c r="P562" s="11" t="str">
        <f>VLOOKUP(A562,import!A:P,16,0)</f>
        <v>Geleneksel</v>
      </c>
      <c r="Q562" s="13"/>
      <c r="R562" s="13" t="b">
        <v>1</v>
      </c>
      <c r="S562" s="13" t="b">
        <v>0</v>
      </c>
      <c r="T562" s="14" t="s">
        <v>74</v>
      </c>
      <c r="U562" s="14" t="s">
        <v>75</v>
      </c>
      <c r="V562" s="14" t="s">
        <v>1589</v>
      </c>
      <c r="W562" s="14"/>
      <c r="X562" s="24">
        <v>44592.0</v>
      </c>
      <c r="Y562" s="24">
        <v>44593.0</v>
      </c>
      <c r="Z562" s="18"/>
      <c r="AA562" s="19" t="s">
        <v>54</v>
      </c>
      <c r="AB562" s="20">
        <v>44592.0</v>
      </c>
      <c r="AC562" s="19"/>
      <c r="AD562" s="20"/>
      <c r="AE562" s="21"/>
      <c r="AF562" s="18"/>
      <c r="AG562" s="21"/>
      <c r="AH562" s="18"/>
      <c r="AI562" s="18"/>
      <c r="AJ562" s="18"/>
      <c r="AK562" s="19" t="s">
        <v>75</v>
      </c>
      <c r="AL562" s="19"/>
      <c r="AM562" s="18"/>
      <c r="AN562" s="18"/>
      <c r="AO562" s="18"/>
      <c r="AP562" s="22"/>
      <c r="AQ562" s="18"/>
    </row>
    <row r="563">
      <c r="A563" s="11" t="s">
        <v>2670</v>
      </c>
      <c r="B563" s="11" t="s">
        <v>2671</v>
      </c>
      <c r="C563" s="11" t="str">
        <f>VLOOKUP(A563,import!A:C,3,0)</f>
        <v>DOĞRU</v>
      </c>
      <c r="D563" s="11" t="s">
        <v>453</v>
      </c>
      <c r="E563" s="11">
        <f>VLOOKUP(A563,import!A:J,5,0)</f>
        <v>572</v>
      </c>
      <c r="F563" s="11">
        <f>VLOOKUP(A563,import!A:J,6,0)</f>
        <v>29</v>
      </c>
      <c r="G563" s="11">
        <f>VLOOKUP(A563,import!A:J,7,0)</f>
        <v>0</v>
      </c>
      <c r="H563" s="11">
        <f>VLOOKUP(A563,import!A:J,8,0)</f>
        <v>14</v>
      </c>
      <c r="I563" s="11">
        <f>VLOOKUP(A563,import!A:J,9,0)</f>
        <v>14</v>
      </c>
      <c r="J563" s="12">
        <f>VLOOKUP(A563,import!A:J,10,0)</f>
        <v>0</v>
      </c>
      <c r="K563" s="11" t="s">
        <v>2672</v>
      </c>
      <c r="L563" s="11">
        <v>3.52235166E9</v>
      </c>
      <c r="M563" s="11" t="s">
        <v>71</v>
      </c>
      <c r="N563" s="11" t="s">
        <v>797</v>
      </c>
      <c r="O563" s="11" t="s">
        <v>2673</v>
      </c>
      <c r="P563" s="11" t="str">
        <f>VLOOKUP(A563,import!A:P,16,0)</f>
        <v>Geleneksel</v>
      </c>
      <c r="Q563" s="13"/>
      <c r="R563" s="13" t="b">
        <v>1</v>
      </c>
      <c r="S563" s="13" t="b">
        <v>1</v>
      </c>
      <c r="T563" s="14"/>
      <c r="U563" s="14"/>
      <c r="V563" s="14"/>
      <c r="W563" s="14" t="s">
        <v>2674</v>
      </c>
      <c r="X563" s="24"/>
      <c r="Y563" s="24"/>
      <c r="Z563" s="18"/>
      <c r="AA563" s="19" t="s">
        <v>347</v>
      </c>
      <c r="AB563" s="20">
        <v>44365.0</v>
      </c>
      <c r="AC563" s="19" t="s">
        <v>53</v>
      </c>
      <c r="AD563" s="20">
        <v>44365.0</v>
      </c>
      <c r="AE563" s="19" t="s">
        <v>54</v>
      </c>
      <c r="AF563" s="20">
        <v>44365.0</v>
      </c>
      <c r="AG563" s="21"/>
      <c r="AH563" s="18"/>
      <c r="AI563" s="18"/>
      <c r="AJ563" s="18"/>
      <c r="AK563" s="19" t="s">
        <v>2622</v>
      </c>
      <c r="AL563" s="19" t="s">
        <v>2622</v>
      </c>
      <c r="AM563" s="19" t="s">
        <v>2622</v>
      </c>
      <c r="AN563" s="18"/>
      <c r="AO563" s="18"/>
      <c r="AP563" s="22" t="s">
        <v>56</v>
      </c>
      <c r="AQ563" s="18"/>
    </row>
    <row r="564">
      <c r="A564" s="11" t="s">
        <v>2675</v>
      </c>
      <c r="B564" s="11" t="s">
        <v>2676</v>
      </c>
      <c r="C564" s="11" t="str">
        <f>VLOOKUP(A564,import!A:C,3,0)</f>
        <v>DOĞRU</v>
      </c>
      <c r="D564" s="11" t="s">
        <v>83</v>
      </c>
      <c r="E564" s="11">
        <f>VLOOKUP(A564,import!A:J,5,0)</f>
        <v>1</v>
      </c>
      <c r="F564" s="11" t="str">
        <f>VLOOKUP(A564,import!A:J,6,0)</f>
        <v/>
      </c>
      <c r="G564" s="11">
        <f>VLOOKUP(A564,import!A:J,7,0)</f>
        <v>0</v>
      </c>
      <c r="H564" s="11">
        <f>VLOOKUP(A564,import!A:J,8,0)</f>
        <v>20</v>
      </c>
      <c r="I564" s="11">
        <f>VLOOKUP(A564,import!A:J,9,0)</f>
        <v>20</v>
      </c>
      <c r="J564" s="12">
        <f>VLOOKUP(A564,import!A:J,10,0)</f>
        <v>0</v>
      </c>
      <c r="K564" s="11" t="s">
        <v>2677</v>
      </c>
      <c r="L564" s="11">
        <v>5.444823802E9</v>
      </c>
      <c r="M564" s="11" t="s">
        <v>71</v>
      </c>
      <c r="N564" s="11" t="s">
        <v>588</v>
      </c>
      <c r="O564" s="11" t="s">
        <v>2678</v>
      </c>
      <c r="P564" s="11" t="str">
        <f>VLOOKUP(A564,import!A:P,16,0)</f>
        <v>Geleneksel</v>
      </c>
      <c r="Q564" s="13"/>
      <c r="R564" s="13" t="b">
        <v>1</v>
      </c>
      <c r="S564" s="13" t="b">
        <v>0</v>
      </c>
      <c r="T564" s="14" t="s">
        <v>64</v>
      </c>
      <c r="U564" s="14"/>
      <c r="V564" s="14"/>
      <c r="W564" s="14" t="s">
        <v>2679</v>
      </c>
      <c r="X564" s="24"/>
      <c r="Y564" s="24"/>
      <c r="Z564" s="18"/>
      <c r="AA564" s="19" t="s">
        <v>64</v>
      </c>
      <c r="AB564" s="20">
        <v>44609.0</v>
      </c>
      <c r="AC564" s="19" t="s">
        <v>54</v>
      </c>
      <c r="AD564" s="20">
        <v>44629.0</v>
      </c>
      <c r="AE564" s="19"/>
      <c r="AF564" s="20"/>
      <c r="AG564" s="21"/>
      <c r="AH564" s="18"/>
      <c r="AI564" s="18"/>
      <c r="AJ564" s="18"/>
      <c r="AK564" s="19" t="s">
        <v>80</v>
      </c>
      <c r="AL564" s="19" t="s">
        <v>75</v>
      </c>
      <c r="AM564" s="19"/>
      <c r="AN564" s="18"/>
      <c r="AO564" s="18"/>
      <c r="AP564" s="22"/>
      <c r="AQ564" s="18"/>
    </row>
    <row r="565">
      <c r="A565" s="11" t="s">
        <v>2680</v>
      </c>
      <c r="B565" s="11" t="s">
        <v>2681</v>
      </c>
      <c r="C565" s="11" t="str">
        <f>VLOOKUP(A565,import!A:C,3,0)</f>
        <v>DOĞRU</v>
      </c>
      <c r="D565" s="11" t="s">
        <v>172</v>
      </c>
      <c r="E565" s="11">
        <f>VLOOKUP(A565,import!A:J,5,0)</f>
        <v>1129</v>
      </c>
      <c r="F565" s="11">
        <f>VLOOKUP(A565,import!A:J,6,0)</f>
        <v>42</v>
      </c>
      <c r="G565" s="11">
        <f>VLOOKUP(A565,import!A:J,7,0)</f>
        <v>0</v>
      </c>
      <c r="H565" s="11">
        <f>VLOOKUP(A565,import!A:J,8,0)</f>
        <v>74</v>
      </c>
      <c r="I565" s="11">
        <f>VLOOKUP(A565,import!A:J,9,0)</f>
        <v>74</v>
      </c>
      <c r="J565" s="12">
        <f>VLOOKUP(A565,import!A:J,10,0)</f>
        <v>0</v>
      </c>
      <c r="K565" s="11" t="s">
        <v>2682</v>
      </c>
      <c r="L565" s="11">
        <v>3.524372223E9</v>
      </c>
      <c r="M565" s="11" t="s">
        <v>61</v>
      </c>
      <c r="N565" s="11" t="s">
        <v>250</v>
      </c>
      <c r="O565" s="11" t="s">
        <v>2683</v>
      </c>
      <c r="P565" s="11" t="str">
        <f>VLOOKUP(A565,import!A:P,16,0)</f>
        <v>Geleneksel</v>
      </c>
      <c r="Q565" s="13"/>
      <c r="R565" s="13" t="b">
        <v>1</v>
      </c>
      <c r="S565" s="13" t="b">
        <v>0</v>
      </c>
      <c r="T565" s="14" t="s">
        <v>133</v>
      </c>
      <c r="U565" s="14" t="s">
        <v>110</v>
      </c>
      <c r="V565" s="23" t="s">
        <v>76</v>
      </c>
      <c r="W565" s="51" t="s">
        <v>2684</v>
      </c>
      <c r="X565" s="24">
        <v>44666.0</v>
      </c>
      <c r="Y565" s="24">
        <v>44669.0</v>
      </c>
      <c r="Z565" s="18"/>
      <c r="AA565" s="19" t="s">
        <v>54</v>
      </c>
      <c r="AB565" s="20">
        <v>44593.0</v>
      </c>
      <c r="AC565" s="19" t="s">
        <v>54</v>
      </c>
      <c r="AD565" s="24">
        <v>44622.0</v>
      </c>
      <c r="AE565" s="19" t="s">
        <v>54</v>
      </c>
      <c r="AF565" s="20">
        <v>44666.0</v>
      </c>
      <c r="AG565" s="21"/>
      <c r="AH565" s="18"/>
      <c r="AI565" s="18"/>
      <c r="AJ565" s="18"/>
      <c r="AK565" s="19" t="s">
        <v>86</v>
      </c>
      <c r="AL565" s="19" t="s">
        <v>75</v>
      </c>
      <c r="AM565" s="19" t="s">
        <v>110</v>
      </c>
      <c r="AN565" s="18"/>
      <c r="AO565" s="18"/>
      <c r="AP565" s="22"/>
      <c r="AQ565" s="18"/>
    </row>
    <row r="566">
      <c r="A566" s="11" t="s">
        <v>2685</v>
      </c>
      <c r="B566" s="11" t="s">
        <v>2686</v>
      </c>
      <c r="C566" s="11" t="str">
        <f>VLOOKUP(A566,import!A:C,3,0)</f>
        <v>DOĞRU</v>
      </c>
      <c r="D566" s="11" t="s">
        <v>505</v>
      </c>
      <c r="E566" s="11">
        <f>VLOOKUP(A566,import!A:J,5,0)</f>
        <v>3907</v>
      </c>
      <c r="F566" s="11">
        <f>VLOOKUP(A566,import!A:J,6,0)</f>
        <v>111</v>
      </c>
      <c r="G566" s="11">
        <f>VLOOKUP(A566,import!A:J,7,0)</f>
        <v>0</v>
      </c>
      <c r="H566" s="11">
        <f>VLOOKUP(A566,import!A:J,8,0)</f>
        <v>45</v>
      </c>
      <c r="I566" s="11">
        <f>VLOOKUP(A566,import!A:J,9,0)</f>
        <v>45</v>
      </c>
      <c r="J566" s="12">
        <f>VLOOKUP(A566,import!A:J,10,0)</f>
        <v>0</v>
      </c>
      <c r="K566" s="11" t="s">
        <v>2687</v>
      </c>
      <c r="L566" s="11">
        <v>3.523335626E9</v>
      </c>
      <c r="M566" s="11" t="s">
        <v>61</v>
      </c>
      <c r="N566" s="11" t="s">
        <v>62</v>
      </c>
      <c r="O566" s="11" t="s">
        <v>2688</v>
      </c>
      <c r="P566" s="11" t="str">
        <f>VLOOKUP(A566,import!A:P,16,0)</f>
        <v>Geleneksel</v>
      </c>
      <c r="Q566" s="13"/>
      <c r="R566" s="13" t="b">
        <v>1</v>
      </c>
      <c r="S566" s="13" t="b">
        <v>1</v>
      </c>
      <c r="T566" s="15"/>
      <c r="U566" s="15"/>
      <c r="V566" s="15"/>
      <c r="W566" s="14" t="s">
        <v>2689</v>
      </c>
      <c r="X566" s="17"/>
      <c r="Y566" s="17"/>
      <c r="Z566" s="18"/>
      <c r="AA566" s="19" t="s">
        <v>347</v>
      </c>
      <c r="AB566" s="20">
        <v>44358.0</v>
      </c>
      <c r="AC566" s="19" t="s">
        <v>54</v>
      </c>
      <c r="AD566" s="20">
        <v>44669.0</v>
      </c>
      <c r="AE566" s="21"/>
      <c r="AF566" s="18"/>
      <c r="AG566" s="21"/>
      <c r="AH566" s="18"/>
      <c r="AI566" s="18"/>
      <c r="AJ566" s="18"/>
      <c r="AK566" s="19" t="s">
        <v>55</v>
      </c>
      <c r="AL566" s="19" t="s">
        <v>75</v>
      </c>
      <c r="AM566" s="18"/>
      <c r="AN566" s="18"/>
      <c r="AO566" s="18"/>
      <c r="AP566" s="22" t="s">
        <v>56</v>
      </c>
      <c r="AQ566" s="18"/>
    </row>
    <row r="567">
      <c r="A567" s="11" t="s">
        <v>2690</v>
      </c>
      <c r="B567" s="11" t="s">
        <v>2691</v>
      </c>
      <c r="C567" s="11" t="str">
        <f>VLOOKUP(A567,import!A:C,3,0)</f>
        <v>YANLIŞ</v>
      </c>
      <c r="D567" s="11" t="s">
        <v>653</v>
      </c>
      <c r="E567" s="11">
        <f>VLOOKUP(A567,import!A:J,5,0)</f>
        <v>62</v>
      </c>
      <c r="F567" s="11" t="str">
        <f>VLOOKUP(A567,import!A:J,6,0)</f>
        <v/>
      </c>
      <c r="G567" s="11">
        <f>VLOOKUP(A567,import!A:J,7,0)</f>
        <v>0</v>
      </c>
      <c r="H567" s="11">
        <f>VLOOKUP(A567,import!A:J,8,0)</f>
        <v>45</v>
      </c>
      <c r="I567" s="11">
        <f>VLOOKUP(A567,import!A:J,9,0)</f>
        <v>45</v>
      </c>
      <c r="J567" s="12">
        <f>VLOOKUP(A567,import!A:J,10,0)</f>
        <v>0</v>
      </c>
      <c r="K567" s="11" t="s">
        <v>2561</v>
      </c>
      <c r="L567" s="11">
        <v>3.523269326E9</v>
      </c>
      <c r="M567" s="11" t="s">
        <v>71</v>
      </c>
      <c r="N567" s="11" t="s">
        <v>787</v>
      </c>
      <c r="O567" s="11" t="s">
        <v>2692</v>
      </c>
      <c r="P567" s="11" t="str">
        <f>VLOOKUP(A567,import!A:P,16,0)</f>
        <v>Geleneksel</v>
      </c>
      <c r="Q567" s="13"/>
      <c r="R567" s="13" t="b">
        <v>0</v>
      </c>
      <c r="S567" s="13" t="b">
        <v>0</v>
      </c>
      <c r="T567" s="14" t="s">
        <v>50</v>
      </c>
      <c r="U567" s="14"/>
      <c r="V567" s="14"/>
      <c r="W567" s="15"/>
      <c r="X567" s="24"/>
      <c r="Y567" s="24"/>
      <c r="Z567" s="18"/>
      <c r="AA567" s="18"/>
      <c r="AB567" s="18"/>
      <c r="AC567" s="18"/>
      <c r="AD567" s="18"/>
      <c r="AE567" s="21"/>
      <c r="AF567" s="18"/>
      <c r="AG567" s="21"/>
      <c r="AH567" s="18"/>
      <c r="AI567" s="18"/>
      <c r="AJ567" s="18"/>
      <c r="AK567" s="18"/>
      <c r="AL567" s="18"/>
      <c r="AM567" s="18"/>
      <c r="AN567" s="18"/>
      <c r="AO567" s="18"/>
      <c r="AP567" s="22" t="s">
        <v>56</v>
      </c>
      <c r="AQ567" s="18"/>
    </row>
    <row r="568">
      <c r="A568" s="11" t="s">
        <v>2693</v>
      </c>
      <c r="B568" s="11" t="s">
        <v>2694</v>
      </c>
      <c r="C568" s="11" t="str">
        <f>VLOOKUP(A568,import!A:C,3,0)</f>
        <v>DOĞRU</v>
      </c>
      <c r="D568" s="11" t="s">
        <v>653</v>
      </c>
      <c r="E568" s="11">
        <f>VLOOKUP(A568,import!A:J,5,0)</f>
        <v>889</v>
      </c>
      <c r="F568" s="11">
        <f>VLOOKUP(A568,import!A:J,6,0)</f>
        <v>1</v>
      </c>
      <c r="G568" s="11">
        <f>VLOOKUP(A568,import!A:J,7,0)</f>
        <v>0</v>
      </c>
      <c r="H568" s="11">
        <f>VLOOKUP(A568,import!A:J,8,0)</f>
        <v>51</v>
      </c>
      <c r="I568" s="11">
        <f>VLOOKUP(A568,import!A:J,9,0)</f>
        <v>51</v>
      </c>
      <c r="J568" s="12">
        <f>VLOOKUP(A568,import!A:J,10,0)</f>
        <v>0</v>
      </c>
      <c r="K568" s="11" t="s">
        <v>46</v>
      </c>
      <c r="L568" s="11">
        <v>3.522473838E9</v>
      </c>
      <c r="M568" s="11" t="s">
        <v>47</v>
      </c>
      <c r="N568" s="11" t="s">
        <v>48</v>
      </c>
      <c r="O568" s="11" t="s">
        <v>49</v>
      </c>
      <c r="P568" s="11" t="str">
        <f>VLOOKUP(A568,import!A:P,16,0)</f>
        <v>Geleneksel</v>
      </c>
      <c r="Q568" s="13"/>
      <c r="R568" s="13" t="b">
        <v>1</v>
      </c>
      <c r="S568" s="13" t="b">
        <v>0</v>
      </c>
      <c r="T568" s="14" t="s">
        <v>168</v>
      </c>
      <c r="U568" s="14"/>
      <c r="V568" s="14"/>
      <c r="W568" s="14" t="s">
        <v>2695</v>
      </c>
      <c r="X568" s="24"/>
      <c r="Y568" s="24"/>
      <c r="Z568" s="18"/>
      <c r="AA568" s="18"/>
      <c r="AB568" s="18"/>
      <c r="AC568" s="18"/>
      <c r="AD568" s="18"/>
      <c r="AE568" s="21"/>
      <c r="AF568" s="18"/>
      <c r="AG568" s="21"/>
      <c r="AH568" s="18"/>
      <c r="AI568" s="18"/>
      <c r="AJ568" s="18"/>
      <c r="AK568" s="18"/>
      <c r="AL568" s="18"/>
      <c r="AM568" s="18"/>
      <c r="AN568" s="18"/>
      <c r="AO568" s="18"/>
      <c r="AP568" s="22" t="s">
        <v>56</v>
      </c>
      <c r="AQ568" s="18"/>
    </row>
    <row r="569">
      <c r="A569" s="22" t="s">
        <v>2696</v>
      </c>
      <c r="B569" s="22" t="s">
        <v>2697</v>
      </c>
      <c r="C569" s="11" t="str">
        <f>VLOOKUP(A569,import!A:C,3,0)</f>
        <v>DOĞRU</v>
      </c>
      <c r="D569" s="22" t="s">
        <v>45</v>
      </c>
      <c r="E569" s="11">
        <f>VLOOKUP(A569,import!A:J,5,0)</f>
        <v>31</v>
      </c>
      <c r="F569" s="11">
        <f>VLOOKUP(A569,import!A:J,6,0)</f>
        <v>16</v>
      </c>
      <c r="G569" s="11">
        <f>VLOOKUP(A569,import!A:J,7,0)</f>
        <v>0</v>
      </c>
      <c r="H569" s="11">
        <f>VLOOKUP(A569,import!A:J,8,0)</f>
        <v>33</v>
      </c>
      <c r="I569" s="11">
        <f>VLOOKUP(A569,import!A:J,9,0)</f>
        <v>33</v>
      </c>
      <c r="J569" s="12">
        <f>VLOOKUP(A569,import!A:J,10,0)</f>
        <v>0</v>
      </c>
      <c r="K569" s="22" t="s">
        <v>2698</v>
      </c>
      <c r="L569" s="22">
        <v>3.5222221E9</v>
      </c>
      <c r="M569" s="22" t="s">
        <v>47</v>
      </c>
      <c r="N569" s="22" t="s">
        <v>391</v>
      </c>
      <c r="O569" s="22" t="s">
        <v>2699</v>
      </c>
      <c r="P569" s="11" t="str">
        <f>VLOOKUP(A569,import!A:P,16,0)</f>
        <v>Geleneksel</v>
      </c>
      <c r="Q569" s="13"/>
      <c r="R569" s="13" t="b">
        <v>0</v>
      </c>
      <c r="S569" s="13" t="b">
        <v>0</v>
      </c>
      <c r="T569" s="14"/>
      <c r="U569" s="14"/>
      <c r="V569" s="30"/>
      <c r="W569" s="14" t="s">
        <v>2700</v>
      </c>
      <c r="X569" s="24"/>
      <c r="Y569" s="24"/>
      <c r="Z569" s="18"/>
      <c r="AA569" s="19"/>
      <c r="AB569" s="20"/>
      <c r="AC569" s="19"/>
      <c r="AD569" s="20"/>
      <c r="AE569" s="19"/>
      <c r="AF569" s="20"/>
      <c r="AG569" s="21"/>
      <c r="AH569" s="18"/>
      <c r="AI569" s="18"/>
      <c r="AJ569" s="18"/>
      <c r="AK569" s="19"/>
      <c r="AL569" s="19"/>
      <c r="AM569" s="19"/>
      <c r="AN569" s="18"/>
      <c r="AO569" s="18"/>
      <c r="AP569" s="22"/>
      <c r="AQ569" s="18"/>
    </row>
    <row r="570">
      <c r="A570" s="11" t="s">
        <v>2701</v>
      </c>
      <c r="B570" s="11" t="s">
        <v>2702</v>
      </c>
      <c r="C570" s="11" t="str">
        <f>VLOOKUP(A570,import!A:C,3,0)</f>
        <v>DOĞRU</v>
      </c>
      <c r="D570" s="11" t="s">
        <v>653</v>
      </c>
      <c r="E570" s="11">
        <f>VLOOKUP(A570,import!A:J,5,0)</f>
        <v>631</v>
      </c>
      <c r="F570" s="11">
        <f>VLOOKUP(A570,import!A:J,6,0)</f>
        <v>16</v>
      </c>
      <c r="G570" s="11">
        <f>VLOOKUP(A570,import!A:J,7,0)</f>
        <v>0</v>
      </c>
      <c r="H570" s="11">
        <f>VLOOKUP(A570,import!A:J,8,0)</f>
        <v>153</v>
      </c>
      <c r="I570" s="11">
        <f>VLOOKUP(A570,import!A:J,9,0)</f>
        <v>153</v>
      </c>
      <c r="J570" s="12">
        <f>VLOOKUP(A570,import!A:J,10,0)</f>
        <v>0</v>
      </c>
      <c r="K570" s="11" t="s">
        <v>1697</v>
      </c>
      <c r="L570" s="11">
        <v>3.524377979E9</v>
      </c>
      <c r="M570" s="11" t="s">
        <v>61</v>
      </c>
      <c r="N570" s="11" t="s">
        <v>250</v>
      </c>
      <c r="O570" s="11" t="s">
        <v>1698</v>
      </c>
      <c r="P570" s="11" t="str">
        <f>VLOOKUP(A570,import!A:P,16,0)</f>
        <v>Geleneksel</v>
      </c>
      <c r="Q570" s="13"/>
      <c r="R570" s="13" t="b">
        <v>1</v>
      </c>
      <c r="S570" s="13" t="b">
        <v>0</v>
      </c>
      <c r="T570" s="14" t="s">
        <v>133</v>
      </c>
      <c r="U570" s="14" t="s">
        <v>352</v>
      </c>
      <c r="V570" s="14" t="s">
        <v>96</v>
      </c>
      <c r="W570" s="43" t="s">
        <v>2703</v>
      </c>
      <c r="X570" s="24">
        <v>44301.0</v>
      </c>
      <c r="Y570" s="24">
        <v>44306.0</v>
      </c>
      <c r="Z570" s="18"/>
      <c r="AA570" s="19" t="s">
        <v>54</v>
      </c>
      <c r="AB570" s="20">
        <v>44349.0</v>
      </c>
      <c r="AC570" s="19" t="s">
        <v>53</v>
      </c>
      <c r="AD570" s="20">
        <v>44622.0</v>
      </c>
      <c r="AE570" s="21"/>
      <c r="AF570" s="18"/>
      <c r="AG570" s="21"/>
      <c r="AH570" s="18"/>
      <c r="AI570" s="18"/>
      <c r="AJ570" s="18"/>
      <c r="AK570" s="19" t="s">
        <v>437</v>
      </c>
      <c r="AL570" s="19" t="s">
        <v>75</v>
      </c>
      <c r="AM570" s="18"/>
      <c r="AN570" s="18"/>
      <c r="AO570" s="18"/>
      <c r="AP570" s="22" t="s">
        <v>56</v>
      </c>
      <c r="AQ570" s="18"/>
    </row>
    <row r="571">
      <c r="A571" s="11" t="s">
        <v>2704</v>
      </c>
      <c r="B571" s="11" t="s">
        <v>2705</v>
      </c>
      <c r="C571" s="11" t="str">
        <f>VLOOKUP(A571,import!A:C,3,0)</f>
        <v>YANLIŞ</v>
      </c>
      <c r="D571" s="11" t="s">
        <v>653</v>
      </c>
      <c r="E571" s="11">
        <f>VLOOKUP(A571,import!A:J,5,0)</f>
        <v>163</v>
      </c>
      <c r="F571" s="11" t="str">
        <f>VLOOKUP(A571,import!A:J,6,0)</f>
        <v/>
      </c>
      <c r="G571" s="11">
        <f>VLOOKUP(A571,import!A:J,7,0)</f>
        <v>0</v>
      </c>
      <c r="H571" s="11">
        <f>VLOOKUP(A571,import!A:J,8,0)</f>
        <v>6</v>
      </c>
      <c r="I571" s="11">
        <f>VLOOKUP(A571,import!A:J,9,0)</f>
        <v>6</v>
      </c>
      <c r="J571" s="12">
        <f>VLOOKUP(A571,import!A:J,10,0)</f>
        <v>0</v>
      </c>
      <c r="K571" s="11" t="s">
        <v>2609</v>
      </c>
      <c r="L571" s="11">
        <v>5.464053885E9</v>
      </c>
      <c r="M571" s="11" t="s">
        <v>71</v>
      </c>
      <c r="N571" s="11" t="s">
        <v>224</v>
      </c>
      <c r="O571" s="11" t="s">
        <v>2610</v>
      </c>
      <c r="P571" s="11" t="str">
        <f>VLOOKUP(A571,import!A:P,16,0)</f>
        <v>Geleneksel</v>
      </c>
      <c r="Q571" s="13"/>
      <c r="R571" s="13" t="b">
        <v>1</v>
      </c>
      <c r="S571" s="13" t="b">
        <v>0</v>
      </c>
      <c r="T571" s="14" t="s">
        <v>115</v>
      </c>
      <c r="U571" s="14"/>
      <c r="V571" s="14"/>
      <c r="W571" s="14" t="s">
        <v>2611</v>
      </c>
      <c r="X571" s="24"/>
      <c r="Y571" s="24"/>
      <c r="Z571" s="18"/>
      <c r="AA571" s="19" t="s">
        <v>78</v>
      </c>
      <c r="AB571" s="20">
        <v>44613.0</v>
      </c>
      <c r="AC571" s="19" t="s">
        <v>54</v>
      </c>
      <c r="AD571" s="20">
        <v>44616.0</v>
      </c>
      <c r="AE571" s="21"/>
      <c r="AF571" s="18"/>
      <c r="AG571" s="21"/>
      <c r="AH571" s="18"/>
      <c r="AI571" s="18"/>
      <c r="AJ571" s="18"/>
      <c r="AK571" s="19" t="s">
        <v>66</v>
      </c>
      <c r="AL571" s="19" t="s">
        <v>80</v>
      </c>
      <c r="AM571" s="18"/>
      <c r="AN571" s="18"/>
      <c r="AO571" s="18"/>
      <c r="AP571" s="22" t="s">
        <v>56</v>
      </c>
      <c r="AQ571" s="18"/>
    </row>
    <row r="572">
      <c r="A572" s="11" t="s">
        <v>2706</v>
      </c>
      <c r="B572" s="11" t="s">
        <v>2707</v>
      </c>
      <c r="C572" s="11" t="str">
        <f>VLOOKUP(A572,import!A:C,3,0)</f>
        <v>DOĞRU</v>
      </c>
      <c r="D572" s="11" t="s">
        <v>172</v>
      </c>
      <c r="E572" s="11">
        <f>VLOOKUP(A572,import!A:J,5,0)</f>
        <v>2028</v>
      </c>
      <c r="F572" s="11">
        <f>VLOOKUP(A572,import!A:J,6,0)</f>
        <v>31</v>
      </c>
      <c r="G572" s="11">
        <f>VLOOKUP(A572,import!A:J,7,0)</f>
        <v>0</v>
      </c>
      <c r="H572" s="11">
        <f>VLOOKUP(A572,import!A:J,8,0)</f>
        <v>8</v>
      </c>
      <c r="I572" s="11">
        <f>VLOOKUP(A572,import!A:J,9,0)</f>
        <v>8</v>
      </c>
      <c r="J572" s="12">
        <f>VLOOKUP(A572,import!A:J,10,0)</f>
        <v>0</v>
      </c>
      <c r="K572" s="11" t="s">
        <v>2708</v>
      </c>
      <c r="L572" s="11">
        <v>3.523261414E9</v>
      </c>
      <c r="M572" s="11" t="s">
        <v>47</v>
      </c>
      <c r="N572" s="11" t="s">
        <v>1091</v>
      </c>
      <c r="O572" s="11" t="s">
        <v>2709</v>
      </c>
      <c r="P572" s="11" t="str">
        <f>VLOOKUP(A572,import!A:P,16,0)</f>
        <v>Geleneksel</v>
      </c>
      <c r="Q572" s="13"/>
      <c r="R572" s="13" t="b">
        <v>1</v>
      </c>
      <c r="S572" s="13" t="b">
        <v>0</v>
      </c>
      <c r="T572" s="14" t="s">
        <v>133</v>
      </c>
      <c r="U572" s="14" t="s">
        <v>110</v>
      </c>
      <c r="V572" s="30" t="s">
        <v>76</v>
      </c>
      <c r="W572" s="14" t="s">
        <v>2710</v>
      </c>
      <c r="X572" s="24">
        <v>44635.0</v>
      </c>
      <c r="Y572" s="24">
        <v>44637.0</v>
      </c>
      <c r="Z572" s="18"/>
      <c r="AA572" s="19" t="s">
        <v>78</v>
      </c>
      <c r="AB572" s="20">
        <v>44586.0</v>
      </c>
      <c r="AC572" s="19" t="s">
        <v>54</v>
      </c>
      <c r="AD572" s="20">
        <v>44602.0</v>
      </c>
      <c r="AE572" s="19" t="s">
        <v>54</v>
      </c>
      <c r="AF572" s="20">
        <v>44635.0</v>
      </c>
      <c r="AG572" s="19" t="s">
        <v>54</v>
      </c>
      <c r="AH572" s="20">
        <v>44663.0</v>
      </c>
      <c r="AI572" s="18"/>
      <c r="AJ572" s="18"/>
      <c r="AK572" s="19" t="s">
        <v>140</v>
      </c>
      <c r="AL572" s="19" t="s">
        <v>110</v>
      </c>
      <c r="AM572" s="19" t="s">
        <v>110</v>
      </c>
      <c r="AN572" s="19" t="s">
        <v>110</v>
      </c>
      <c r="AO572" s="18"/>
      <c r="AP572" s="22" t="s">
        <v>56</v>
      </c>
      <c r="AQ572" s="18"/>
    </row>
    <row r="573">
      <c r="A573" s="22" t="s">
        <v>2711</v>
      </c>
      <c r="B573" s="22" t="s">
        <v>2712</v>
      </c>
      <c r="C573" s="11" t="str">
        <f>VLOOKUP(A573,import!A:C,3,0)</f>
        <v>DOĞRU</v>
      </c>
      <c r="D573" s="22" t="s">
        <v>406</v>
      </c>
      <c r="E573" s="11" t="str">
        <f>VLOOKUP(A573,import!A:J,5,0)</f>
        <v/>
      </c>
      <c r="F573" s="11" t="str">
        <f>VLOOKUP(A573,import!A:J,6,0)</f>
        <v/>
      </c>
      <c r="G573" s="11">
        <f>VLOOKUP(A573,import!A:J,7,0)</f>
        <v>0</v>
      </c>
      <c r="H573" s="11">
        <f>VLOOKUP(A573,import!A:J,8,0)</f>
        <v>40</v>
      </c>
      <c r="I573" s="11">
        <f>VLOOKUP(A573,import!A:J,9,0)</f>
        <v>40</v>
      </c>
      <c r="J573" s="12">
        <f>VLOOKUP(A573,import!A:J,10,0)</f>
        <v>0</v>
      </c>
      <c r="K573" s="22" t="s">
        <v>1551</v>
      </c>
      <c r="L573" s="22">
        <v>3.522244418E9</v>
      </c>
      <c r="M573" s="22" t="s">
        <v>71</v>
      </c>
      <c r="N573" s="22" t="s">
        <v>588</v>
      </c>
      <c r="O573" s="22" t="s">
        <v>1553</v>
      </c>
      <c r="P573" s="11" t="str">
        <f>VLOOKUP(A573,import!A:P,16,0)</f>
        <v>Geleneksel</v>
      </c>
      <c r="Q573" s="13"/>
      <c r="R573" s="13" t="b">
        <v>1</v>
      </c>
      <c r="S573" s="13" t="b">
        <v>0</v>
      </c>
      <c r="T573" s="14"/>
      <c r="U573" s="14"/>
      <c r="V573" s="14"/>
      <c r="W573" s="14" t="s">
        <v>2713</v>
      </c>
      <c r="X573" s="24"/>
      <c r="Y573" s="24"/>
      <c r="Z573" s="18"/>
      <c r="AA573" s="19" t="s">
        <v>54</v>
      </c>
      <c r="AB573" s="20">
        <v>44676.0</v>
      </c>
      <c r="AC573" s="19"/>
      <c r="AD573" s="20"/>
      <c r="AE573" s="19"/>
      <c r="AF573" s="20"/>
      <c r="AG573" s="21"/>
      <c r="AH573" s="18"/>
      <c r="AI573" s="18"/>
      <c r="AJ573" s="18"/>
      <c r="AK573" s="19" t="s">
        <v>110</v>
      </c>
      <c r="AL573" s="19"/>
      <c r="AM573" s="19"/>
      <c r="AN573" s="18"/>
      <c r="AO573" s="18"/>
      <c r="AP573" s="22"/>
      <c r="AQ573" s="18"/>
    </row>
    <row r="574">
      <c r="A574" s="11" t="s">
        <v>2714</v>
      </c>
      <c r="B574" s="11" t="s">
        <v>2715</v>
      </c>
      <c r="C574" s="11" t="str">
        <f>VLOOKUP(A574,import!A:C,3,0)</f>
        <v>DOĞRU</v>
      </c>
      <c r="D574" s="11" t="s">
        <v>45</v>
      </c>
      <c r="E574" s="11">
        <f>VLOOKUP(A574,import!A:J,5,0)</f>
        <v>844</v>
      </c>
      <c r="F574" s="11">
        <f>VLOOKUP(A574,import!A:J,6,0)</f>
        <v>14</v>
      </c>
      <c r="G574" s="11">
        <f>VLOOKUP(A574,import!A:J,7,0)</f>
        <v>15</v>
      </c>
      <c r="H574" s="11">
        <f>VLOOKUP(A574,import!A:J,8,0)</f>
        <v>21</v>
      </c>
      <c r="I574" s="11">
        <f>VLOOKUP(A574,import!A:J,9,0)</f>
        <v>36</v>
      </c>
      <c r="J574" s="12">
        <f>VLOOKUP(A574,import!A:J,10,0)</f>
        <v>0.42</v>
      </c>
      <c r="K574" s="11" t="s">
        <v>1925</v>
      </c>
      <c r="L574" s="11">
        <v>5.454363838E9</v>
      </c>
      <c r="M574" s="11" t="s">
        <v>71</v>
      </c>
      <c r="N574" s="11" t="s">
        <v>214</v>
      </c>
      <c r="O574" s="11" t="s">
        <v>1926</v>
      </c>
      <c r="P574" s="11" t="str">
        <f>VLOOKUP(A574,import!A:P,16,0)</f>
        <v>Geleneksel</v>
      </c>
      <c r="Q574" s="13"/>
      <c r="R574" s="13" t="b">
        <v>1</v>
      </c>
      <c r="S574" s="13" t="b">
        <v>0</v>
      </c>
      <c r="T574" s="25" t="s">
        <v>74</v>
      </c>
      <c r="U574" s="25" t="s">
        <v>75</v>
      </c>
      <c r="V574" s="30" t="s">
        <v>76</v>
      </c>
      <c r="W574" s="25"/>
      <c r="X574" s="24">
        <v>44627.0</v>
      </c>
      <c r="Y574" s="24">
        <v>44628.0</v>
      </c>
      <c r="Z574" s="18"/>
      <c r="AA574" s="19" t="s">
        <v>54</v>
      </c>
      <c r="AB574" s="24">
        <v>44627.0</v>
      </c>
      <c r="AC574" s="18"/>
      <c r="AD574" s="18"/>
      <c r="AE574" s="21"/>
      <c r="AF574" s="18"/>
      <c r="AG574" s="21"/>
      <c r="AH574" s="18"/>
      <c r="AI574" s="18"/>
      <c r="AJ574" s="18"/>
      <c r="AK574" s="19" t="s">
        <v>75</v>
      </c>
      <c r="AL574" s="18"/>
      <c r="AM574" s="18"/>
      <c r="AN574" s="18"/>
      <c r="AO574" s="18"/>
      <c r="AP574" s="22" t="s">
        <v>56</v>
      </c>
      <c r="AQ574" s="18"/>
    </row>
    <row r="575">
      <c r="A575" s="11" t="s">
        <v>2716</v>
      </c>
      <c r="B575" s="11" t="s">
        <v>2717</v>
      </c>
      <c r="C575" s="11" t="str">
        <f>VLOOKUP(A575,import!A:C,3,0)</f>
        <v>DOĞRU</v>
      </c>
      <c r="D575" s="11" t="s">
        <v>406</v>
      </c>
      <c r="E575" s="11">
        <f>VLOOKUP(A575,import!A:J,5,0)</f>
        <v>871</v>
      </c>
      <c r="F575" s="11" t="str">
        <f>VLOOKUP(A575,import!A:J,6,0)</f>
        <v/>
      </c>
      <c r="G575" s="11">
        <f>VLOOKUP(A575,import!A:J,7,0)</f>
        <v>0</v>
      </c>
      <c r="H575" s="11">
        <f>VLOOKUP(A575,import!A:J,8,0)</f>
        <v>10</v>
      </c>
      <c r="I575" s="11">
        <f>VLOOKUP(A575,import!A:J,9,0)</f>
        <v>10</v>
      </c>
      <c r="J575" s="12">
        <f>VLOOKUP(A575,import!A:J,10,0)</f>
        <v>0</v>
      </c>
      <c r="K575" s="11" t="s">
        <v>2718</v>
      </c>
      <c r="L575" s="11">
        <v>3.528881338E9</v>
      </c>
      <c r="M575" s="11" t="s">
        <v>47</v>
      </c>
      <c r="N575" s="11" t="s">
        <v>2719</v>
      </c>
      <c r="O575" s="11" t="s">
        <v>2720</v>
      </c>
      <c r="P575" s="11" t="str">
        <f>VLOOKUP(A575,import!A:P,16,0)</f>
        <v>Geleneksel</v>
      </c>
      <c r="Q575" s="13"/>
      <c r="R575" s="13" t="b">
        <v>1</v>
      </c>
      <c r="S575" s="13" t="b">
        <v>0</v>
      </c>
      <c r="T575" s="14" t="s">
        <v>168</v>
      </c>
      <c r="U575" s="14" t="s">
        <v>86</v>
      </c>
      <c r="V575" s="14" t="s">
        <v>96</v>
      </c>
      <c r="W575" s="14" t="s">
        <v>2721</v>
      </c>
      <c r="X575" s="24">
        <v>44295.0</v>
      </c>
      <c r="Y575" s="24">
        <v>44295.0</v>
      </c>
      <c r="Z575" s="18"/>
      <c r="AA575" s="18"/>
      <c r="AB575" s="18"/>
      <c r="AC575" s="18"/>
      <c r="AD575" s="18"/>
      <c r="AE575" s="21"/>
      <c r="AF575" s="18"/>
      <c r="AG575" s="21"/>
      <c r="AH575" s="18"/>
      <c r="AI575" s="18"/>
      <c r="AJ575" s="18"/>
      <c r="AK575" s="18"/>
      <c r="AL575" s="18"/>
      <c r="AM575" s="18"/>
      <c r="AN575" s="18"/>
      <c r="AO575" s="18"/>
      <c r="AP575" s="22" t="s">
        <v>56</v>
      </c>
      <c r="AQ575" s="18"/>
    </row>
    <row r="576">
      <c r="A576" s="11" t="s">
        <v>2722</v>
      </c>
      <c r="B576" s="11" t="s">
        <v>2723</v>
      </c>
      <c r="C576" s="11" t="str">
        <f>VLOOKUP(A576,import!A:C,3,0)</f>
        <v>DOĞRU</v>
      </c>
      <c r="D576" s="11" t="s">
        <v>83</v>
      </c>
      <c r="E576" s="11">
        <f>VLOOKUP(A576,import!A:J,5,0)</f>
        <v>982</v>
      </c>
      <c r="F576" s="11">
        <f>VLOOKUP(A576,import!A:J,6,0)</f>
        <v>21</v>
      </c>
      <c r="G576" s="11">
        <f>VLOOKUP(A576,import!A:J,7,0)</f>
        <v>0</v>
      </c>
      <c r="H576" s="11">
        <f>VLOOKUP(A576,import!A:J,8,0)</f>
        <v>7</v>
      </c>
      <c r="I576" s="11">
        <f>VLOOKUP(A576,import!A:J,9,0)</f>
        <v>7</v>
      </c>
      <c r="J576" s="12">
        <f>VLOOKUP(A576,import!A:J,10,0)</f>
        <v>0</v>
      </c>
      <c r="K576" s="11" t="s">
        <v>2027</v>
      </c>
      <c r="L576" s="11">
        <v>5.38376376E9</v>
      </c>
      <c r="M576" s="11" t="s">
        <v>61</v>
      </c>
      <c r="N576" s="11" t="s">
        <v>62</v>
      </c>
      <c r="O576" s="11" t="s">
        <v>2028</v>
      </c>
      <c r="P576" s="11" t="str">
        <f>VLOOKUP(A576,import!A:P,16,0)</f>
        <v>Geleneksel</v>
      </c>
      <c r="Q576" s="13"/>
      <c r="R576" s="13" t="b">
        <v>1</v>
      </c>
      <c r="S576" s="13" t="b">
        <v>0</v>
      </c>
      <c r="T576" s="14" t="s">
        <v>168</v>
      </c>
      <c r="U576" s="14"/>
      <c r="V576" s="14"/>
      <c r="W576" s="14" t="s">
        <v>2724</v>
      </c>
      <c r="X576" s="24"/>
      <c r="Y576" s="24"/>
      <c r="Z576" s="18"/>
      <c r="AA576" s="19" t="s">
        <v>54</v>
      </c>
      <c r="AB576" s="20">
        <v>44578.0</v>
      </c>
      <c r="AC576" s="19"/>
      <c r="AD576" s="20"/>
      <c r="AE576" s="21"/>
      <c r="AF576" s="18"/>
      <c r="AG576" s="21"/>
      <c r="AH576" s="18"/>
      <c r="AI576" s="18"/>
      <c r="AJ576" s="18"/>
      <c r="AK576" s="19" t="s">
        <v>381</v>
      </c>
      <c r="AL576" s="19"/>
      <c r="AM576" s="18"/>
      <c r="AN576" s="18"/>
      <c r="AO576" s="18"/>
      <c r="AP576" s="22" t="s">
        <v>56</v>
      </c>
      <c r="AQ576" s="18"/>
    </row>
    <row r="577">
      <c r="A577" s="11" t="s">
        <v>2725</v>
      </c>
      <c r="B577" s="11" t="s">
        <v>2726</v>
      </c>
      <c r="C577" s="11" t="str">
        <f>VLOOKUP(A577,import!A:C,3,0)</f>
        <v>DOĞRU</v>
      </c>
      <c r="D577" s="11" t="s">
        <v>172</v>
      </c>
      <c r="E577" s="11">
        <f>VLOOKUP(A577,import!A:J,5,0)</f>
        <v>1476</v>
      </c>
      <c r="F577" s="11">
        <f>VLOOKUP(A577,import!A:J,6,0)</f>
        <v>49</v>
      </c>
      <c r="G577" s="11">
        <f>VLOOKUP(A577,import!A:J,7,0)</f>
        <v>5</v>
      </c>
      <c r="H577" s="11">
        <f>VLOOKUP(A577,import!A:J,8,0)</f>
        <v>3</v>
      </c>
      <c r="I577" s="11">
        <f>VLOOKUP(A577,import!A:J,9,0)</f>
        <v>8</v>
      </c>
      <c r="J577" s="12">
        <f>VLOOKUP(A577,import!A:J,10,0)</f>
        <v>0.63</v>
      </c>
      <c r="K577" s="11" t="s">
        <v>2727</v>
      </c>
      <c r="L577" s="11">
        <v>3.522325656E9</v>
      </c>
      <c r="M577" s="11" t="s">
        <v>47</v>
      </c>
      <c r="N577" s="11" t="s">
        <v>307</v>
      </c>
      <c r="O577" s="11" t="s">
        <v>2728</v>
      </c>
      <c r="P577" s="11" t="str">
        <f>VLOOKUP(A577,import!A:P,16,0)</f>
        <v>Geleneksel</v>
      </c>
      <c r="Q577" s="13"/>
      <c r="R577" s="13" t="b">
        <v>1</v>
      </c>
      <c r="S577" s="13" t="b">
        <v>0</v>
      </c>
      <c r="T577" s="14" t="s">
        <v>74</v>
      </c>
      <c r="U577" s="14" t="s">
        <v>66</v>
      </c>
      <c r="V577" s="23" t="s">
        <v>76</v>
      </c>
      <c r="W577" s="14">
        <v>5.303965008E9</v>
      </c>
      <c r="X577" s="24">
        <v>44607.0</v>
      </c>
      <c r="Y577" s="24">
        <v>44608.0</v>
      </c>
      <c r="Z577" s="18"/>
      <c r="AA577" s="19" t="s">
        <v>347</v>
      </c>
      <c r="AB577" s="20">
        <v>44358.0</v>
      </c>
      <c r="AC577" s="19" t="s">
        <v>53</v>
      </c>
      <c r="AD577" s="20">
        <v>44603.0</v>
      </c>
      <c r="AE577" s="19" t="s">
        <v>54</v>
      </c>
      <c r="AF577" s="20">
        <v>44607.0</v>
      </c>
      <c r="AG577" s="21"/>
      <c r="AH577" s="18"/>
      <c r="AI577" s="18"/>
      <c r="AJ577" s="18"/>
      <c r="AK577" s="19" t="s">
        <v>55</v>
      </c>
      <c r="AL577" s="19" t="s">
        <v>75</v>
      </c>
      <c r="AM577" s="19" t="s">
        <v>66</v>
      </c>
      <c r="AN577" s="18"/>
      <c r="AO577" s="18"/>
      <c r="AP577" s="22" t="s">
        <v>56</v>
      </c>
      <c r="AQ577" s="18"/>
    </row>
    <row r="578">
      <c r="A578" s="11" t="s">
        <v>2729</v>
      </c>
      <c r="B578" s="11" t="s">
        <v>2730</v>
      </c>
      <c r="C578" s="11" t="str">
        <f>VLOOKUP(A578,import!A:C,3,0)</f>
        <v>DOĞRU</v>
      </c>
      <c r="D578" s="11" t="s">
        <v>59</v>
      </c>
      <c r="E578" s="11">
        <f>VLOOKUP(A578,import!A:J,5,0)</f>
        <v>3165</v>
      </c>
      <c r="F578" s="11">
        <f>VLOOKUP(A578,import!A:J,6,0)</f>
        <v>23</v>
      </c>
      <c r="G578" s="11">
        <f>VLOOKUP(A578,import!A:J,7,0)</f>
        <v>0</v>
      </c>
      <c r="H578" s="11">
        <f>VLOOKUP(A578,import!A:J,8,0)</f>
        <v>37</v>
      </c>
      <c r="I578" s="11">
        <f>VLOOKUP(A578,import!A:J,9,0)</f>
        <v>37</v>
      </c>
      <c r="J578" s="12">
        <f>VLOOKUP(A578,import!A:J,10,0)</f>
        <v>0</v>
      </c>
      <c r="K578" s="11" t="s">
        <v>2731</v>
      </c>
      <c r="L578" s="11">
        <v>3.523311177E9</v>
      </c>
      <c r="M578" s="11" t="s">
        <v>47</v>
      </c>
      <c r="N578" s="11" t="s">
        <v>277</v>
      </c>
      <c r="O578" s="11" t="s">
        <v>2732</v>
      </c>
      <c r="P578" s="11" t="str">
        <f>VLOOKUP(A578,import!A:P,16,0)</f>
        <v>Geleneksel</v>
      </c>
      <c r="Q578" s="13"/>
      <c r="R578" s="13" t="b">
        <v>1</v>
      </c>
      <c r="S578" s="13" t="b">
        <v>0</v>
      </c>
      <c r="T578" s="25" t="s">
        <v>199</v>
      </c>
      <c r="U578" s="25" t="s">
        <v>110</v>
      </c>
      <c r="V578" s="30" t="s">
        <v>76</v>
      </c>
      <c r="W578" s="25" t="s">
        <v>2733</v>
      </c>
      <c r="X578" s="34">
        <v>44636.0</v>
      </c>
      <c r="Y578" s="34">
        <v>44638.0</v>
      </c>
      <c r="Z578" s="18"/>
      <c r="AA578" s="19" t="s">
        <v>78</v>
      </c>
      <c r="AB578" s="20">
        <v>44377.0</v>
      </c>
      <c r="AC578" s="19" t="s">
        <v>54</v>
      </c>
      <c r="AD578" s="20">
        <v>44636.0</v>
      </c>
      <c r="AE578" s="21"/>
      <c r="AF578" s="18"/>
      <c r="AG578" s="21"/>
      <c r="AH578" s="18"/>
      <c r="AI578" s="18"/>
      <c r="AJ578" s="18"/>
      <c r="AK578" s="19" t="s">
        <v>79</v>
      </c>
      <c r="AL578" s="19" t="s">
        <v>110</v>
      </c>
      <c r="AM578" s="18"/>
      <c r="AN578" s="18"/>
      <c r="AO578" s="18"/>
      <c r="AP578" s="22" t="s">
        <v>56</v>
      </c>
      <c r="AQ578" s="18"/>
    </row>
    <row r="579">
      <c r="A579" s="11" t="s">
        <v>2734</v>
      </c>
      <c r="B579" s="11" t="s">
        <v>2735</v>
      </c>
      <c r="C579" s="11" t="str">
        <f>VLOOKUP(A579,import!A:C,3,0)</f>
        <v>DOĞRU</v>
      </c>
      <c r="D579" s="11" t="s">
        <v>59</v>
      </c>
      <c r="E579" s="11">
        <f>VLOOKUP(A579,import!A:J,5,0)</f>
        <v>3311</v>
      </c>
      <c r="F579" s="11" t="str">
        <f>VLOOKUP(A579,import!A:J,6,0)</f>
        <v/>
      </c>
      <c r="G579" s="11">
        <f>VLOOKUP(A579,import!A:J,7,0)</f>
        <v>0</v>
      </c>
      <c r="H579" s="11">
        <f>VLOOKUP(A579,import!A:J,8,0)</f>
        <v>30</v>
      </c>
      <c r="I579" s="11">
        <f>VLOOKUP(A579,import!A:J,9,0)</f>
        <v>30</v>
      </c>
      <c r="J579" s="12">
        <f>VLOOKUP(A579,import!A:J,10,0)</f>
        <v>0</v>
      </c>
      <c r="K579" s="11" t="s">
        <v>2736</v>
      </c>
      <c r="L579" s="11">
        <v>3.523366267E9</v>
      </c>
      <c r="M579" s="11" t="s">
        <v>71</v>
      </c>
      <c r="N579" s="11" t="s">
        <v>385</v>
      </c>
      <c r="O579" s="11" t="s">
        <v>2737</v>
      </c>
      <c r="P579" s="11" t="str">
        <f>VLOOKUP(A579,import!A:P,16,0)</f>
        <v>Geleneksel</v>
      </c>
      <c r="Q579" s="13"/>
      <c r="R579" s="13" t="b">
        <v>1</v>
      </c>
      <c r="S579" s="13" t="b">
        <v>1</v>
      </c>
      <c r="T579" s="14"/>
      <c r="U579" s="14"/>
      <c r="V579" s="14"/>
      <c r="W579" s="14" t="s">
        <v>750</v>
      </c>
      <c r="X579" s="24"/>
      <c r="Y579" s="24"/>
      <c r="Z579" s="18"/>
      <c r="AA579" s="18"/>
      <c r="AB579" s="18"/>
      <c r="AC579" s="18"/>
      <c r="AD579" s="18"/>
      <c r="AE579" s="21"/>
      <c r="AF579" s="18"/>
      <c r="AG579" s="21"/>
      <c r="AH579" s="18"/>
      <c r="AI579" s="18"/>
      <c r="AJ579" s="18"/>
      <c r="AK579" s="18"/>
      <c r="AL579" s="18"/>
      <c r="AM579" s="18"/>
      <c r="AN579" s="18"/>
      <c r="AO579" s="18"/>
      <c r="AP579" s="22" t="s">
        <v>56</v>
      </c>
      <c r="AQ579" s="18"/>
    </row>
    <row r="580">
      <c r="A580" s="11" t="s">
        <v>2738</v>
      </c>
      <c r="B580" s="11" t="s">
        <v>2739</v>
      </c>
      <c r="C580" s="11" t="str">
        <f>VLOOKUP(A580,import!A:C,3,0)</f>
        <v>DOĞRU</v>
      </c>
      <c r="D580" s="11" t="s">
        <v>653</v>
      </c>
      <c r="E580" s="11">
        <f>VLOOKUP(A580,import!A:J,5,0)</f>
        <v>75</v>
      </c>
      <c r="F580" s="11" t="str">
        <f>VLOOKUP(A580,import!A:J,6,0)</f>
        <v/>
      </c>
      <c r="G580" s="11">
        <f>VLOOKUP(A580,import!A:J,7,0)</f>
        <v>0</v>
      </c>
      <c r="H580" s="11">
        <f>VLOOKUP(A580,import!A:J,8,0)</f>
        <v>8</v>
      </c>
      <c r="I580" s="11">
        <f>VLOOKUP(A580,import!A:J,9,0)</f>
        <v>8</v>
      </c>
      <c r="J580" s="12">
        <f>VLOOKUP(A580,import!A:J,10,0)</f>
        <v>0</v>
      </c>
      <c r="K580" s="11" t="s">
        <v>1038</v>
      </c>
      <c r="L580" s="11">
        <v>5.051469496E9</v>
      </c>
      <c r="M580" s="11" t="s">
        <v>61</v>
      </c>
      <c r="N580" s="11" t="s">
        <v>107</v>
      </c>
      <c r="O580" s="11" t="s">
        <v>1039</v>
      </c>
      <c r="P580" s="11" t="str">
        <f>VLOOKUP(A580,import!A:P,16,0)</f>
        <v>Geleneksel</v>
      </c>
      <c r="Q580" s="13"/>
      <c r="R580" s="13" t="b">
        <v>1</v>
      </c>
      <c r="S580" s="13" t="b">
        <v>1</v>
      </c>
      <c r="T580" s="14"/>
      <c r="U580" s="14"/>
      <c r="V580" s="14"/>
      <c r="W580" s="14" t="s">
        <v>2740</v>
      </c>
      <c r="X580" s="24"/>
      <c r="Y580" s="24"/>
      <c r="Z580" s="18"/>
      <c r="AA580" s="19"/>
      <c r="AB580" s="20"/>
      <c r="AC580" s="19"/>
      <c r="AD580" s="20"/>
      <c r="AE580" s="21"/>
      <c r="AF580" s="18"/>
      <c r="AG580" s="21"/>
      <c r="AH580" s="18"/>
      <c r="AI580" s="18"/>
      <c r="AJ580" s="18"/>
      <c r="AK580" s="19"/>
      <c r="AL580" s="19"/>
      <c r="AM580" s="18"/>
      <c r="AN580" s="18"/>
      <c r="AO580" s="18"/>
      <c r="AP580" s="22" t="s">
        <v>56</v>
      </c>
      <c r="AQ580" s="18"/>
    </row>
    <row r="581">
      <c r="A581" s="11" t="s">
        <v>2741</v>
      </c>
      <c r="B581" s="11" t="s">
        <v>2742</v>
      </c>
      <c r="C581" s="11" t="str">
        <f>VLOOKUP(A581,import!A:C,3,0)</f>
        <v>DOĞRU</v>
      </c>
      <c r="D581" s="11" t="s">
        <v>69</v>
      </c>
      <c r="E581" s="11" t="str">
        <f>VLOOKUP(A581,import!A:J,5,0)</f>
        <v/>
      </c>
      <c r="F581" s="11" t="str">
        <f>VLOOKUP(A581,import!A:J,6,0)</f>
        <v/>
      </c>
      <c r="G581" s="11">
        <f>VLOOKUP(A581,import!A:J,7,0)</f>
        <v>0</v>
      </c>
      <c r="H581" s="11">
        <f>VLOOKUP(A581,import!A:J,8,0)</f>
        <v>6</v>
      </c>
      <c r="I581" s="11">
        <f>VLOOKUP(A581,import!A:J,9,0)</f>
        <v>6</v>
      </c>
      <c r="J581" s="12">
        <f>VLOOKUP(A581,import!A:J,10,0)</f>
        <v>0</v>
      </c>
      <c r="K581" s="11" t="s">
        <v>2743</v>
      </c>
      <c r="L581" s="11">
        <v>5.534083175E9</v>
      </c>
      <c r="M581" s="11" t="s">
        <v>47</v>
      </c>
      <c r="N581" s="11" t="s">
        <v>47</v>
      </c>
      <c r="O581" s="11" t="s">
        <v>2744</v>
      </c>
      <c r="P581" s="11" t="str">
        <f>VLOOKUP(A581,import!A:P,16,0)</f>
        <v>Geleneksel</v>
      </c>
      <c r="Q581" s="13"/>
      <c r="R581" s="13" t="b">
        <v>1</v>
      </c>
      <c r="S581" s="13" t="b">
        <v>0</v>
      </c>
      <c r="T581" s="14" t="s">
        <v>53</v>
      </c>
      <c r="U581" s="14"/>
      <c r="V581" s="14"/>
      <c r="W581" s="14" t="s">
        <v>704</v>
      </c>
      <c r="X581" s="24"/>
      <c r="Y581" s="24"/>
      <c r="Z581" s="18"/>
      <c r="AA581" s="19" t="s">
        <v>53</v>
      </c>
      <c r="AB581" s="20">
        <v>44662.0</v>
      </c>
      <c r="AC581" s="19"/>
      <c r="AD581" s="20"/>
      <c r="AE581" s="19"/>
      <c r="AF581" s="20"/>
      <c r="AG581" s="21"/>
      <c r="AH581" s="18"/>
      <c r="AI581" s="18"/>
      <c r="AJ581" s="18"/>
      <c r="AK581" s="19" t="s">
        <v>110</v>
      </c>
      <c r="AL581" s="19"/>
      <c r="AM581" s="19"/>
      <c r="AN581" s="18"/>
      <c r="AO581" s="18"/>
      <c r="AP581" s="22"/>
      <c r="AQ581" s="18"/>
    </row>
    <row r="582">
      <c r="A582" s="11" t="s">
        <v>2745</v>
      </c>
      <c r="B582" s="11" t="s">
        <v>2746</v>
      </c>
      <c r="C582" s="11" t="str">
        <f>VLOOKUP(A582,import!A:C,3,0)</f>
        <v>DOĞRU</v>
      </c>
      <c r="D582" s="11" t="s">
        <v>406</v>
      </c>
      <c r="E582" s="11">
        <f>VLOOKUP(A582,import!A:J,5,0)</f>
        <v>1</v>
      </c>
      <c r="F582" s="11" t="str">
        <f>VLOOKUP(A582,import!A:J,6,0)</f>
        <v/>
      </c>
      <c r="G582" s="11">
        <f>VLOOKUP(A582,import!A:J,7,0)</f>
        <v>0</v>
      </c>
      <c r="H582" s="11">
        <f>VLOOKUP(A582,import!A:J,8,0)</f>
        <v>39</v>
      </c>
      <c r="I582" s="11">
        <f>VLOOKUP(A582,import!A:J,9,0)</f>
        <v>39</v>
      </c>
      <c r="J582" s="12">
        <f>VLOOKUP(A582,import!A:J,10,0)</f>
        <v>0</v>
      </c>
      <c r="K582" s="11" t="s">
        <v>2743</v>
      </c>
      <c r="L582" s="11">
        <v>5.534083175E9</v>
      </c>
      <c r="M582" s="11" t="s">
        <v>47</v>
      </c>
      <c r="N582" s="11" t="s">
        <v>47</v>
      </c>
      <c r="O582" s="11" t="s">
        <v>2744</v>
      </c>
      <c r="P582" s="11" t="str">
        <f>VLOOKUP(A582,import!A:P,16,0)</f>
        <v>Geleneksel</v>
      </c>
      <c r="Q582" s="13"/>
      <c r="R582" s="13" t="b">
        <v>1</v>
      </c>
      <c r="S582" s="13" t="b">
        <v>0</v>
      </c>
      <c r="T582" s="14" t="s">
        <v>74</v>
      </c>
      <c r="U582" s="14" t="s">
        <v>80</v>
      </c>
      <c r="V582" s="14"/>
      <c r="W582" s="14"/>
      <c r="X582" s="24">
        <v>44629.0</v>
      </c>
      <c r="Y582" s="24">
        <v>44631.0</v>
      </c>
      <c r="Z582" s="18"/>
      <c r="AA582" s="19" t="s">
        <v>54</v>
      </c>
      <c r="AB582" s="20">
        <v>44628.0</v>
      </c>
      <c r="AC582" s="19"/>
      <c r="AD582" s="20"/>
      <c r="AE582" s="19"/>
      <c r="AF582" s="20"/>
      <c r="AG582" s="21"/>
      <c r="AH582" s="18"/>
      <c r="AI582" s="18"/>
      <c r="AJ582" s="18"/>
      <c r="AK582" s="19" t="s">
        <v>80</v>
      </c>
      <c r="AL582" s="19"/>
      <c r="AM582" s="19"/>
      <c r="AN582" s="18"/>
      <c r="AO582" s="18"/>
      <c r="AP582" s="22"/>
      <c r="AQ582" s="18"/>
    </row>
    <row r="583">
      <c r="A583" s="11" t="s">
        <v>2747</v>
      </c>
      <c r="B583" s="11" t="s">
        <v>2748</v>
      </c>
      <c r="C583" s="11" t="str">
        <f>VLOOKUP(A583,import!A:C,3,0)</f>
        <v>DOĞRU</v>
      </c>
      <c r="D583" s="11" t="s">
        <v>83</v>
      </c>
      <c r="E583" s="11">
        <f>VLOOKUP(A583,import!A:J,5,0)</f>
        <v>1488</v>
      </c>
      <c r="F583" s="11">
        <f>VLOOKUP(A583,import!A:J,6,0)</f>
        <v>131</v>
      </c>
      <c r="G583" s="11">
        <f>VLOOKUP(A583,import!A:J,7,0)</f>
        <v>12</v>
      </c>
      <c r="H583" s="11">
        <f>VLOOKUP(A583,import!A:J,8,0)</f>
        <v>3</v>
      </c>
      <c r="I583" s="11">
        <f>VLOOKUP(A583,import!A:J,9,0)</f>
        <v>15</v>
      </c>
      <c r="J583" s="12">
        <f>VLOOKUP(A583,import!A:J,10,0)</f>
        <v>0.8</v>
      </c>
      <c r="K583" s="11" t="s">
        <v>2749</v>
      </c>
      <c r="L583" s="11">
        <v>3.5243737E9</v>
      </c>
      <c r="M583" s="11" t="s">
        <v>61</v>
      </c>
      <c r="N583" s="11" t="s">
        <v>62</v>
      </c>
      <c r="O583" s="11" t="s">
        <v>2750</v>
      </c>
      <c r="P583" s="11" t="str">
        <f>VLOOKUP(A583,import!A:P,16,0)</f>
        <v>Geleneksel</v>
      </c>
      <c r="Q583" s="13"/>
      <c r="R583" s="13" t="b">
        <v>1</v>
      </c>
      <c r="S583" s="13" t="b">
        <v>0</v>
      </c>
      <c r="T583" s="14" t="s">
        <v>74</v>
      </c>
      <c r="U583" s="14" t="s">
        <v>75</v>
      </c>
      <c r="V583" s="23" t="s">
        <v>76</v>
      </c>
      <c r="W583" s="14">
        <v>5.301173304E9</v>
      </c>
      <c r="X583" s="24">
        <v>44601.0</v>
      </c>
      <c r="Y583" s="24">
        <v>44601.0</v>
      </c>
      <c r="Z583" s="18"/>
      <c r="AA583" s="19" t="s">
        <v>54</v>
      </c>
      <c r="AB583" s="20">
        <v>44601.0</v>
      </c>
      <c r="AC583" s="19"/>
      <c r="AD583" s="20"/>
      <c r="AE583" s="21"/>
      <c r="AF583" s="18"/>
      <c r="AG583" s="21"/>
      <c r="AH583" s="18"/>
      <c r="AI583" s="18"/>
      <c r="AJ583" s="18"/>
      <c r="AK583" s="19" t="s">
        <v>75</v>
      </c>
      <c r="AL583" s="19"/>
      <c r="AM583" s="18"/>
      <c r="AN583" s="18"/>
      <c r="AO583" s="18"/>
      <c r="AP583" s="22" t="s">
        <v>56</v>
      </c>
      <c r="AQ583" s="18"/>
    </row>
    <row r="584">
      <c r="A584" s="11" t="s">
        <v>2751</v>
      </c>
      <c r="B584" s="11" t="s">
        <v>2752</v>
      </c>
      <c r="C584" s="11" t="str">
        <f>VLOOKUP(A584,import!A:C,3,0)</f>
        <v>DOĞRU</v>
      </c>
      <c r="D584" s="11" t="s">
        <v>406</v>
      </c>
      <c r="E584" s="11">
        <f>VLOOKUP(A584,import!A:J,5,0)</f>
        <v>656</v>
      </c>
      <c r="F584" s="11">
        <f>VLOOKUP(A584,import!A:J,6,0)</f>
        <v>3</v>
      </c>
      <c r="G584" s="11">
        <f>VLOOKUP(A584,import!A:J,7,0)</f>
        <v>0</v>
      </c>
      <c r="H584" s="11">
        <f>VLOOKUP(A584,import!A:J,8,0)</f>
        <v>12</v>
      </c>
      <c r="I584" s="11">
        <f>VLOOKUP(A584,import!A:J,9,0)</f>
        <v>12</v>
      </c>
      <c r="J584" s="12">
        <f>VLOOKUP(A584,import!A:J,10,0)</f>
        <v>0</v>
      </c>
      <c r="K584" s="11" t="s">
        <v>2753</v>
      </c>
      <c r="L584" s="11">
        <v>3.522355003E9</v>
      </c>
      <c r="M584" s="11" t="s">
        <v>71</v>
      </c>
      <c r="N584" s="11" t="s">
        <v>797</v>
      </c>
      <c r="O584" s="11" t="s">
        <v>2754</v>
      </c>
      <c r="P584" s="11" t="str">
        <f>VLOOKUP(A584,import!A:P,16,0)</f>
        <v>Geleneksel</v>
      </c>
      <c r="Q584" s="13"/>
      <c r="R584" s="13" t="b">
        <v>1</v>
      </c>
      <c r="S584" s="13" t="b">
        <v>1</v>
      </c>
      <c r="T584" s="15"/>
      <c r="U584" s="15"/>
      <c r="V584" s="15"/>
      <c r="W584" s="14" t="s">
        <v>2755</v>
      </c>
      <c r="X584" s="17"/>
      <c r="Y584" s="17"/>
      <c r="Z584" s="18"/>
      <c r="AA584" s="19" t="s">
        <v>78</v>
      </c>
      <c r="AB584" s="20">
        <v>44365.0</v>
      </c>
      <c r="AC584" s="19" t="s">
        <v>347</v>
      </c>
      <c r="AD584" s="20">
        <v>44629.0</v>
      </c>
      <c r="AE584" s="21"/>
      <c r="AF584" s="18"/>
      <c r="AG584" s="21"/>
      <c r="AH584" s="18"/>
      <c r="AI584" s="18"/>
      <c r="AJ584" s="18"/>
      <c r="AK584" s="19" t="s">
        <v>2622</v>
      </c>
      <c r="AL584" s="19" t="s">
        <v>75</v>
      </c>
      <c r="AM584" s="18"/>
      <c r="AN584" s="18"/>
      <c r="AO584" s="18"/>
      <c r="AP584" s="22" t="s">
        <v>56</v>
      </c>
      <c r="AQ584" s="18"/>
    </row>
    <row r="585">
      <c r="A585" s="11" t="s">
        <v>2756</v>
      </c>
      <c r="B585" s="11" t="s">
        <v>2757</v>
      </c>
      <c r="C585" s="11" t="str">
        <f>VLOOKUP(A585,import!A:C,3,0)</f>
        <v>DOĞRU</v>
      </c>
      <c r="D585" s="11" t="s">
        <v>406</v>
      </c>
      <c r="E585" s="11">
        <f>VLOOKUP(A585,import!A:J,5,0)</f>
        <v>2662</v>
      </c>
      <c r="F585" s="11">
        <f>VLOOKUP(A585,import!A:J,6,0)</f>
        <v>72</v>
      </c>
      <c r="G585" s="11">
        <f>VLOOKUP(A585,import!A:J,7,0)</f>
        <v>0</v>
      </c>
      <c r="H585" s="11">
        <f>VLOOKUP(A585,import!A:J,8,0)</f>
        <v>59</v>
      </c>
      <c r="I585" s="11">
        <f>VLOOKUP(A585,import!A:J,9,0)</f>
        <v>59</v>
      </c>
      <c r="J585" s="12">
        <f>VLOOKUP(A585,import!A:J,10,0)</f>
        <v>0</v>
      </c>
      <c r="K585" s="11" t="s">
        <v>2758</v>
      </c>
      <c r="L585" s="11">
        <v>3.52234E9</v>
      </c>
      <c r="M585" s="11" t="s">
        <v>47</v>
      </c>
      <c r="N585" s="11" t="s">
        <v>271</v>
      </c>
      <c r="O585" s="11" t="s">
        <v>2759</v>
      </c>
      <c r="P585" s="11" t="str">
        <f>VLOOKUP(A585,import!A:P,16,0)</f>
        <v>Geleneksel</v>
      </c>
      <c r="Q585" s="13"/>
      <c r="R585" s="13" t="b">
        <v>1</v>
      </c>
      <c r="S585" s="13" t="b">
        <v>1</v>
      </c>
      <c r="T585" s="14" t="s">
        <v>94</v>
      </c>
      <c r="U585" s="14" t="s">
        <v>55</v>
      </c>
      <c r="V585" s="14" t="s">
        <v>96</v>
      </c>
      <c r="W585" s="14" t="s">
        <v>2760</v>
      </c>
      <c r="X585" s="24">
        <v>44358.0</v>
      </c>
      <c r="Y585" s="24">
        <v>44361.0</v>
      </c>
      <c r="Z585" s="18"/>
      <c r="AA585" s="19" t="s">
        <v>54</v>
      </c>
      <c r="AB585" s="20">
        <v>44358.0</v>
      </c>
      <c r="AC585" s="19" t="s">
        <v>54</v>
      </c>
      <c r="AD585" s="20">
        <v>44614.0</v>
      </c>
      <c r="AE585" s="21"/>
      <c r="AF585" s="18"/>
      <c r="AG585" s="21"/>
      <c r="AH585" s="18"/>
      <c r="AI585" s="18"/>
      <c r="AJ585" s="18"/>
      <c r="AK585" s="19" t="s">
        <v>55</v>
      </c>
      <c r="AL585" s="19" t="s">
        <v>80</v>
      </c>
      <c r="AM585" s="18"/>
      <c r="AN585" s="18"/>
      <c r="AO585" s="18"/>
      <c r="AP585" s="22" t="s">
        <v>56</v>
      </c>
      <c r="AQ585" s="18"/>
    </row>
    <row r="586">
      <c r="A586" s="11" t="s">
        <v>2761</v>
      </c>
      <c r="B586" s="11" t="s">
        <v>2762</v>
      </c>
      <c r="C586" s="11" t="str">
        <f>VLOOKUP(A586,import!A:C,3,0)</f>
        <v>DOĞRU</v>
      </c>
      <c r="D586" s="11" t="s">
        <v>453</v>
      </c>
      <c r="E586" s="11">
        <f>VLOOKUP(A586,import!A:J,5,0)</f>
        <v>484</v>
      </c>
      <c r="F586" s="11">
        <f>VLOOKUP(A586,import!A:J,6,0)</f>
        <v>39</v>
      </c>
      <c r="G586" s="11">
        <f>VLOOKUP(A586,import!A:J,7,0)</f>
        <v>7</v>
      </c>
      <c r="H586" s="11">
        <f>VLOOKUP(A586,import!A:J,8,0)</f>
        <v>2</v>
      </c>
      <c r="I586" s="11">
        <f>VLOOKUP(A586,import!A:J,9,0)</f>
        <v>9</v>
      </c>
      <c r="J586" s="12">
        <f>VLOOKUP(A586,import!A:J,10,0)</f>
        <v>0.78</v>
      </c>
      <c r="K586" s="11" t="s">
        <v>2763</v>
      </c>
      <c r="L586" s="11">
        <v>5.529478818E9</v>
      </c>
      <c r="M586" s="11" t="s">
        <v>61</v>
      </c>
      <c r="N586" s="11" t="s">
        <v>250</v>
      </c>
      <c r="O586" s="11" t="s">
        <v>2764</v>
      </c>
      <c r="P586" s="11" t="str">
        <f>VLOOKUP(A586,import!A:P,16,0)</f>
        <v>Geleneksel</v>
      </c>
      <c r="Q586" s="13"/>
      <c r="R586" s="13" t="b">
        <v>1</v>
      </c>
      <c r="S586" s="13" t="b">
        <v>0</v>
      </c>
      <c r="T586" s="14" t="s">
        <v>74</v>
      </c>
      <c r="U586" s="14" t="s">
        <v>86</v>
      </c>
      <c r="V586" s="14"/>
      <c r="W586" s="14"/>
      <c r="X586" s="24">
        <v>44593.0</v>
      </c>
      <c r="Y586" s="24">
        <v>44594.0</v>
      </c>
      <c r="Z586" s="18"/>
      <c r="AA586" s="19" t="s">
        <v>54</v>
      </c>
      <c r="AB586" s="20">
        <v>44593.0</v>
      </c>
      <c r="AC586" s="19"/>
      <c r="AD586" s="20"/>
      <c r="AE586" s="21"/>
      <c r="AF586" s="18"/>
      <c r="AG586" s="21"/>
      <c r="AH586" s="18"/>
      <c r="AI586" s="18"/>
      <c r="AJ586" s="18"/>
      <c r="AK586" s="19" t="s">
        <v>86</v>
      </c>
      <c r="AL586" s="19"/>
      <c r="AM586" s="18"/>
      <c r="AN586" s="18"/>
      <c r="AO586" s="18"/>
      <c r="AP586" s="22" t="s">
        <v>56</v>
      </c>
      <c r="AQ586" s="18"/>
    </row>
    <row r="587">
      <c r="A587" s="11" t="s">
        <v>2765</v>
      </c>
      <c r="B587" s="11" t="s">
        <v>2766</v>
      </c>
      <c r="C587" s="11" t="str">
        <f>VLOOKUP(A587,import!A:C,3,0)</f>
        <v>DOĞRU</v>
      </c>
      <c r="D587" s="11" t="s">
        <v>1641</v>
      </c>
      <c r="E587" s="11">
        <f>VLOOKUP(A587,import!A:J,5,0)</f>
        <v>1164</v>
      </c>
      <c r="F587" s="11">
        <f>VLOOKUP(A587,import!A:J,6,0)</f>
        <v>87</v>
      </c>
      <c r="G587" s="11">
        <f>VLOOKUP(A587,import!A:J,7,0)</f>
        <v>13</v>
      </c>
      <c r="H587" s="11">
        <f>VLOOKUP(A587,import!A:J,8,0)</f>
        <v>22</v>
      </c>
      <c r="I587" s="11">
        <f>VLOOKUP(A587,import!A:J,9,0)</f>
        <v>35</v>
      </c>
      <c r="J587" s="12">
        <f>VLOOKUP(A587,import!A:J,10,0)</f>
        <v>0.37</v>
      </c>
      <c r="K587" s="11" t="s">
        <v>2767</v>
      </c>
      <c r="L587" s="11">
        <v>5.411701979E9</v>
      </c>
      <c r="M587" s="11" t="s">
        <v>61</v>
      </c>
      <c r="N587" s="11" t="s">
        <v>62</v>
      </c>
      <c r="O587" s="11" t="s">
        <v>2768</v>
      </c>
      <c r="P587" s="11" t="str">
        <f>VLOOKUP(A587,import!A:P,16,0)</f>
        <v>Geleneksel</v>
      </c>
      <c r="Q587" s="13"/>
      <c r="R587" s="13" t="b">
        <v>1</v>
      </c>
      <c r="S587" s="13" t="b">
        <v>0</v>
      </c>
      <c r="T587" s="14" t="s">
        <v>74</v>
      </c>
      <c r="U587" s="14" t="s">
        <v>86</v>
      </c>
      <c r="V587" s="23" t="s">
        <v>76</v>
      </c>
      <c r="W587" s="14"/>
      <c r="X587" s="24">
        <v>44593.0</v>
      </c>
      <c r="Y587" s="24">
        <v>44594.0</v>
      </c>
      <c r="Z587" s="18"/>
      <c r="AA587" s="19" t="s">
        <v>53</v>
      </c>
      <c r="AB587" s="20">
        <v>44578.0</v>
      </c>
      <c r="AC587" s="19" t="s">
        <v>53</v>
      </c>
      <c r="AD587" s="20">
        <v>44593.0</v>
      </c>
      <c r="AE587" s="19" t="s">
        <v>53</v>
      </c>
      <c r="AF587" s="20">
        <v>44593.0</v>
      </c>
      <c r="AG587" s="21"/>
      <c r="AH587" s="18"/>
      <c r="AI587" s="18"/>
      <c r="AJ587" s="18"/>
      <c r="AK587" s="19" t="s">
        <v>381</v>
      </c>
      <c r="AL587" s="19" t="s">
        <v>381</v>
      </c>
      <c r="AM587" s="19" t="s">
        <v>381</v>
      </c>
      <c r="AN587" s="18"/>
      <c r="AO587" s="18"/>
      <c r="AP587" s="22" t="s">
        <v>56</v>
      </c>
      <c r="AQ587" s="18"/>
    </row>
    <row r="588">
      <c r="A588" s="11" t="s">
        <v>2769</v>
      </c>
      <c r="B588" s="11" t="s">
        <v>2770</v>
      </c>
      <c r="C588" s="11" t="str">
        <f>VLOOKUP(A588,import!A:C,3,0)</f>
        <v>DOĞRU</v>
      </c>
      <c r="D588" s="11" t="s">
        <v>165</v>
      </c>
      <c r="E588" s="11">
        <f>VLOOKUP(A588,import!A:J,5,0)</f>
        <v>1126</v>
      </c>
      <c r="F588" s="11">
        <f>VLOOKUP(A588,import!A:J,6,0)</f>
        <v>54</v>
      </c>
      <c r="G588" s="11">
        <f>VLOOKUP(A588,import!A:J,7,0)</f>
        <v>5</v>
      </c>
      <c r="H588" s="11">
        <f>VLOOKUP(A588,import!A:J,8,0)</f>
        <v>16</v>
      </c>
      <c r="I588" s="11">
        <f>VLOOKUP(A588,import!A:J,9,0)</f>
        <v>21</v>
      </c>
      <c r="J588" s="12">
        <f>VLOOKUP(A588,import!A:J,10,0)</f>
        <v>0.24</v>
      </c>
      <c r="K588" s="11" t="s">
        <v>2771</v>
      </c>
      <c r="L588" s="11">
        <v>3.522500999E9</v>
      </c>
      <c r="M588" s="11" t="s">
        <v>47</v>
      </c>
      <c r="N588" s="11" t="s">
        <v>277</v>
      </c>
      <c r="O588" s="11" t="s">
        <v>2772</v>
      </c>
      <c r="P588" s="11" t="str">
        <f>VLOOKUP(A588,import!A:P,16,0)</f>
        <v>Geleneksel</v>
      </c>
      <c r="Q588" s="13"/>
      <c r="R588" s="13" t="b">
        <v>1</v>
      </c>
      <c r="S588" s="13" t="b">
        <v>0</v>
      </c>
      <c r="T588" s="14" t="s">
        <v>74</v>
      </c>
      <c r="U588" s="14" t="s">
        <v>80</v>
      </c>
      <c r="V588" s="39" t="s">
        <v>76</v>
      </c>
      <c r="W588" s="14"/>
      <c r="X588" s="24">
        <v>44586.0</v>
      </c>
      <c r="Y588" s="24">
        <v>44587.0</v>
      </c>
      <c r="Z588" s="18"/>
      <c r="AA588" s="19" t="s">
        <v>54</v>
      </c>
      <c r="AB588" s="20">
        <v>44586.0</v>
      </c>
      <c r="AC588" s="19"/>
      <c r="AD588" s="20"/>
      <c r="AE588" s="21"/>
      <c r="AF588" s="18"/>
      <c r="AG588" s="21"/>
      <c r="AH588" s="18"/>
      <c r="AI588" s="18"/>
      <c r="AJ588" s="18"/>
      <c r="AK588" s="19" t="s">
        <v>80</v>
      </c>
      <c r="AL588" s="19"/>
      <c r="AM588" s="18"/>
      <c r="AN588" s="18"/>
      <c r="AO588" s="18"/>
      <c r="AP588" s="22" t="s">
        <v>56</v>
      </c>
      <c r="AQ588" s="18"/>
    </row>
    <row r="589">
      <c r="A589" s="11" t="s">
        <v>2773</v>
      </c>
      <c r="B589" s="11" t="s">
        <v>2774</v>
      </c>
      <c r="C589" s="11" t="str">
        <f>VLOOKUP(A589,import!A:C,3,0)</f>
        <v>DOĞRU</v>
      </c>
      <c r="D589" s="11" t="s">
        <v>69</v>
      </c>
      <c r="E589" s="11">
        <f>VLOOKUP(A589,import!A:J,5,0)</f>
        <v>4</v>
      </c>
      <c r="F589" s="11">
        <f>VLOOKUP(A589,import!A:J,6,0)</f>
        <v>1</v>
      </c>
      <c r="G589" s="11">
        <f>VLOOKUP(A589,import!A:J,7,0)</f>
        <v>13</v>
      </c>
      <c r="H589" s="11">
        <f>VLOOKUP(A589,import!A:J,8,0)</f>
        <v>2</v>
      </c>
      <c r="I589" s="11">
        <f>VLOOKUP(A589,import!A:J,9,0)</f>
        <v>15</v>
      </c>
      <c r="J589" s="12">
        <f>VLOOKUP(A589,import!A:J,10,0)</f>
        <v>0.87</v>
      </c>
      <c r="K589" s="11" t="s">
        <v>2775</v>
      </c>
      <c r="L589" s="11">
        <v>5.357609391E9</v>
      </c>
      <c r="M589" s="11" t="s">
        <v>47</v>
      </c>
      <c r="N589" s="11" t="s">
        <v>1054</v>
      </c>
      <c r="O589" s="11" t="s">
        <v>2776</v>
      </c>
      <c r="P589" s="11" t="str">
        <f>VLOOKUP(A589,import!A:P,16,0)</f>
        <v>Geleneksel</v>
      </c>
      <c r="Q589" s="13"/>
      <c r="R589" s="13" t="b">
        <v>1</v>
      </c>
      <c r="S589" s="13" t="b">
        <v>0</v>
      </c>
      <c r="T589" s="14" t="s">
        <v>74</v>
      </c>
      <c r="U589" s="14" t="s">
        <v>80</v>
      </c>
      <c r="V589" s="31"/>
      <c r="W589" s="14"/>
      <c r="X589" s="24">
        <v>44632.0</v>
      </c>
      <c r="Y589" s="24">
        <v>44637.0</v>
      </c>
      <c r="Z589" s="18"/>
      <c r="AA589" s="19" t="s">
        <v>54</v>
      </c>
      <c r="AB589" s="20">
        <v>44628.0</v>
      </c>
      <c r="AC589" s="19"/>
      <c r="AD589" s="20"/>
      <c r="AE589" s="19"/>
      <c r="AF589" s="20"/>
      <c r="AG589" s="21"/>
      <c r="AH589" s="18"/>
      <c r="AI589" s="18"/>
      <c r="AJ589" s="18"/>
      <c r="AK589" s="19" t="s">
        <v>80</v>
      </c>
      <c r="AL589" s="19"/>
      <c r="AM589" s="19"/>
      <c r="AN589" s="18"/>
      <c r="AO589" s="18"/>
      <c r="AP589" s="22"/>
      <c r="AQ589" s="18"/>
    </row>
    <row r="590">
      <c r="A590" s="22" t="s">
        <v>2777</v>
      </c>
      <c r="B590" s="22" t="s">
        <v>2778</v>
      </c>
      <c r="C590" s="11" t="str">
        <f>VLOOKUP(A590,import!A:C,3,0)</f>
        <v>DOĞRU</v>
      </c>
      <c r="D590" s="22" t="s">
        <v>1641</v>
      </c>
      <c r="E590" s="11">
        <f>VLOOKUP(A590,import!A:J,5,0)</f>
        <v>13</v>
      </c>
      <c r="F590" s="11">
        <f>VLOOKUP(A590,import!A:J,6,0)</f>
        <v>8</v>
      </c>
      <c r="G590" s="11">
        <f>VLOOKUP(A590,import!A:J,7,0)</f>
        <v>0</v>
      </c>
      <c r="H590" s="11">
        <f>VLOOKUP(A590,import!A:J,8,0)</f>
        <v>7</v>
      </c>
      <c r="I590" s="11">
        <f>VLOOKUP(A590,import!A:J,9,0)</f>
        <v>7</v>
      </c>
      <c r="J590" s="12">
        <f>VLOOKUP(A590,import!A:J,10,0)</f>
        <v>0</v>
      </c>
      <c r="K590" s="22" t="s">
        <v>2779</v>
      </c>
      <c r="L590" s="22">
        <v>5.057675508E9</v>
      </c>
      <c r="M590" s="22" t="s">
        <v>61</v>
      </c>
      <c r="N590" s="22" t="s">
        <v>107</v>
      </c>
      <c r="O590" s="22" t="s">
        <v>2780</v>
      </c>
      <c r="P590" s="11" t="str">
        <f>VLOOKUP(A590,import!A:P,16,0)</f>
        <v>Geleneksel</v>
      </c>
      <c r="Q590" s="13"/>
      <c r="R590" s="13" t="b">
        <v>1</v>
      </c>
      <c r="S590" s="13" t="b">
        <v>0</v>
      </c>
      <c r="T590" s="14" t="s">
        <v>133</v>
      </c>
      <c r="U590" s="14" t="s">
        <v>110</v>
      </c>
      <c r="V590" s="23" t="s">
        <v>76</v>
      </c>
      <c r="W590" s="14" t="s">
        <v>2781</v>
      </c>
      <c r="X590" s="24">
        <v>44670.0</v>
      </c>
      <c r="Y590" s="24">
        <v>44671.0</v>
      </c>
      <c r="Z590" s="18"/>
      <c r="AA590" s="19" t="s">
        <v>54</v>
      </c>
      <c r="AB590" s="20">
        <v>44669.0</v>
      </c>
      <c r="AC590" s="19" t="s">
        <v>54</v>
      </c>
      <c r="AD590" s="20">
        <v>44670.0</v>
      </c>
      <c r="AE590" s="19"/>
      <c r="AF590" s="20"/>
      <c r="AG590" s="21"/>
      <c r="AH590" s="18"/>
      <c r="AI590" s="18"/>
      <c r="AJ590" s="18"/>
      <c r="AK590" s="19" t="s">
        <v>75</v>
      </c>
      <c r="AL590" s="19" t="s">
        <v>110</v>
      </c>
      <c r="AM590" s="19"/>
      <c r="AN590" s="18"/>
      <c r="AO590" s="18"/>
      <c r="AP590" s="22"/>
      <c r="AQ590" s="18"/>
    </row>
    <row r="591">
      <c r="A591" s="11" t="s">
        <v>2782</v>
      </c>
      <c r="B591" s="11" t="s">
        <v>2783</v>
      </c>
      <c r="C591" s="11" t="str">
        <f>VLOOKUP(A591,import!A:C,3,0)</f>
        <v>DOĞRU</v>
      </c>
      <c r="D591" s="11" t="s">
        <v>83</v>
      </c>
      <c r="E591" s="11">
        <f>VLOOKUP(A591,import!A:J,5,0)</f>
        <v>134</v>
      </c>
      <c r="F591" s="11">
        <f>VLOOKUP(A591,import!A:J,6,0)</f>
        <v>28</v>
      </c>
      <c r="G591" s="11">
        <f>VLOOKUP(A591,import!A:J,7,0)</f>
        <v>4</v>
      </c>
      <c r="H591" s="11">
        <f>VLOOKUP(A591,import!A:J,8,0)</f>
        <v>9</v>
      </c>
      <c r="I591" s="11">
        <f>VLOOKUP(A591,import!A:J,9,0)</f>
        <v>13</v>
      </c>
      <c r="J591" s="12">
        <f>VLOOKUP(A591,import!A:J,10,0)</f>
        <v>0.31</v>
      </c>
      <c r="K591" s="11" t="s">
        <v>2767</v>
      </c>
      <c r="L591" s="11">
        <v>5.411701979E9</v>
      </c>
      <c r="M591" s="11" t="s">
        <v>61</v>
      </c>
      <c r="N591" s="11" t="s">
        <v>62</v>
      </c>
      <c r="O591" s="11" t="s">
        <v>2649</v>
      </c>
      <c r="P591" s="11" t="str">
        <f>VLOOKUP(A591,import!A:P,16,0)</f>
        <v>Geleneksel</v>
      </c>
      <c r="Q591" s="13"/>
      <c r="R591" s="13" t="b">
        <v>1</v>
      </c>
      <c r="S591" s="13" t="b">
        <v>0</v>
      </c>
      <c r="T591" s="14" t="s">
        <v>74</v>
      </c>
      <c r="U591" s="14" t="s">
        <v>381</v>
      </c>
      <c r="V591" s="23" t="s">
        <v>76</v>
      </c>
      <c r="W591" s="14"/>
      <c r="X591" s="24">
        <v>44593.0</v>
      </c>
      <c r="Y591" s="24">
        <v>44594.0</v>
      </c>
      <c r="Z591" s="18"/>
      <c r="AA591" s="19" t="s">
        <v>53</v>
      </c>
      <c r="AB591" s="20">
        <v>44578.0</v>
      </c>
      <c r="AC591" s="19" t="s">
        <v>54</v>
      </c>
      <c r="AD591" s="20">
        <v>44593.0</v>
      </c>
      <c r="AE591" s="21"/>
      <c r="AF591" s="18"/>
      <c r="AG591" s="21"/>
      <c r="AH591" s="18"/>
      <c r="AI591" s="18"/>
      <c r="AJ591" s="18"/>
      <c r="AK591" s="19" t="s">
        <v>381</v>
      </c>
      <c r="AL591" s="19" t="s">
        <v>381</v>
      </c>
      <c r="AM591" s="18"/>
      <c r="AN591" s="18"/>
      <c r="AO591" s="18"/>
      <c r="AP591" s="22"/>
      <c r="AQ591" s="18"/>
    </row>
    <row r="592">
      <c r="A592" s="11" t="s">
        <v>2784</v>
      </c>
      <c r="B592" s="11" t="s">
        <v>2785</v>
      </c>
      <c r="C592" s="11" t="str">
        <f>VLOOKUP(A592,import!A:C,3,0)</f>
        <v>DOĞRU</v>
      </c>
      <c r="D592" s="11" t="s">
        <v>845</v>
      </c>
      <c r="E592" s="11" t="str">
        <f>VLOOKUP(A592,import!A:J,5,0)</f>
        <v/>
      </c>
      <c r="F592" s="11" t="str">
        <f>VLOOKUP(A592,import!A:J,6,0)</f>
        <v/>
      </c>
      <c r="G592" s="11">
        <f>VLOOKUP(A592,import!A:J,7,0)</f>
        <v>0</v>
      </c>
      <c r="H592" s="11">
        <f>VLOOKUP(A592,import!A:J,8,0)</f>
        <v>51</v>
      </c>
      <c r="I592" s="11">
        <f>VLOOKUP(A592,import!A:J,9,0)</f>
        <v>51</v>
      </c>
      <c r="J592" s="12">
        <f>VLOOKUP(A592,import!A:J,10,0)</f>
        <v>0</v>
      </c>
      <c r="K592" s="11" t="s">
        <v>2786</v>
      </c>
      <c r="L592" s="11">
        <v>3.523153E9</v>
      </c>
      <c r="M592" s="11" t="s">
        <v>71</v>
      </c>
      <c r="N592" s="11" t="s">
        <v>174</v>
      </c>
      <c r="O592" s="11" t="s">
        <v>2787</v>
      </c>
      <c r="P592" s="11" t="str">
        <f>VLOOKUP(A592,import!A:P,16,0)</f>
        <v>Geleneksel</v>
      </c>
      <c r="Q592" s="13"/>
      <c r="R592" s="13" t="b">
        <v>0</v>
      </c>
      <c r="S592" s="13" t="b">
        <v>0</v>
      </c>
      <c r="T592" s="14"/>
      <c r="U592" s="14"/>
      <c r="V592" s="14"/>
      <c r="W592" s="14" t="s">
        <v>2788</v>
      </c>
      <c r="X592" s="24"/>
      <c r="Y592" s="24"/>
      <c r="Z592" s="18"/>
      <c r="AA592" s="19" t="s">
        <v>54</v>
      </c>
      <c r="AB592" s="24">
        <v>44642.0</v>
      </c>
      <c r="AC592" s="19"/>
      <c r="AD592" s="20"/>
      <c r="AE592" s="19"/>
      <c r="AF592" s="20"/>
      <c r="AG592" s="21"/>
      <c r="AH592" s="18"/>
      <c r="AI592" s="18"/>
      <c r="AJ592" s="18"/>
      <c r="AK592" s="19" t="s">
        <v>75</v>
      </c>
      <c r="AL592" s="19"/>
      <c r="AM592" s="19"/>
      <c r="AN592" s="18"/>
      <c r="AO592" s="18"/>
      <c r="AP592" s="22"/>
      <c r="AQ592" s="18"/>
    </row>
    <row r="593">
      <c r="A593" s="11" t="s">
        <v>2789</v>
      </c>
      <c r="B593" s="11" t="s">
        <v>2790</v>
      </c>
      <c r="C593" s="11" t="str">
        <f>VLOOKUP(A593,import!A:C,3,0)</f>
        <v>YANLIŞ</v>
      </c>
      <c r="D593" s="11" t="s">
        <v>2791</v>
      </c>
      <c r="E593" s="11">
        <f>VLOOKUP(A593,import!A:J,5,0)</f>
        <v>58</v>
      </c>
      <c r="F593" s="11" t="str">
        <f>VLOOKUP(A593,import!A:J,6,0)</f>
        <v/>
      </c>
      <c r="G593" s="11">
        <f>VLOOKUP(A593,import!A:J,7,0)</f>
        <v>41</v>
      </c>
      <c r="H593" s="11">
        <f>VLOOKUP(A593,import!A:J,8,0)</f>
        <v>20</v>
      </c>
      <c r="I593" s="11">
        <f>VLOOKUP(A593,import!A:J,9,0)</f>
        <v>61</v>
      </c>
      <c r="J593" s="12">
        <f>VLOOKUP(A593,import!A:J,10,0)</f>
        <v>0.67</v>
      </c>
      <c r="K593" s="11" t="s">
        <v>2792</v>
      </c>
      <c r="L593" s="11">
        <v>5.360340696E9</v>
      </c>
      <c r="M593" s="11" t="s">
        <v>47</v>
      </c>
      <c r="N593" s="11" t="s">
        <v>48</v>
      </c>
      <c r="O593" s="11" t="s">
        <v>2793</v>
      </c>
      <c r="P593" s="11" t="str">
        <f>VLOOKUP(A593,import!A:P,16,0)</f>
        <v>Geleneksel</v>
      </c>
      <c r="Q593" s="13"/>
      <c r="R593" s="13" t="b">
        <v>1</v>
      </c>
      <c r="S593" s="13" t="b">
        <v>0</v>
      </c>
      <c r="T593" s="14" t="s">
        <v>74</v>
      </c>
      <c r="U593" s="14" t="s">
        <v>80</v>
      </c>
      <c r="V593" s="14"/>
      <c r="W593" s="14" t="s">
        <v>1185</v>
      </c>
      <c r="X593" s="24">
        <v>44623.0</v>
      </c>
      <c r="Y593" s="24">
        <v>44624.0</v>
      </c>
      <c r="Z593" s="18"/>
      <c r="AA593" s="19" t="s">
        <v>54</v>
      </c>
      <c r="AB593" s="20">
        <v>44370.0</v>
      </c>
      <c r="AC593" s="19" t="s">
        <v>54</v>
      </c>
      <c r="AD593" s="20">
        <v>44623.0</v>
      </c>
      <c r="AE593" s="21"/>
      <c r="AF593" s="18"/>
      <c r="AG593" s="21"/>
      <c r="AH593" s="18"/>
      <c r="AI593" s="18"/>
      <c r="AJ593" s="18"/>
      <c r="AK593" s="19" t="s">
        <v>95</v>
      </c>
      <c r="AL593" s="19" t="s">
        <v>80</v>
      </c>
      <c r="AM593" s="18"/>
      <c r="AN593" s="18"/>
      <c r="AO593" s="18"/>
      <c r="AP593" s="22" t="s">
        <v>56</v>
      </c>
      <c r="AQ593" s="18"/>
    </row>
    <row r="594">
      <c r="A594" s="11" t="s">
        <v>2794</v>
      </c>
      <c r="B594" s="11" t="s">
        <v>2795</v>
      </c>
      <c r="C594" s="11" t="str">
        <f>VLOOKUP(A594,import!A:C,3,0)</f>
        <v>DOĞRU</v>
      </c>
      <c r="D594" s="11" t="s">
        <v>69</v>
      </c>
      <c r="E594" s="11">
        <f>VLOOKUP(A594,import!A:J,5,0)</f>
        <v>324</v>
      </c>
      <c r="F594" s="11">
        <f>VLOOKUP(A594,import!A:J,6,0)</f>
        <v>8</v>
      </c>
      <c r="G594" s="11">
        <f>VLOOKUP(A594,import!A:J,7,0)</f>
        <v>0</v>
      </c>
      <c r="H594" s="11">
        <f>VLOOKUP(A594,import!A:J,8,0)</f>
        <v>14</v>
      </c>
      <c r="I594" s="11">
        <f>VLOOKUP(A594,import!A:J,9,0)</f>
        <v>14</v>
      </c>
      <c r="J594" s="12">
        <f>VLOOKUP(A594,import!A:J,10,0)</f>
        <v>0</v>
      </c>
      <c r="K594" s="11" t="s">
        <v>2304</v>
      </c>
      <c r="L594" s="11">
        <v>5.558929456E9</v>
      </c>
      <c r="M594" s="11" t="s">
        <v>61</v>
      </c>
      <c r="N594" s="11" t="s">
        <v>250</v>
      </c>
      <c r="O594" s="11" t="s">
        <v>1122</v>
      </c>
      <c r="P594" s="11" t="str">
        <f>VLOOKUP(A594,import!A:P,16,0)</f>
        <v>Geleneksel</v>
      </c>
      <c r="Q594" s="13"/>
      <c r="R594" s="13" t="b">
        <v>1</v>
      </c>
      <c r="S594" s="13" t="b">
        <v>0</v>
      </c>
      <c r="T594" s="14" t="s">
        <v>2565</v>
      </c>
      <c r="U594" s="14"/>
      <c r="V594" s="14"/>
      <c r="W594" s="14" t="s">
        <v>2796</v>
      </c>
      <c r="X594" s="24"/>
      <c r="Y594" s="24"/>
      <c r="Z594" s="18"/>
      <c r="AA594" s="19" t="s">
        <v>54</v>
      </c>
      <c r="AB594" s="20">
        <v>44593.0</v>
      </c>
      <c r="AC594" s="19" t="s">
        <v>54</v>
      </c>
      <c r="AD594" s="20">
        <v>44643.0</v>
      </c>
      <c r="AE594" s="21"/>
      <c r="AF594" s="18"/>
      <c r="AG594" s="21"/>
      <c r="AH594" s="18"/>
      <c r="AI594" s="18"/>
      <c r="AJ594" s="18"/>
      <c r="AK594" s="19" t="s">
        <v>86</v>
      </c>
      <c r="AL594" s="19" t="s">
        <v>75</v>
      </c>
      <c r="AM594" s="18"/>
      <c r="AN594" s="18"/>
      <c r="AO594" s="18"/>
      <c r="AP594" s="22" t="s">
        <v>56</v>
      </c>
      <c r="AQ594" s="18"/>
    </row>
    <row r="595">
      <c r="A595" s="11" t="s">
        <v>2797</v>
      </c>
      <c r="B595" s="11" t="s">
        <v>2798</v>
      </c>
      <c r="C595" s="11" t="str">
        <f>VLOOKUP(A595,import!A:C,3,0)</f>
        <v>DOĞRU</v>
      </c>
      <c r="D595" s="11" t="s">
        <v>69</v>
      </c>
      <c r="E595" s="11">
        <f>VLOOKUP(A595,import!A:J,5,0)</f>
        <v>921</v>
      </c>
      <c r="F595" s="11">
        <f>VLOOKUP(A595,import!A:J,6,0)</f>
        <v>194</v>
      </c>
      <c r="G595" s="11">
        <f>VLOOKUP(A595,import!A:J,7,0)</f>
        <v>7</v>
      </c>
      <c r="H595" s="11">
        <f>VLOOKUP(A595,import!A:J,8,0)</f>
        <v>7</v>
      </c>
      <c r="I595" s="11">
        <f>VLOOKUP(A595,import!A:J,9,0)</f>
        <v>14</v>
      </c>
      <c r="J595" s="12">
        <f>VLOOKUP(A595,import!A:J,10,0)</f>
        <v>0.5</v>
      </c>
      <c r="K595" s="11" t="s">
        <v>2799</v>
      </c>
      <c r="L595" s="11">
        <v>5.331366737E9</v>
      </c>
      <c r="M595" s="11" t="s">
        <v>61</v>
      </c>
      <c r="N595" s="11" t="s">
        <v>62</v>
      </c>
      <c r="O595" s="11" t="s">
        <v>2800</v>
      </c>
      <c r="P595" s="11" t="str">
        <f>VLOOKUP(A595,import!A:P,16,0)</f>
        <v>Geleneksel</v>
      </c>
      <c r="Q595" s="13"/>
      <c r="R595" s="13" t="b">
        <v>1</v>
      </c>
      <c r="S595" s="13" t="b">
        <v>0</v>
      </c>
      <c r="T595" s="14" t="s">
        <v>74</v>
      </c>
      <c r="U595" s="14" t="s">
        <v>75</v>
      </c>
      <c r="V595" s="23" t="s">
        <v>76</v>
      </c>
      <c r="W595" s="14"/>
      <c r="X595" s="24">
        <v>44603.0</v>
      </c>
      <c r="Y595" s="24">
        <v>44607.0</v>
      </c>
      <c r="Z595" s="18"/>
      <c r="AA595" s="19" t="s">
        <v>54</v>
      </c>
      <c r="AB595" s="20">
        <v>44603.0</v>
      </c>
      <c r="AC595" s="19"/>
      <c r="AD595" s="20"/>
      <c r="AE595" s="19"/>
      <c r="AF595" s="20"/>
      <c r="AG595" s="21"/>
      <c r="AH595" s="18"/>
      <c r="AI595" s="18"/>
      <c r="AJ595" s="18"/>
      <c r="AK595" s="19" t="s">
        <v>75</v>
      </c>
      <c r="AL595" s="19"/>
      <c r="AM595" s="19"/>
      <c r="AN595" s="18"/>
      <c r="AO595" s="18"/>
      <c r="AP595" s="22"/>
      <c r="AQ595" s="18"/>
    </row>
    <row r="596">
      <c r="A596" s="11" t="s">
        <v>2801</v>
      </c>
      <c r="B596" s="11" t="s">
        <v>2802</v>
      </c>
      <c r="C596" s="11" t="str">
        <f>VLOOKUP(A596,import!A:C,3,0)</f>
        <v>DOĞRU</v>
      </c>
      <c r="D596" s="11" t="s">
        <v>505</v>
      </c>
      <c r="E596" s="11">
        <f>VLOOKUP(A596,import!A:J,5,0)</f>
        <v>566</v>
      </c>
      <c r="F596" s="11">
        <f>VLOOKUP(A596,import!A:J,6,0)</f>
        <v>38</v>
      </c>
      <c r="G596" s="11">
        <f>VLOOKUP(A596,import!A:J,7,0)</f>
        <v>6</v>
      </c>
      <c r="H596" s="11">
        <f>VLOOKUP(A596,import!A:J,8,0)</f>
        <v>6</v>
      </c>
      <c r="I596" s="11">
        <f>VLOOKUP(A596,import!A:J,9,0)</f>
        <v>12</v>
      </c>
      <c r="J596" s="12">
        <f>VLOOKUP(A596,import!A:J,10,0)</f>
        <v>0.5</v>
      </c>
      <c r="K596" s="11" t="s">
        <v>2803</v>
      </c>
      <c r="L596" s="11">
        <v>3.52502835E9</v>
      </c>
      <c r="M596" s="11" t="s">
        <v>47</v>
      </c>
      <c r="N596" s="11" t="s">
        <v>1158</v>
      </c>
      <c r="O596" s="11" t="s">
        <v>2804</v>
      </c>
      <c r="P596" s="11" t="str">
        <f>VLOOKUP(A596,import!A:P,16,0)</f>
        <v>Geleneksel</v>
      </c>
      <c r="Q596" s="13"/>
      <c r="R596" s="13" t="b">
        <v>1</v>
      </c>
      <c r="S596" s="13" t="b">
        <v>0</v>
      </c>
      <c r="T596" s="14" t="s">
        <v>74</v>
      </c>
      <c r="U596" s="14" t="s">
        <v>80</v>
      </c>
      <c r="V596" s="14" t="s">
        <v>1589</v>
      </c>
      <c r="W596" s="14">
        <v>5.378905143E9</v>
      </c>
      <c r="X596" s="24">
        <v>44590.0</v>
      </c>
      <c r="Y596" s="24">
        <v>44596.0</v>
      </c>
      <c r="Z596" s="18"/>
      <c r="AA596" s="19" t="s">
        <v>347</v>
      </c>
      <c r="AB596" s="20">
        <v>44588.0</v>
      </c>
      <c r="AC596" s="19" t="s">
        <v>54</v>
      </c>
      <c r="AD596" s="20">
        <v>44590.0</v>
      </c>
      <c r="AE596" s="21"/>
      <c r="AF596" s="18"/>
      <c r="AG596" s="21"/>
      <c r="AH596" s="18"/>
      <c r="AI596" s="18"/>
      <c r="AJ596" s="18"/>
      <c r="AK596" s="19" t="s">
        <v>110</v>
      </c>
      <c r="AL596" s="19" t="s">
        <v>80</v>
      </c>
      <c r="AM596" s="18"/>
      <c r="AN596" s="18"/>
      <c r="AO596" s="18"/>
      <c r="AP596" s="22"/>
      <c r="AQ596" s="18"/>
    </row>
    <row r="597">
      <c r="A597" s="11" t="s">
        <v>2805</v>
      </c>
      <c r="B597" s="11" t="s">
        <v>2806</v>
      </c>
      <c r="C597" s="11" t="str">
        <f>VLOOKUP(A597,import!A:C,3,0)</f>
        <v>DOĞRU</v>
      </c>
      <c r="D597" s="11" t="s">
        <v>406</v>
      </c>
      <c r="E597" s="11">
        <f>VLOOKUP(A597,import!A:J,5,0)</f>
        <v>886</v>
      </c>
      <c r="F597" s="11" t="str">
        <f>VLOOKUP(A597,import!A:J,6,0)</f>
        <v/>
      </c>
      <c r="G597" s="11">
        <f>VLOOKUP(A597,import!A:J,7,0)</f>
        <v>0</v>
      </c>
      <c r="H597" s="11">
        <f>VLOOKUP(A597,import!A:J,8,0)</f>
        <v>55</v>
      </c>
      <c r="I597" s="11">
        <f>VLOOKUP(A597,import!A:J,9,0)</f>
        <v>55</v>
      </c>
      <c r="J597" s="12">
        <f>VLOOKUP(A597,import!A:J,10,0)</f>
        <v>0</v>
      </c>
      <c r="K597" s="11" t="s">
        <v>2807</v>
      </c>
      <c r="L597" s="11">
        <v>3.523333212E9</v>
      </c>
      <c r="M597" s="11" t="s">
        <v>61</v>
      </c>
      <c r="N597" s="11" t="s">
        <v>250</v>
      </c>
      <c r="O597" s="11" t="s">
        <v>2808</v>
      </c>
      <c r="P597" s="11" t="str">
        <f>VLOOKUP(A597,import!A:P,16,0)</f>
        <v>Geleneksel</v>
      </c>
      <c r="Q597" s="13"/>
      <c r="R597" s="13" t="b">
        <v>1</v>
      </c>
      <c r="S597" s="13" t="b">
        <v>0</v>
      </c>
      <c r="T597" s="14" t="s">
        <v>133</v>
      </c>
      <c r="U597" s="15"/>
      <c r="V597" s="15"/>
      <c r="W597" s="14" t="s">
        <v>2809</v>
      </c>
      <c r="X597" s="17"/>
      <c r="Y597" s="17"/>
      <c r="Z597" s="18"/>
      <c r="AA597" s="19" t="s">
        <v>54</v>
      </c>
      <c r="AB597" s="20">
        <v>44656.0</v>
      </c>
      <c r="AC597" s="19" t="s">
        <v>347</v>
      </c>
      <c r="AD597" s="24">
        <v>44622.0</v>
      </c>
      <c r="AE597" s="21"/>
      <c r="AF597" s="18"/>
      <c r="AG597" s="21"/>
      <c r="AH597" s="18"/>
      <c r="AI597" s="18"/>
      <c r="AJ597" s="18"/>
      <c r="AK597" s="19" t="s">
        <v>437</v>
      </c>
      <c r="AL597" s="19" t="s">
        <v>75</v>
      </c>
      <c r="AM597" s="18"/>
      <c r="AN597" s="18"/>
      <c r="AO597" s="18"/>
      <c r="AP597" s="22" t="s">
        <v>56</v>
      </c>
      <c r="AQ597" s="18"/>
    </row>
    <row r="598">
      <c r="A598" s="11" t="s">
        <v>2810</v>
      </c>
      <c r="B598" s="11" t="s">
        <v>2811</v>
      </c>
      <c r="C598" s="11" t="str">
        <f>VLOOKUP(A598,import!A:C,3,0)</f>
        <v>DOĞRU</v>
      </c>
      <c r="D598" s="11" t="s">
        <v>172</v>
      </c>
      <c r="E598" s="11">
        <f>VLOOKUP(A598,import!A:J,5,0)</f>
        <v>5033</v>
      </c>
      <c r="F598" s="11" t="str">
        <f>VLOOKUP(A598,import!A:J,6,0)</f>
        <v/>
      </c>
      <c r="G598" s="11">
        <f>VLOOKUP(A598,import!A:J,7,0)</f>
        <v>14</v>
      </c>
      <c r="H598" s="11">
        <f>VLOOKUP(A598,import!A:J,8,0)</f>
        <v>12</v>
      </c>
      <c r="I598" s="11">
        <f>VLOOKUP(A598,import!A:J,9,0)</f>
        <v>26</v>
      </c>
      <c r="J598" s="12">
        <f>VLOOKUP(A598,import!A:J,10,0)</f>
        <v>0.54</v>
      </c>
      <c r="K598" s="11" t="s">
        <v>2812</v>
      </c>
      <c r="L598" s="11">
        <v>3.524080119E9</v>
      </c>
      <c r="M598" s="11" t="s">
        <v>47</v>
      </c>
      <c r="N598" s="11" t="s">
        <v>125</v>
      </c>
      <c r="O598" s="11" t="s">
        <v>2813</v>
      </c>
      <c r="P598" s="11" t="str">
        <f>VLOOKUP(A598,import!A:P,16,0)</f>
        <v>Geleneksel</v>
      </c>
      <c r="Q598" s="13"/>
      <c r="R598" s="13" t="b">
        <v>1</v>
      </c>
      <c r="S598" s="13" t="b">
        <v>0</v>
      </c>
      <c r="T598" s="14" t="s">
        <v>74</v>
      </c>
      <c r="U598" s="14" t="s">
        <v>110</v>
      </c>
      <c r="V598" s="30" t="s">
        <v>76</v>
      </c>
      <c r="W598" s="14" t="s">
        <v>2814</v>
      </c>
      <c r="X598" s="24">
        <v>44614.0</v>
      </c>
      <c r="Y598" s="24">
        <v>44615.0</v>
      </c>
      <c r="Z598" s="18"/>
      <c r="AA598" s="19" t="s">
        <v>54</v>
      </c>
      <c r="AB598" s="20">
        <v>44358.0</v>
      </c>
      <c r="AC598" s="19" t="s">
        <v>54</v>
      </c>
      <c r="AD598" s="20">
        <v>44601.0</v>
      </c>
      <c r="AE598" s="19" t="s">
        <v>54</v>
      </c>
      <c r="AF598" s="20">
        <v>44614.0</v>
      </c>
      <c r="AG598" s="21"/>
      <c r="AH598" s="18"/>
      <c r="AI598" s="18"/>
      <c r="AJ598" s="18"/>
      <c r="AK598" s="19" t="s">
        <v>55</v>
      </c>
      <c r="AL598" s="19" t="s">
        <v>110</v>
      </c>
      <c r="AM598" s="19" t="s">
        <v>110</v>
      </c>
      <c r="AN598" s="18"/>
      <c r="AO598" s="18"/>
      <c r="AP598" s="22" t="s">
        <v>56</v>
      </c>
      <c r="AQ598" s="18"/>
    </row>
    <row r="599">
      <c r="A599" s="11" t="s">
        <v>2815</v>
      </c>
      <c r="B599" s="11" t="s">
        <v>2816</v>
      </c>
      <c r="C599" s="11" t="str">
        <f>VLOOKUP(A599,import!A:C,3,0)</f>
        <v>DOĞRU</v>
      </c>
      <c r="D599" s="11" t="s">
        <v>59</v>
      </c>
      <c r="E599" s="11">
        <f>VLOOKUP(A599,import!A:J,5,0)</f>
        <v>399</v>
      </c>
      <c r="F599" s="11">
        <f>VLOOKUP(A599,import!A:J,6,0)</f>
        <v>29</v>
      </c>
      <c r="G599" s="11">
        <f>VLOOKUP(A599,import!A:J,7,0)</f>
        <v>0</v>
      </c>
      <c r="H599" s="11">
        <f>VLOOKUP(A599,import!A:J,8,0)</f>
        <v>25</v>
      </c>
      <c r="I599" s="11">
        <f>VLOOKUP(A599,import!A:J,9,0)</f>
        <v>25</v>
      </c>
      <c r="J599" s="12">
        <f>VLOOKUP(A599,import!A:J,10,0)</f>
        <v>0</v>
      </c>
      <c r="K599" s="11" t="s">
        <v>2817</v>
      </c>
      <c r="L599" s="11">
        <v>3.522312033E9</v>
      </c>
      <c r="M599" s="11" t="s">
        <v>47</v>
      </c>
      <c r="N599" s="11" t="s">
        <v>391</v>
      </c>
      <c r="O599" s="11" t="s">
        <v>2818</v>
      </c>
      <c r="P599" s="11" t="str">
        <f>VLOOKUP(A599,import!A:P,16,0)</f>
        <v>Geleneksel</v>
      </c>
      <c r="Q599" s="13"/>
      <c r="R599" s="13" t="b">
        <v>1</v>
      </c>
      <c r="S599" s="13" t="b">
        <v>0</v>
      </c>
      <c r="T599" s="14" t="s">
        <v>168</v>
      </c>
      <c r="U599" s="14" t="s">
        <v>95</v>
      </c>
      <c r="V599" s="14" t="s">
        <v>96</v>
      </c>
      <c r="W599" s="14" t="s">
        <v>2819</v>
      </c>
      <c r="X599" s="24">
        <v>44312.0</v>
      </c>
      <c r="Y599" s="24">
        <v>44315.0</v>
      </c>
      <c r="Z599" s="18"/>
      <c r="AA599" s="19" t="s">
        <v>54</v>
      </c>
      <c r="AB599" s="20">
        <v>44631.0</v>
      </c>
      <c r="AC599" s="18"/>
      <c r="AD599" s="18"/>
      <c r="AE599" s="21"/>
      <c r="AF599" s="18"/>
      <c r="AG599" s="21"/>
      <c r="AH599" s="18"/>
      <c r="AI599" s="18"/>
      <c r="AJ599" s="18"/>
      <c r="AK599" s="19" t="s">
        <v>127</v>
      </c>
      <c r="AL599" s="18"/>
      <c r="AM599" s="18"/>
      <c r="AN599" s="18"/>
      <c r="AO599" s="18"/>
      <c r="AP599" s="22" t="s">
        <v>56</v>
      </c>
      <c r="AQ599" s="18"/>
    </row>
    <row r="600">
      <c r="A600" s="11" t="s">
        <v>2820</v>
      </c>
      <c r="B600" s="11" t="s">
        <v>2821</v>
      </c>
      <c r="C600" s="11" t="str">
        <f>VLOOKUP(A600,import!A:C,3,0)</f>
        <v>DOĞRU</v>
      </c>
      <c r="D600" s="11" t="s">
        <v>83</v>
      </c>
      <c r="E600" s="11">
        <f>VLOOKUP(A600,import!A:J,5,0)</f>
        <v>1981</v>
      </c>
      <c r="F600" s="11">
        <f>VLOOKUP(A600,import!A:J,6,0)</f>
        <v>71</v>
      </c>
      <c r="G600" s="11">
        <f>VLOOKUP(A600,import!A:J,7,0)</f>
        <v>4</v>
      </c>
      <c r="H600" s="11">
        <f>VLOOKUP(A600,import!A:J,8,0)</f>
        <v>7</v>
      </c>
      <c r="I600" s="11">
        <f>VLOOKUP(A600,import!A:J,9,0)</f>
        <v>11</v>
      </c>
      <c r="J600" s="12">
        <f>VLOOKUP(A600,import!A:J,10,0)</f>
        <v>0.36</v>
      </c>
      <c r="K600" s="11" t="s">
        <v>2822</v>
      </c>
      <c r="L600" s="11">
        <v>3.522302525E9</v>
      </c>
      <c r="M600" s="11" t="s">
        <v>71</v>
      </c>
      <c r="N600" s="11" t="s">
        <v>588</v>
      </c>
      <c r="O600" s="11" t="s">
        <v>2823</v>
      </c>
      <c r="P600" s="11" t="str">
        <f>VLOOKUP(A600,import!A:P,16,0)</f>
        <v>Geleneksel</v>
      </c>
      <c r="Q600" s="13"/>
      <c r="R600" s="13" t="b">
        <v>1</v>
      </c>
      <c r="S600" s="13" t="b">
        <v>1</v>
      </c>
      <c r="T600" s="14"/>
      <c r="U600" s="14"/>
      <c r="V600" s="14"/>
      <c r="W600" s="14" t="s">
        <v>2824</v>
      </c>
      <c r="X600" s="24"/>
      <c r="Y600" s="24"/>
      <c r="Z600" s="18"/>
      <c r="AA600" s="19" t="s">
        <v>54</v>
      </c>
      <c r="AB600" s="20">
        <v>44362.0</v>
      </c>
      <c r="AC600" s="19" t="s">
        <v>54</v>
      </c>
      <c r="AD600" s="20">
        <v>44365.0</v>
      </c>
      <c r="AE600" s="21"/>
      <c r="AF600" s="18"/>
      <c r="AG600" s="21"/>
      <c r="AH600" s="18"/>
      <c r="AI600" s="18"/>
      <c r="AJ600" s="18"/>
      <c r="AK600" s="19" t="s">
        <v>88</v>
      </c>
      <c r="AL600" s="19" t="s">
        <v>2622</v>
      </c>
      <c r="AM600" s="18"/>
      <c r="AN600" s="18"/>
      <c r="AO600" s="18"/>
      <c r="AP600" s="22" t="s">
        <v>56</v>
      </c>
      <c r="AQ600" s="18"/>
    </row>
    <row r="601">
      <c r="A601" s="11" t="s">
        <v>2825</v>
      </c>
      <c r="B601" s="11" t="s">
        <v>2826</v>
      </c>
      <c r="C601" s="11" t="str">
        <f>VLOOKUP(A601,import!A:C,3,0)</f>
        <v>DOĞRU</v>
      </c>
      <c r="D601" s="11" t="s">
        <v>165</v>
      </c>
      <c r="E601" s="11">
        <f>VLOOKUP(A601,import!A:J,5,0)</f>
        <v>80</v>
      </c>
      <c r="F601" s="11">
        <f>VLOOKUP(A601,import!A:J,6,0)</f>
        <v>35</v>
      </c>
      <c r="G601" s="11">
        <f>VLOOKUP(A601,import!A:J,7,0)</f>
        <v>9</v>
      </c>
      <c r="H601" s="11">
        <f>VLOOKUP(A601,import!A:J,8,0)</f>
        <v>0</v>
      </c>
      <c r="I601" s="11">
        <f>VLOOKUP(A601,import!A:J,9,0)</f>
        <v>9</v>
      </c>
      <c r="J601" s="12">
        <f>VLOOKUP(A601,import!A:J,10,0)</f>
        <v>1</v>
      </c>
      <c r="K601" s="11" t="s">
        <v>2827</v>
      </c>
      <c r="L601" s="11">
        <v>3.522211799E9</v>
      </c>
      <c r="M601" s="11" t="s">
        <v>71</v>
      </c>
      <c r="N601" s="11" t="s">
        <v>1814</v>
      </c>
      <c r="O601" s="11" t="s">
        <v>2828</v>
      </c>
      <c r="P601" s="11" t="str">
        <f>VLOOKUP(A601,import!A:P,16,0)</f>
        <v>Geleneksel</v>
      </c>
      <c r="Q601" s="13"/>
      <c r="R601" s="13" t="b">
        <v>1</v>
      </c>
      <c r="S601" s="13" t="b">
        <v>0</v>
      </c>
      <c r="T601" s="14" t="s">
        <v>74</v>
      </c>
      <c r="U601" s="14" t="s">
        <v>110</v>
      </c>
      <c r="V601" s="30" t="s">
        <v>76</v>
      </c>
      <c r="W601" s="14"/>
      <c r="X601" s="24">
        <v>44637.0</v>
      </c>
      <c r="Y601" s="24">
        <v>44638.0</v>
      </c>
      <c r="Z601" s="18"/>
      <c r="AA601" s="19" t="s">
        <v>54</v>
      </c>
      <c r="AB601" s="20">
        <v>44637.0</v>
      </c>
      <c r="AC601" s="19"/>
      <c r="AD601" s="20"/>
      <c r="AE601" s="19"/>
      <c r="AF601" s="20"/>
      <c r="AG601" s="21"/>
      <c r="AH601" s="18"/>
      <c r="AI601" s="18"/>
      <c r="AJ601" s="18"/>
      <c r="AK601" s="19" t="s">
        <v>110</v>
      </c>
      <c r="AL601" s="19"/>
      <c r="AM601" s="19"/>
      <c r="AN601" s="18"/>
      <c r="AO601" s="18"/>
      <c r="AP601" s="22"/>
      <c r="AQ601" s="18"/>
    </row>
    <row r="602">
      <c r="A602" s="11" t="s">
        <v>2829</v>
      </c>
      <c r="B602" s="11" t="s">
        <v>2830</v>
      </c>
      <c r="C602" s="11" t="str">
        <f>VLOOKUP(A602,import!A:C,3,0)</f>
        <v>DOĞRU</v>
      </c>
      <c r="D602" s="11" t="s">
        <v>165</v>
      </c>
      <c r="E602" s="11">
        <f>VLOOKUP(A602,import!A:J,5,0)</f>
        <v>112</v>
      </c>
      <c r="F602" s="11">
        <f>VLOOKUP(A602,import!A:J,6,0)</f>
        <v>66</v>
      </c>
      <c r="G602" s="11">
        <f>VLOOKUP(A602,import!A:J,7,0)</f>
        <v>0</v>
      </c>
      <c r="H602" s="11">
        <f>VLOOKUP(A602,import!A:J,8,0)</f>
        <v>7</v>
      </c>
      <c r="I602" s="11">
        <f>VLOOKUP(A602,import!A:J,9,0)</f>
        <v>7</v>
      </c>
      <c r="J602" s="12">
        <f>VLOOKUP(A602,import!A:J,10,0)</f>
        <v>0</v>
      </c>
      <c r="K602" s="11" t="s">
        <v>2827</v>
      </c>
      <c r="L602" s="11">
        <v>3.523387812E9</v>
      </c>
      <c r="M602" s="11" t="s">
        <v>71</v>
      </c>
      <c r="N602" s="11" t="s">
        <v>62</v>
      </c>
      <c r="O602" s="11" t="s">
        <v>2831</v>
      </c>
      <c r="P602" s="11" t="str">
        <f>VLOOKUP(A602,import!A:P,16,0)</f>
        <v>Geleneksel</v>
      </c>
      <c r="Q602" s="13"/>
      <c r="R602" s="13" t="b">
        <v>1</v>
      </c>
      <c r="S602" s="13" t="b">
        <v>0</v>
      </c>
      <c r="T602" s="14" t="s">
        <v>74</v>
      </c>
      <c r="U602" s="14" t="s">
        <v>110</v>
      </c>
      <c r="V602" s="30" t="s">
        <v>76</v>
      </c>
      <c r="W602" s="14" t="s">
        <v>2832</v>
      </c>
      <c r="X602" s="24">
        <v>44663.0</v>
      </c>
      <c r="Y602" s="24">
        <v>44664.0</v>
      </c>
      <c r="Z602" s="18"/>
      <c r="AA602" s="19" t="s">
        <v>54</v>
      </c>
      <c r="AB602" s="20">
        <v>44645.0</v>
      </c>
      <c r="AC602" s="19" t="s">
        <v>347</v>
      </c>
      <c r="AD602" s="20">
        <v>44663.0</v>
      </c>
      <c r="AE602" s="19" t="s">
        <v>54</v>
      </c>
      <c r="AF602" s="20">
        <v>44663.0</v>
      </c>
      <c r="AG602" s="21"/>
      <c r="AH602" s="18"/>
      <c r="AI602" s="18"/>
      <c r="AJ602" s="18"/>
      <c r="AK602" s="19" t="s">
        <v>75</v>
      </c>
      <c r="AL602" s="19" t="s">
        <v>110</v>
      </c>
      <c r="AM602" s="19" t="s">
        <v>110</v>
      </c>
      <c r="AN602" s="18"/>
      <c r="AO602" s="18"/>
      <c r="AP602" s="22"/>
      <c r="AQ602" s="18"/>
    </row>
    <row r="603">
      <c r="A603" s="11" t="s">
        <v>2833</v>
      </c>
      <c r="B603" s="11" t="s">
        <v>2834</v>
      </c>
      <c r="C603" s="11" t="str">
        <f>VLOOKUP(A603,import!A:C,3,0)</f>
        <v>DOĞRU</v>
      </c>
      <c r="D603" s="11" t="s">
        <v>165</v>
      </c>
      <c r="E603" s="11">
        <f>VLOOKUP(A603,import!A:J,5,0)</f>
        <v>1052</v>
      </c>
      <c r="F603" s="11">
        <f>VLOOKUP(A603,import!A:J,6,0)</f>
        <v>199</v>
      </c>
      <c r="G603" s="11">
        <f>VLOOKUP(A603,import!A:J,7,0)</f>
        <v>0</v>
      </c>
      <c r="H603" s="11">
        <f>VLOOKUP(A603,import!A:J,8,0)</f>
        <v>12</v>
      </c>
      <c r="I603" s="11">
        <f>VLOOKUP(A603,import!A:J,9,0)</f>
        <v>12</v>
      </c>
      <c r="J603" s="12">
        <f>VLOOKUP(A603,import!A:J,10,0)</f>
        <v>0</v>
      </c>
      <c r="K603" s="11" t="s">
        <v>2835</v>
      </c>
      <c r="L603" s="11">
        <v>5.366032431E9</v>
      </c>
      <c r="M603" s="11" t="s">
        <v>47</v>
      </c>
      <c r="N603" s="11" t="s">
        <v>2836</v>
      </c>
      <c r="O603" s="11" t="s">
        <v>2837</v>
      </c>
      <c r="P603" s="11" t="str">
        <f>VLOOKUP(A603,import!A:P,16,0)</f>
        <v>Geleneksel</v>
      </c>
      <c r="Q603" s="13"/>
      <c r="R603" s="13" t="b">
        <v>1</v>
      </c>
      <c r="S603" s="13" t="b">
        <v>1</v>
      </c>
      <c r="T603" s="14"/>
      <c r="U603" s="14"/>
      <c r="V603" s="14"/>
      <c r="W603" s="14" t="s">
        <v>2838</v>
      </c>
      <c r="X603" s="24"/>
      <c r="Y603" s="24"/>
      <c r="Z603" s="18"/>
      <c r="AA603" s="19" t="s">
        <v>54</v>
      </c>
      <c r="AB603" s="20">
        <v>44589.0</v>
      </c>
      <c r="AC603" s="19"/>
      <c r="AD603" s="20"/>
      <c r="AE603" s="21"/>
      <c r="AF603" s="18"/>
      <c r="AG603" s="21"/>
      <c r="AH603" s="18"/>
      <c r="AI603" s="18"/>
      <c r="AJ603" s="18"/>
      <c r="AK603" s="19"/>
      <c r="AL603" s="19"/>
      <c r="AM603" s="18"/>
      <c r="AN603" s="18"/>
      <c r="AO603" s="18"/>
      <c r="AP603" s="22"/>
      <c r="AQ603" s="18"/>
    </row>
    <row r="604">
      <c r="A604" s="11" t="s">
        <v>2839</v>
      </c>
      <c r="B604" s="11" t="s">
        <v>2840</v>
      </c>
      <c r="C604" s="11" t="str">
        <f>VLOOKUP(A604,import!A:C,3,0)</f>
        <v>DOĞRU</v>
      </c>
      <c r="D604" s="11" t="s">
        <v>165</v>
      </c>
      <c r="E604" s="11">
        <f>VLOOKUP(A604,import!A:J,5,0)</f>
        <v>320</v>
      </c>
      <c r="F604" s="11">
        <f>VLOOKUP(A604,import!A:J,6,0)</f>
        <v>176</v>
      </c>
      <c r="G604" s="11">
        <f>VLOOKUP(A604,import!A:J,7,0)</f>
        <v>11</v>
      </c>
      <c r="H604" s="11">
        <f>VLOOKUP(A604,import!A:J,8,0)</f>
        <v>3</v>
      </c>
      <c r="I604" s="11">
        <f>VLOOKUP(A604,import!A:J,9,0)</f>
        <v>14</v>
      </c>
      <c r="J604" s="12">
        <f>VLOOKUP(A604,import!A:J,10,0)</f>
        <v>0.79</v>
      </c>
      <c r="K604" s="11" t="s">
        <v>2841</v>
      </c>
      <c r="L604" s="11">
        <v>3.524383334E9</v>
      </c>
      <c r="M604" s="11" t="s">
        <v>61</v>
      </c>
      <c r="N604" s="11" t="s">
        <v>250</v>
      </c>
      <c r="O604" s="11" t="s">
        <v>2842</v>
      </c>
      <c r="P604" s="11" t="str">
        <f>VLOOKUP(A604,import!A:P,16,0)</f>
        <v>Geleneksel</v>
      </c>
      <c r="Q604" s="13"/>
      <c r="R604" s="13" t="b">
        <v>1</v>
      </c>
      <c r="S604" s="13" t="b">
        <v>0</v>
      </c>
      <c r="T604" s="14" t="s">
        <v>74</v>
      </c>
      <c r="U604" s="14" t="s">
        <v>75</v>
      </c>
      <c r="V604" s="30" t="s">
        <v>76</v>
      </c>
      <c r="W604" s="14">
        <v>5.309566464E9</v>
      </c>
      <c r="X604" s="24">
        <v>44642.0</v>
      </c>
      <c r="Y604" s="24">
        <v>44643.0</v>
      </c>
      <c r="Z604" s="18"/>
      <c r="AA604" s="19" t="s">
        <v>54</v>
      </c>
      <c r="AB604" s="24">
        <v>44642.0</v>
      </c>
      <c r="AC604" s="19"/>
      <c r="AD604" s="20"/>
      <c r="AE604" s="19"/>
      <c r="AF604" s="20"/>
      <c r="AG604" s="21"/>
      <c r="AH604" s="18"/>
      <c r="AI604" s="18"/>
      <c r="AJ604" s="18"/>
      <c r="AK604" s="19" t="s">
        <v>75</v>
      </c>
      <c r="AL604" s="19"/>
      <c r="AM604" s="19"/>
      <c r="AN604" s="18"/>
      <c r="AO604" s="18"/>
      <c r="AP604" s="22"/>
      <c r="AQ604" s="18"/>
    </row>
    <row r="605">
      <c r="A605" s="11" t="s">
        <v>2843</v>
      </c>
      <c r="B605" s="11" t="s">
        <v>2844</v>
      </c>
      <c r="C605" s="11" t="str">
        <f>VLOOKUP(A605,import!A:C,3,0)</f>
        <v>DOĞRU</v>
      </c>
      <c r="D605" s="11" t="s">
        <v>165</v>
      </c>
      <c r="E605" s="11">
        <f>VLOOKUP(A605,import!A:J,5,0)</f>
        <v>114</v>
      </c>
      <c r="F605" s="11">
        <f>VLOOKUP(A605,import!A:J,6,0)</f>
        <v>77</v>
      </c>
      <c r="G605" s="11">
        <f>VLOOKUP(A605,import!A:J,7,0)</f>
        <v>17</v>
      </c>
      <c r="H605" s="11">
        <f>VLOOKUP(A605,import!A:J,8,0)</f>
        <v>5</v>
      </c>
      <c r="I605" s="11">
        <f>VLOOKUP(A605,import!A:J,9,0)</f>
        <v>22</v>
      </c>
      <c r="J605" s="12">
        <f>VLOOKUP(A605,import!A:J,10,0)</f>
        <v>0.77</v>
      </c>
      <c r="K605" s="11" t="s">
        <v>2845</v>
      </c>
      <c r="L605" s="11">
        <v>3.523201616E9</v>
      </c>
      <c r="M605" s="11" t="s">
        <v>47</v>
      </c>
      <c r="N605" s="11" t="s">
        <v>874</v>
      </c>
      <c r="O605" s="11" t="s">
        <v>2846</v>
      </c>
      <c r="P605" s="11" t="str">
        <f>VLOOKUP(A605,import!A:P,16,0)</f>
        <v>Geleneksel</v>
      </c>
      <c r="Q605" s="13"/>
      <c r="R605" s="13" t="b">
        <v>1</v>
      </c>
      <c r="S605" s="13" t="b">
        <v>0</v>
      </c>
      <c r="T605" s="14" t="s">
        <v>74</v>
      </c>
      <c r="U605" s="14" t="s">
        <v>110</v>
      </c>
      <c r="V605" s="30" t="s">
        <v>76</v>
      </c>
      <c r="W605" s="14"/>
      <c r="X605" s="24">
        <v>44648.0</v>
      </c>
      <c r="Y605" s="24">
        <v>44649.0</v>
      </c>
      <c r="Z605" s="18"/>
      <c r="AA605" s="19" t="s">
        <v>54</v>
      </c>
      <c r="AB605" s="20">
        <v>44648.0</v>
      </c>
      <c r="AC605" s="19"/>
      <c r="AD605" s="20"/>
      <c r="AE605" s="19"/>
      <c r="AF605" s="20"/>
      <c r="AG605" s="21"/>
      <c r="AH605" s="18"/>
      <c r="AI605" s="18"/>
      <c r="AJ605" s="18"/>
      <c r="AK605" s="19" t="s">
        <v>110</v>
      </c>
      <c r="AL605" s="19"/>
      <c r="AM605" s="19"/>
      <c r="AN605" s="18"/>
      <c r="AO605" s="18"/>
      <c r="AP605" s="22"/>
      <c r="AQ605" s="18"/>
    </row>
    <row r="606">
      <c r="A606" s="22" t="s">
        <v>2847</v>
      </c>
      <c r="B606" s="22" t="s">
        <v>2848</v>
      </c>
      <c r="C606" s="11" t="str">
        <f>VLOOKUP(A606,import!A:C,3,0)</f>
        <v>DOĞRU</v>
      </c>
      <c r="D606" s="22" t="s">
        <v>165</v>
      </c>
      <c r="E606" s="11">
        <f>VLOOKUP(A606,import!A:J,5,0)</f>
        <v>17</v>
      </c>
      <c r="F606" s="11">
        <f>VLOOKUP(A606,import!A:J,6,0)</f>
        <v>17</v>
      </c>
      <c r="G606" s="11">
        <f>VLOOKUP(A606,import!A:J,7,0)</f>
        <v>0</v>
      </c>
      <c r="H606" s="11">
        <f>VLOOKUP(A606,import!A:J,8,0)</f>
        <v>28</v>
      </c>
      <c r="I606" s="11">
        <f>VLOOKUP(A606,import!A:J,9,0)</f>
        <v>28</v>
      </c>
      <c r="J606" s="12">
        <f>VLOOKUP(A606,import!A:J,10,0)</f>
        <v>0</v>
      </c>
      <c r="K606" s="22" t="s">
        <v>2845</v>
      </c>
      <c r="L606" s="22">
        <v>3.52320222E9</v>
      </c>
      <c r="M606" s="22" t="s">
        <v>47</v>
      </c>
      <c r="N606" s="22" t="s">
        <v>1576</v>
      </c>
      <c r="O606" s="22" t="s">
        <v>2849</v>
      </c>
      <c r="P606" s="11" t="str">
        <f>VLOOKUP(A606,import!A:P,16,0)</f>
        <v>Geleneksel</v>
      </c>
      <c r="Q606" s="13"/>
      <c r="R606" s="13" t="b">
        <v>1</v>
      </c>
      <c r="S606" s="13" t="b">
        <v>0</v>
      </c>
      <c r="T606" s="14"/>
      <c r="U606" s="14"/>
      <c r="V606" s="14"/>
      <c r="W606" s="14" t="s">
        <v>2850</v>
      </c>
      <c r="X606" s="24"/>
      <c r="Y606" s="24"/>
      <c r="Z606" s="18"/>
      <c r="AA606" s="19" t="s">
        <v>347</v>
      </c>
      <c r="AB606" s="20">
        <v>44673.0</v>
      </c>
      <c r="AC606" s="19"/>
      <c r="AD606" s="20"/>
      <c r="AE606" s="19"/>
      <c r="AF606" s="20"/>
      <c r="AG606" s="21"/>
      <c r="AH606" s="18"/>
      <c r="AI606" s="18"/>
      <c r="AJ606" s="18"/>
      <c r="AK606" s="19" t="s">
        <v>110</v>
      </c>
      <c r="AL606" s="19"/>
      <c r="AM606" s="19"/>
      <c r="AN606" s="18"/>
      <c r="AO606" s="18"/>
      <c r="AP606" s="22"/>
      <c r="AQ606" s="18"/>
    </row>
    <row r="607">
      <c r="A607" s="11" t="s">
        <v>2851</v>
      </c>
      <c r="B607" s="11" t="s">
        <v>2852</v>
      </c>
      <c r="C607" s="11" t="str">
        <f>VLOOKUP(A607,import!A:C,3,0)</f>
        <v>DOĞRU</v>
      </c>
      <c r="D607" s="11" t="s">
        <v>69</v>
      </c>
      <c r="E607" s="11">
        <f>VLOOKUP(A607,import!A:J,5,0)</f>
        <v>9</v>
      </c>
      <c r="F607" s="11">
        <f>VLOOKUP(A607,import!A:J,6,0)</f>
        <v>3</v>
      </c>
      <c r="G607" s="11">
        <f>VLOOKUP(A607,import!A:J,7,0)</f>
        <v>9</v>
      </c>
      <c r="H607" s="11">
        <f>VLOOKUP(A607,import!A:J,8,0)</f>
        <v>10</v>
      </c>
      <c r="I607" s="11">
        <f>VLOOKUP(A607,import!A:J,9,0)</f>
        <v>19</v>
      </c>
      <c r="J607" s="12">
        <f>VLOOKUP(A607,import!A:J,10,0)</f>
        <v>0.47</v>
      </c>
      <c r="K607" s="11" t="s">
        <v>2853</v>
      </c>
      <c r="L607" s="11">
        <v>3.523322233E9</v>
      </c>
      <c r="M607" s="11" t="s">
        <v>47</v>
      </c>
      <c r="N607" s="11" t="s">
        <v>259</v>
      </c>
      <c r="O607" s="11" t="s">
        <v>1034</v>
      </c>
      <c r="P607" s="11" t="str">
        <f>VLOOKUP(A607,import!A:P,16,0)</f>
        <v>Geleneksel</v>
      </c>
      <c r="Q607" s="13"/>
      <c r="R607" s="13" t="b">
        <v>1</v>
      </c>
      <c r="S607" s="13" t="b">
        <v>0</v>
      </c>
      <c r="T607" s="14" t="s">
        <v>74</v>
      </c>
      <c r="U607" s="14" t="s">
        <v>75</v>
      </c>
      <c r="V607" s="30" t="s">
        <v>76</v>
      </c>
      <c r="W607" s="14" t="s">
        <v>2854</v>
      </c>
      <c r="X607" s="24">
        <v>44650.0</v>
      </c>
      <c r="Y607" s="24">
        <v>44652.0</v>
      </c>
      <c r="Z607" s="18"/>
      <c r="AA607" s="19" t="s">
        <v>54</v>
      </c>
      <c r="AB607" s="24">
        <v>44650.0</v>
      </c>
      <c r="AC607" s="19"/>
      <c r="AD607" s="20"/>
      <c r="AE607" s="19"/>
      <c r="AF607" s="20"/>
      <c r="AG607" s="21"/>
      <c r="AH607" s="18"/>
      <c r="AI607" s="18"/>
      <c r="AJ607" s="18"/>
      <c r="AK607" s="19" t="s">
        <v>75</v>
      </c>
      <c r="AL607" s="19"/>
      <c r="AM607" s="19"/>
      <c r="AN607" s="18"/>
      <c r="AO607" s="18"/>
      <c r="AP607" s="22"/>
      <c r="AQ607" s="18"/>
    </row>
    <row r="608">
      <c r="A608" s="11" t="s">
        <v>2855</v>
      </c>
      <c r="B608" s="11" t="s">
        <v>2856</v>
      </c>
      <c r="C608" s="11" t="str">
        <f>VLOOKUP(A608,import!A:C,3,0)</f>
        <v>DOĞRU</v>
      </c>
      <c r="D608" s="11" t="s">
        <v>69</v>
      </c>
      <c r="E608" s="11">
        <f>VLOOKUP(A608,import!A:J,5,0)</f>
        <v>200</v>
      </c>
      <c r="F608" s="11">
        <f>VLOOKUP(A608,import!A:J,6,0)</f>
        <v>47</v>
      </c>
      <c r="G608" s="11">
        <f>VLOOKUP(A608,import!A:J,7,0)</f>
        <v>31</v>
      </c>
      <c r="H608" s="11">
        <f>VLOOKUP(A608,import!A:J,8,0)</f>
        <v>28</v>
      </c>
      <c r="I608" s="11">
        <f>VLOOKUP(A608,import!A:J,9,0)</f>
        <v>59</v>
      </c>
      <c r="J608" s="12">
        <f>VLOOKUP(A608,import!A:J,10,0)</f>
        <v>0.53</v>
      </c>
      <c r="K608" s="11" t="s">
        <v>2857</v>
      </c>
      <c r="L608" s="11">
        <v>5.071635252E9</v>
      </c>
      <c r="M608" s="11" t="s">
        <v>47</v>
      </c>
      <c r="N608" s="11" t="s">
        <v>536</v>
      </c>
      <c r="O608" s="11" t="s">
        <v>2858</v>
      </c>
      <c r="P608" s="11" t="str">
        <f>VLOOKUP(A608,import!A:P,16,0)</f>
        <v>Geleneksel</v>
      </c>
      <c r="Q608" s="13"/>
      <c r="R608" s="13" t="b">
        <v>1</v>
      </c>
      <c r="S608" s="13" t="b">
        <v>0</v>
      </c>
      <c r="T608" s="14" t="s">
        <v>74</v>
      </c>
      <c r="U608" s="14" t="s">
        <v>110</v>
      </c>
      <c r="V608" s="23" t="s">
        <v>76</v>
      </c>
      <c r="W608" s="14" t="s">
        <v>1185</v>
      </c>
      <c r="X608" s="24">
        <v>44636.0</v>
      </c>
      <c r="Y608" s="24">
        <v>44637.0</v>
      </c>
      <c r="Z608" s="18"/>
      <c r="AA608" s="19" t="s">
        <v>54</v>
      </c>
      <c r="AB608" s="20">
        <v>44589.0</v>
      </c>
      <c r="AC608" s="19" t="s">
        <v>54</v>
      </c>
      <c r="AD608" s="20">
        <v>44631.0</v>
      </c>
      <c r="AE608" s="19" t="s">
        <v>54</v>
      </c>
      <c r="AF608" s="20">
        <v>44636.0</v>
      </c>
      <c r="AG608" s="21"/>
      <c r="AH608" s="18"/>
      <c r="AI608" s="18"/>
      <c r="AJ608" s="18"/>
      <c r="AK608" s="19" t="s">
        <v>110</v>
      </c>
      <c r="AL608" s="19" t="s">
        <v>127</v>
      </c>
      <c r="AM608" s="19" t="s">
        <v>110</v>
      </c>
      <c r="AN608" s="18"/>
      <c r="AO608" s="18"/>
      <c r="AP608" s="22" t="s">
        <v>56</v>
      </c>
      <c r="AQ608" s="18"/>
    </row>
    <row r="609">
      <c r="A609" s="22" t="s">
        <v>2859</v>
      </c>
      <c r="B609" s="22" t="s">
        <v>2860</v>
      </c>
      <c r="C609" s="11" t="str">
        <f>VLOOKUP(A609,import!A:C,3,0)</f>
        <v>DOĞRU</v>
      </c>
      <c r="D609" s="22" t="s">
        <v>69</v>
      </c>
      <c r="E609" s="11" t="str">
        <f>VLOOKUP(A609,import!A:J,5,0)</f>
        <v/>
      </c>
      <c r="F609" s="11" t="str">
        <f>VLOOKUP(A609,import!A:J,6,0)</f>
        <v/>
      </c>
      <c r="G609" s="11">
        <f>VLOOKUP(A609,import!A:J,7,0)</f>
        <v>0</v>
      </c>
      <c r="H609" s="11">
        <f>VLOOKUP(A609,import!A:J,8,0)</f>
        <v>11</v>
      </c>
      <c r="I609" s="11">
        <f>VLOOKUP(A609,import!A:J,9,0)</f>
        <v>11</v>
      </c>
      <c r="J609" s="12">
        <f>VLOOKUP(A609,import!A:J,10,0)</f>
        <v>0</v>
      </c>
      <c r="K609" s="22" t="s">
        <v>2861</v>
      </c>
      <c r="L609" s="22">
        <v>3.522352004E9</v>
      </c>
      <c r="M609" s="22" t="s">
        <v>71</v>
      </c>
      <c r="N609" s="22" t="s">
        <v>420</v>
      </c>
      <c r="O609" s="22" t="s">
        <v>2862</v>
      </c>
      <c r="P609" s="11" t="str">
        <f>VLOOKUP(A609,import!A:P,16,0)</f>
        <v>Geleneksel</v>
      </c>
      <c r="Q609" s="13"/>
      <c r="R609" s="13" t="b">
        <v>1</v>
      </c>
      <c r="S609" s="13" t="b">
        <v>0</v>
      </c>
      <c r="T609" s="14" t="s">
        <v>74</v>
      </c>
      <c r="U609" s="14" t="s">
        <v>110</v>
      </c>
      <c r="V609" s="30" t="s">
        <v>76</v>
      </c>
      <c r="W609" s="14"/>
      <c r="X609" s="24">
        <v>44676.0</v>
      </c>
      <c r="Y609" s="24">
        <v>44677.0</v>
      </c>
      <c r="Z609" s="18"/>
      <c r="AA609" s="19" t="s">
        <v>54</v>
      </c>
      <c r="AB609" s="20">
        <v>44676.0</v>
      </c>
      <c r="AC609" s="19"/>
      <c r="AD609" s="20"/>
      <c r="AE609" s="19"/>
      <c r="AF609" s="20"/>
      <c r="AG609" s="21"/>
      <c r="AH609" s="18"/>
      <c r="AI609" s="18"/>
      <c r="AJ609" s="18"/>
      <c r="AK609" s="19" t="s">
        <v>110</v>
      </c>
      <c r="AL609" s="19"/>
      <c r="AM609" s="19"/>
      <c r="AN609" s="18"/>
      <c r="AO609" s="18"/>
      <c r="AP609" s="22"/>
      <c r="AQ609" s="18"/>
    </row>
    <row r="610">
      <c r="A610" s="11" t="s">
        <v>2863</v>
      </c>
      <c r="B610" s="11" t="s">
        <v>2864</v>
      </c>
      <c r="C610" s="11" t="str">
        <f>VLOOKUP(A610,import!A:C,3,0)</f>
        <v>DOĞRU</v>
      </c>
      <c r="D610" s="11" t="s">
        <v>45</v>
      </c>
      <c r="E610" s="11">
        <f>VLOOKUP(A610,import!A:J,5,0)</f>
        <v>7512</v>
      </c>
      <c r="F610" s="11">
        <f>VLOOKUP(A610,import!A:J,6,0)</f>
        <v>272</v>
      </c>
      <c r="G610" s="11">
        <f>VLOOKUP(A610,import!A:J,7,0)</f>
        <v>11</v>
      </c>
      <c r="H610" s="11">
        <f>VLOOKUP(A610,import!A:J,8,0)</f>
        <v>13</v>
      </c>
      <c r="I610" s="11">
        <f>VLOOKUP(A610,import!A:J,9,0)</f>
        <v>24</v>
      </c>
      <c r="J610" s="12">
        <f>VLOOKUP(A610,import!A:J,10,0)</f>
        <v>0.46</v>
      </c>
      <c r="K610" s="11" t="s">
        <v>2865</v>
      </c>
      <c r="L610" s="11">
        <v>3.522334545E9</v>
      </c>
      <c r="M610" s="11" t="s">
        <v>47</v>
      </c>
      <c r="N610" s="11" t="s">
        <v>271</v>
      </c>
      <c r="O610" s="11" t="s">
        <v>2866</v>
      </c>
      <c r="P610" s="11" t="str">
        <f>VLOOKUP(A610,import!A:P,16,0)</f>
        <v>Geleneksel</v>
      </c>
      <c r="Q610" s="13"/>
      <c r="R610" s="13" t="b">
        <v>1</v>
      </c>
      <c r="S610" s="13" t="b">
        <v>1</v>
      </c>
      <c r="T610" s="14"/>
      <c r="U610" s="14"/>
      <c r="V610" s="14"/>
      <c r="W610" s="14" t="s">
        <v>2867</v>
      </c>
      <c r="X610" s="24"/>
      <c r="Y610" s="24"/>
      <c r="Z610" s="18"/>
      <c r="AA610" s="18"/>
      <c r="AB610" s="18"/>
      <c r="AC610" s="18"/>
      <c r="AD610" s="18"/>
      <c r="AE610" s="21"/>
      <c r="AF610" s="18"/>
      <c r="AG610" s="21"/>
      <c r="AH610" s="18"/>
      <c r="AI610" s="18"/>
      <c r="AJ610" s="18"/>
      <c r="AK610" s="18"/>
      <c r="AL610" s="18"/>
      <c r="AM610" s="18"/>
      <c r="AN610" s="18"/>
      <c r="AO610" s="18"/>
      <c r="AP610" s="22" t="s">
        <v>56</v>
      </c>
      <c r="AQ610" s="18"/>
    </row>
    <row r="611">
      <c r="A611" s="11" t="s">
        <v>2868</v>
      </c>
      <c r="B611" s="11" t="s">
        <v>2869</v>
      </c>
      <c r="C611" s="11" t="str">
        <f>VLOOKUP(A611,import!A:C,3,0)</f>
        <v>DOĞRU</v>
      </c>
      <c r="D611" s="11" t="s">
        <v>45</v>
      </c>
      <c r="E611" s="11">
        <f>VLOOKUP(A611,import!A:J,5,0)</f>
        <v>4688</v>
      </c>
      <c r="F611" s="11">
        <f>VLOOKUP(A611,import!A:J,6,0)</f>
        <v>191</v>
      </c>
      <c r="G611" s="11">
        <f>VLOOKUP(A611,import!A:J,7,0)</f>
        <v>16</v>
      </c>
      <c r="H611" s="11">
        <f>VLOOKUP(A611,import!A:J,8,0)</f>
        <v>12</v>
      </c>
      <c r="I611" s="11">
        <f>VLOOKUP(A611,import!A:J,9,0)</f>
        <v>28</v>
      </c>
      <c r="J611" s="12">
        <f>VLOOKUP(A611,import!A:J,10,0)</f>
        <v>0.57</v>
      </c>
      <c r="K611" s="11" t="s">
        <v>2870</v>
      </c>
      <c r="L611" s="11">
        <v>8.502274746E9</v>
      </c>
      <c r="M611" s="11" t="s">
        <v>61</v>
      </c>
      <c r="N611" s="11" t="s">
        <v>62</v>
      </c>
      <c r="O611" s="11" t="s">
        <v>2871</v>
      </c>
      <c r="P611" s="11" t="str">
        <f>VLOOKUP(A611,import!A:P,16,0)</f>
        <v>Geleneksel</v>
      </c>
      <c r="Q611" s="13"/>
      <c r="R611" s="13" t="b">
        <v>1</v>
      </c>
      <c r="S611" s="13" t="b">
        <v>0</v>
      </c>
      <c r="T611" s="14"/>
      <c r="U611" s="14"/>
      <c r="V611" s="14"/>
      <c r="W611" s="14" t="s">
        <v>2872</v>
      </c>
      <c r="X611" s="24"/>
      <c r="Y611" s="24"/>
      <c r="Z611" s="18"/>
      <c r="AA611" s="19" t="s">
        <v>54</v>
      </c>
      <c r="AB611" s="20">
        <v>44579.0</v>
      </c>
      <c r="AC611" s="19"/>
      <c r="AD611" s="20"/>
      <c r="AE611" s="21"/>
      <c r="AF611" s="18"/>
      <c r="AG611" s="21"/>
      <c r="AH611" s="18"/>
      <c r="AI611" s="18"/>
      <c r="AJ611" s="18"/>
      <c r="AK611" s="19" t="s">
        <v>86</v>
      </c>
      <c r="AL611" s="19"/>
      <c r="AM611" s="18"/>
      <c r="AN611" s="18"/>
      <c r="AO611" s="18"/>
      <c r="AP611" s="22" t="s">
        <v>56</v>
      </c>
      <c r="AQ611" s="18"/>
    </row>
    <row r="612">
      <c r="A612" s="22" t="s">
        <v>2873</v>
      </c>
      <c r="B612" s="22" t="s">
        <v>2874</v>
      </c>
      <c r="C612" s="11" t="str">
        <f>VLOOKUP(A612,import!A:C,3,0)</f>
        <v>DOĞRU</v>
      </c>
      <c r="D612" s="22" t="s">
        <v>69</v>
      </c>
      <c r="E612" s="11">
        <f>VLOOKUP(A612,import!A:J,5,0)</f>
        <v>44</v>
      </c>
      <c r="F612" s="11">
        <f>VLOOKUP(A612,import!A:J,6,0)</f>
        <v>44</v>
      </c>
      <c r="G612" s="11">
        <f>VLOOKUP(A612,import!A:J,7,0)</f>
        <v>0</v>
      </c>
      <c r="H612" s="11">
        <f>VLOOKUP(A612,import!A:J,8,0)</f>
        <v>27</v>
      </c>
      <c r="I612" s="11">
        <f>VLOOKUP(A612,import!A:J,9,0)</f>
        <v>27</v>
      </c>
      <c r="J612" s="12">
        <f>VLOOKUP(A612,import!A:J,10,0)</f>
        <v>0</v>
      </c>
      <c r="K612" s="22" t="s">
        <v>2875</v>
      </c>
      <c r="L612" s="22">
        <v>5.310822128E9</v>
      </c>
      <c r="M612" s="22" t="s">
        <v>61</v>
      </c>
      <c r="N612" s="22" t="s">
        <v>62</v>
      </c>
      <c r="O612" s="22" t="s">
        <v>2876</v>
      </c>
      <c r="P612" s="11" t="str">
        <f>VLOOKUP(A612,import!A:P,16,0)</f>
        <v>Geleneksel</v>
      </c>
      <c r="Q612" s="13"/>
      <c r="R612" s="13" t="b">
        <v>1</v>
      </c>
      <c r="S612" s="13" t="b">
        <v>0</v>
      </c>
      <c r="T612" s="14" t="s">
        <v>74</v>
      </c>
      <c r="U612" s="14" t="s">
        <v>75</v>
      </c>
      <c r="V612" s="30" t="s">
        <v>76</v>
      </c>
      <c r="W612" s="14"/>
      <c r="X612" s="24">
        <v>44679.0</v>
      </c>
      <c r="Y612" s="24">
        <v>44680.0</v>
      </c>
      <c r="Z612" s="18"/>
      <c r="AA612" s="19" t="s">
        <v>54</v>
      </c>
      <c r="AB612" s="24">
        <v>44679.0</v>
      </c>
      <c r="AC612" s="19"/>
      <c r="AD612" s="20"/>
      <c r="AE612" s="19"/>
      <c r="AF612" s="20"/>
      <c r="AG612" s="21"/>
      <c r="AH612" s="18"/>
      <c r="AI612" s="18"/>
      <c r="AJ612" s="18"/>
      <c r="AK612" s="19" t="s">
        <v>75</v>
      </c>
      <c r="AL612" s="19"/>
      <c r="AM612" s="19"/>
      <c r="AN612" s="18"/>
      <c r="AO612" s="18"/>
      <c r="AP612" s="22"/>
      <c r="AQ612" s="18"/>
    </row>
    <row r="613">
      <c r="A613" s="22" t="s">
        <v>2877</v>
      </c>
      <c r="B613" s="22" t="s">
        <v>2878</v>
      </c>
      <c r="C613" s="11" t="str">
        <f>VLOOKUP(A613,import!A:C,3,0)</f>
        <v>DOĞRU</v>
      </c>
      <c r="D613" s="22" t="s">
        <v>172</v>
      </c>
      <c r="E613" s="11" t="str">
        <f>VLOOKUP(A613,import!A:J,5,0)</f>
        <v/>
      </c>
      <c r="F613" s="11" t="str">
        <f>VLOOKUP(A613,import!A:J,6,0)</f>
        <v/>
      </c>
      <c r="G613" s="11">
        <f>VLOOKUP(A613,import!A:J,7,0)</f>
        <v>0</v>
      </c>
      <c r="H613" s="11">
        <f>VLOOKUP(A613,import!A:J,8,0)</f>
        <v>13</v>
      </c>
      <c r="I613" s="11">
        <f>VLOOKUP(A613,import!A:J,9,0)</f>
        <v>13</v>
      </c>
      <c r="J613" s="12">
        <f>VLOOKUP(A613,import!A:J,10,0)</f>
        <v>0</v>
      </c>
      <c r="K613" s="22" t="s">
        <v>2879</v>
      </c>
      <c r="L613" s="22">
        <v>3.525130403E9</v>
      </c>
      <c r="M613" s="22" t="s">
        <v>71</v>
      </c>
      <c r="N613" s="22" t="s">
        <v>71</v>
      </c>
      <c r="O613" s="22" t="s">
        <v>2880</v>
      </c>
      <c r="P613" s="11" t="str">
        <f>VLOOKUP(A613,import!A:P,16,0)</f>
        <v>Geleneksel</v>
      </c>
      <c r="Q613" s="13"/>
      <c r="R613" s="13" t="b">
        <v>0</v>
      </c>
      <c r="S613" s="13" t="b">
        <v>0</v>
      </c>
      <c r="T613" s="14"/>
      <c r="U613" s="14"/>
      <c r="V613" s="33"/>
      <c r="W613" s="14" t="s">
        <v>2700</v>
      </c>
      <c r="X613" s="24"/>
      <c r="Y613" s="24"/>
      <c r="Z613" s="18"/>
      <c r="AA613" s="19"/>
      <c r="AB613" s="20"/>
      <c r="AC613" s="19"/>
      <c r="AD613" s="20"/>
      <c r="AE613" s="19"/>
      <c r="AF613" s="20"/>
      <c r="AG613" s="21"/>
      <c r="AH613" s="18"/>
      <c r="AI613" s="18"/>
      <c r="AJ613" s="18"/>
      <c r="AK613" s="19"/>
      <c r="AL613" s="19"/>
      <c r="AM613" s="19"/>
      <c r="AN613" s="18"/>
      <c r="AO613" s="18"/>
      <c r="AP613" s="22"/>
      <c r="AQ613" s="18"/>
    </row>
    <row r="614">
      <c r="A614" s="11" t="s">
        <v>2881</v>
      </c>
      <c r="B614" s="11" t="s">
        <v>2882</v>
      </c>
      <c r="C614" s="11" t="str">
        <f>VLOOKUP(A614,import!A:C,3,0)</f>
        <v>DOĞRU</v>
      </c>
      <c r="D614" s="11" t="s">
        <v>172</v>
      </c>
      <c r="E614" s="11">
        <f>VLOOKUP(A614,import!A:J,5,0)</f>
        <v>3930</v>
      </c>
      <c r="F614" s="11">
        <f>VLOOKUP(A614,import!A:J,6,0)</f>
        <v>103</v>
      </c>
      <c r="G614" s="11">
        <f>VLOOKUP(A614,import!A:J,7,0)</f>
        <v>0</v>
      </c>
      <c r="H614" s="11">
        <f>VLOOKUP(A614,import!A:J,8,0)</f>
        <v>25</v>
      </c>
      <c r="I614" s="11">
        <f>VLOOKUP(A614,import!A:J,9,0)</f>
        <v>25</v>
      </c>
      <c r="J614" s="12">
        <f>VLOOKUP(A614,import!A:J,10,0)</f>
        <v>0</v>
      </c>
      <c r="K614" s="11" t="s">
        <v>2883</v>
      </c>
      <c r="L614" s="11">
        <v>3.523374053E9</v>
      </c>
      <c r="M614" s="11" t="s">
        <v>71</v>
      </c>
      <c r="N614" s="11" t="s">
        <v>62</v>
      </c>
      <c r="O614" s="11" t="s">
        <v>2884</v>
      </c>
      <c r="P614" s="11" t="str">
        <f>VLOOKUP(A614,import!A:P,16,0)</f>
        <v>Geleneksel</v>
      </c>
      <c r="Q614" s="13"/>
      <c r="R614" s="13" t="b">
        <v>1</v>
      </c>
      <c r="S614" s="13" t="b">
        <v>0</v>
      </c>
      <c r="T614" s="14" t="s">
        <v>168</v>
      </c>
      <c r="U614" s="14" t="s">
        <v>2622</v>
      </c>
      <c r="V614" s="14"/>
      <c r="W614" s="14" t="s">
        <v>2885</v>
      </c>
      <c r="X614" s="24">
        <v>44365.0</v>
      </c>
      <c r="Y614" s="24">
        <v>44371.0</v>
      </c>
      <c r="Z614" s="18"/>
      <c r="AA614" s="19" t="s">
        <v>347</v>
      </c>
      <c r="AB614" s="20">
        <v>44365.0</v>
      </c>
      <c r="AC614" s="19" t="s">
        <v>54</v>
      </c>
      <c r="AD614" s="20">
        <v>44426.0</v>
      </c>
      <c r="AE614" s="19" t="s">
        <v>54</v>
      </c>
      <c r="AF614" s="20">
        <v>44589.0</v>
      </c>
      <c r="AG614" s="21"/>
      <c r="AH614" s="18"/>
      <c r="AI614" s="18"/>
      <c r="AJ614" s="18"/>
      <c r="AK614" s="19" t="s">
        <v>2622</v>
      </c>
      <c r="AL614" s="19" t="s">
        <v>2622</v>
      </c>
      <c r="AM614" s="19" t="s">
        <v>110</v>
      </c>
      <c r="AN614" s="18"/>
      <c r="AO614" s="18"/>
      <c r="AP614" s="22" t="s">
        <v>56</v>
      </c>
      <c r="AQ614" s="18"/>
    </row>
  </sheetData>
  <customSheetViews>
    <customSheetView guid="{FB98E829-DD7B-4C89-A968-BCED1FBEB4BE}" filter="1" showAutoFilter="1">
      <autoFilter ref="$A$1:$AO$335">
        <filterColumn colId="25">
          <filters>
            <filter val="Hemen Randevu İstiyorum"/>
          </filters>
        </filterColumn>
      </autoFilter>
    </customSheetView>
    <customSheetView guid="{962C69FA-5EA6-4F94-8922-939E5C4A684C}" filter="1" showAutoFilter="1">
      <autoFilter ref="$A$1:$AO$296">
        <filterColumn colId="25">
          <filters>
            <filter val="Hemen Randevu İstiyorum"/>
          </filters>
        </filterColumn>
        <filterColumn colId="19">
          <filters>
            <filter val="İleride Randevu Alınacak"/>
            <filter val="Dönüş Yapacak"/>
            <filter val="Sistemden Çıkmak İstiyor"/>
            <filter val="BlackList"/>
            <filter val="Franchise"/>
            <filter val="Randevu Alındı"/>
            <filter val="Başka Şubeden Çekilecek"/>
            <filter val="Devir"/>
            <filter val="Çekim İstemiyor"/>
            <filter val="Tadilat Var"/>
            <filter val="Restoran Silindi"/>
          </filters>
        </filterColumn>
      </autoFilter>
    </customSheetView>
    <customSheetView guid="{6ECC639B-C101-4DC6-87A1-7DCB0EDB7742}" filter="1" showAutoFilter="1">
      <autoFilter ref="$X$219"/>
    </customSheetView>
    <customSheetView guid="{C94DFAC9-FA99-47DF-B055-30BC37DBA3B6}" filter="1" showAutoFilter="1">
      <autoFilter ref="$A$1:$AQ$547">
        <sortState ref="A1:AQ547">
          <sortCondition ref="B1:B547"/>
          <sortCondition descending="1" ref="C1:C547"/>
        </sortState>
      </autoFilter>
    </customSheetView>
    <customSheetView guid="{FC18F716-8C44-4EB2-ADB0-F3FD89BB3587}" filter="1" showAutoFilter="1">
      <autoFilter ref="$A$1:$AI$242">
        <filterColumn colId="8">
          <customFilters>
            <customFilter operator="greaterThan" val="35"/>
          </customFilters>
        </filterColumn>
      </autoFilter>
    </customSheetView>
    <customSheetView guid="{1B09383D-81DF-4322-9D91-8ED48E2CF70E}" filter="1" showAutoFilter="1">
      <autoFilter ref="$A$1:$AQ$614">
        <filterColumn colId="19">
          <filters>
            <filter val="Çekim İstemiyor"/>
          </filters>
        </filterColumn>
      </autoFilter>
    </customSheetView>
    <customSheetView guid="{035464A5-55D0-4A3A-9A1C-A573BC1D12CF}" filter="1" showAutoFilter="1">
      <autoFilter ref="$X$83:$Y$84"/>
    </customSheetView>
    <customSheetView guid="{2AFBCE81-70E2-4642-AA0D-5BDE19FDDCA7}" filter="1" showAutoFilter="1">
      <autoFilter ref="$A$1:$AA$279">
        <filterColumn colId="8">
          <customFilters>
            <customFilter operator="greaterThanOrEqual" val="35"/>
          </customFilters>
        </filterColumn>
        <filterColumn colId="16">
          <filters blank="1">
            <filter val="Köşk Mah. Mustafa Şimşek Cad. Hisar Apt. No:56/E Melikgazi/KAYSERİ"/>
          </filters>
        </filterColumn>
      </autoFilter>
    </customSheetView>
    <customSheetView guid="{162B8A1B-EA35-47D1-BBEE-6D8E5483E043}" filter="1" showAutoFilter="1">
      <autoFilter ref="$A$1:$AA$279"/>
    </customSheetView>
  </customSheetViews>
  <conditionalFormatting sqref="C1:C614">
    <cfRule type="cellIs" dxfId="0" priority="1" operator="equal">
      <formula>"True"</formula>
    </cfRule>
  </conditionalFormatting>
  <conditionalFormatting sqref="C1:C614">
    <cfRule type="cellIs" dxfId="1" priority="2" operator="equal">
      <formula>"False"</formula>
    </cfRule>
  </conditionalFormatting>
  <conditionalFormatting sqref="J1:J614">
    <cfRule type="colorScale" priority="3">
      <colorScale>
        <cfvo type="min"/>
        <cfvo type="percentile" val="50"/>
        <cfvo type="max"/>
        <color rgb="FFE67C73"/>
        <color rgb="FFFFFFFF"/>
        <color rgb="FF57BB8A"/>
      </colorScale>
    </cfRule>
  </conditionalFormatting>
  <dataValidations>
    <dataValidation type="list" allowBlank="1" showErrorMessage="1" sqref="Z2:Z614">
      <formula1>'Durum Parametreler'!$C$28:$C$30</formula1>
    </dataValidation>
    <dataValidation type="list" allowBlank="1" showErrorMessage="1" sqref="AA2:AA614 AC2:AC614 AE2:AE614 AG2:AG614 AI2:AI614">
      <formula1>'Durum Parametreler'!$C$22:$C$27</formula1>
    </dataValidation>
    <dataValidation type="list" allowBlank="1" showErrorMessage="1" sqref="T2:T614">
      <formula1>'Durum Parametreler'!$C$2:$C$19</formula1>
    </dataValidation>
    <dataValidation type="list" allowBlank="1" showErrorMessage="1" sqref="AK2:AO246 AK247:AN247 AK248:AO253 AK254:AM254 AO254 AK255:AO614">
      <formula1>'Durum Parametreler'!$F$8:$F$32</formula1>
    </dataValidation>
    <dataValidation type="list" allowBlank="1" showErrorMessage="1" sqref="AN254">
      <formula1>'Durum Parametreler'!$F$8:$F$32</formula1>
    </dataValidation>
    <dataValidation type="list" allowBlank="1" showErrorMessage="1" sqref="X2:Y614 AB2:AB614 AD2:AD614 AF2:AF614 AH2:AH614 AJ2:AJ614">
      <formula1>'Durum Parametreler'!$A$1:$A$700</formula1>
    </dataValidation>
    <dataValidation type="list" allowBlank="1" showErrorMessage="1" sqref="U2:U614">
      <formula1>'Durum Parametreler'!$F$8:$F$41</formula1>
    </dataValidation>
    <dataValidation type="list" allowBlank="1" sqref="V2:V3 V5:V7 V9 V12 V14:V18 V20:V23 V25:V26 V28 V30:V33 V35:V36 V38:V39 V41:V43 V45:V51 V54:V58 V60 V63:V67 V70:V71 V73:V75 V77:V79 V81 V83 V85 V90 V93:V94 V96 V105:V107 V110 V115 V117:V121 V123:V126 V130:V132 V134:V138 V140:V151 V154:V160 V164 V166:V171 V173 V175:V178 V180:V181 V184 V186:V188 V191:V193 V196 V199:V200 V202 V204 V207 V209:V211 V213:V214 V218:V226 V231 V233:V235 V237 V239 V242:V243 V245:V247 V249:V251 V253:V255 V259:V260 V263:V266 V268 V271:V272 V275:V278 V280:V281 V283:V284 V286:V289 V294:V295 V297:V300 V303 V305:V307 V311:V316 V319:V325 V327:V328 V330:V333 V335:V338 V341 V343:V344 V346:V348 V350:V352 V354:V361 V363:V364 V366:V367 V369:V370 V373 V375 V379:V382 V385:V386 V389 V391:V392 V395:V396 V398 V403:V404 V406 V409 V412:V424 V426:V431 V433:V434 V439:V441 V448:V450 V452 V455:V457 V459:V461 V463 V465:V476 V478:V481 V483 V485:V486 V488:V489 V491 V493:V494 V496 V498:V499 V501:V504 V506:V510 V512:V514 V516:V517 V519 V521:V524 V526 V528:V532 V535:V537 V540:V542 V545:V548 V550 V552:V553 V556:V559 V561:V564 V566:V568 V570:V571 V573 V575:V576 V579:V582 V584:V586 V589 V592:V594 V596:V597 V599:V600 V603 V606 V610:V611 V614">
      <formula1>'Durum Parametreler'!$F$2:$F$5</formula1>
    </dataValidation>
    <dataValidation type="list" allowBlank="1" showErrorMessage="1" sqref="AQ2:AQ614">
      <formula1>'Durum Parametreler'!$C$32:$C$35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13.25"/>
    <col customWidth="1" min="3" max="3" width="10.88"/>
    <col customWidth="1" min="4" max="4" width="18.75"/>
    <col customWidth="1" min="5" max="5" width="31.38"/>
    <col customWidth="1" min="6" max="6" width="7.5"/>
    <col customWidth="1" min="7" max="7" width="14.25"/>
    <col customWidth="1" min="8" max="8" width="33.5"/>
    <col customWidth="1" min="9" max="9" width="24.75"/>
    <col customWidth="1" min="12" max="12" width="11.5"/>
  </cols>
  <sheetData>
    <row r="1" ht="24.75" customHeight="1">
      <c r="A1" s="52" t="s">
        <v>2886</v>
      </c>
      <c r="B1" s="52" t="s">
        <v>2887</v>
      </c>
      <c r="C1" s="52" t="s">
        <v>20</v>
      </c>
      <c r="D1" s="53" t="s">
        <v>2888</v>
      </c>
      <c r="E1" s="53" t="s">
        <v>2889</v>
      </c>
      <c r="F1" s="54" t="s">
        <v>2890</v>
      </c>
      <c r="G1" s="55" t="s">
        <v>2891</v>
      </c>
      <c r="H1" s="53" t="s">
        <v>2892</v>
      </c>
      <c r="I1" s="53" t="s">
        <v>14</v>
      </c>
      <c r="J1" s="56" t="s">
        <v>2893</v>
      </c>
      <c r="K1" s="53" t="s">
        <v>2894</v>
      </c>
      <c r="L1" s="53" t="s">
        <v>2895</v>
      </c>
      <c r="M1" s="53" t="s">
        <v>2896</v>
      </c>
      <c r="N1" s="53" t="s">
        <v>2897</v>
      </c>
      <c r="O1" s="57"/>
      <c r="P1" s="57"/>
      <c r="Q1" s="57"/>
      <c r="R1" s="57"/>
      <c r="S1" s="57"/>
      <c r="T1" s="57"/>
      <c r="U1" s="57"/>
      <c r="V1" s="57"/>
      <c r="W1" s="57"/>
      <c r="X1" s="57"/>
      <c r="Y1" s="57"/>
      <c r="Z1" s="57"/>
      <c r="AA1" s="57"/>
      <c r="AB1" s="57"/>
      <c r="AC1" s="57"/>
      <c r="AD1" s="57"/>
      <c r="AE1" s="57"/>
      <c r="AF1" s="57"/>
    </row>
    <row r="2" hidden="1">
      <c r="A2" s="58"/>
      <c r="B2" s="58">
        <v>44285.0</v>
      </c>
      <c r="C2" s="59"/>
      <c r="D2" s="60"/>
      <c r="E2" s="61"/>
      <c r="F2" s="61"/>
      <c r="G2" s="61"/>
      <c r="H2" s="61"/>
      <c r="I2" s="61"/>
      <c r="J2" s="61"/>
      <c r="K2" s="62"/>
      <c r="L2" s="63"/>
      <c r="M2" s="63"/>
      <c r="N2" s="63"/>
      <c r="O2" s="63"/>
      <c r="P2" s="63"/>
      <c r="Q2" s="63"/>
      <c r="R2" s="63"/>
      <c r="S2" s="63"/>
      <c r="T2" s="63"/>
      <c r="U2" s="63"/>
      <c r="V2" s="63"/>
      <c r="W2" s="63"/>
      <c r="X2" s="63"/>
      <c r="Y2" s="63"/>
      <c r="Z2" s="63"/>
      <c r="AA2" s="63"/>
      <c r="AB2" s="63"/>
      <c r="AC2" s="63"/>
      <c r="AD2" s="63"/>
      <c r="AE2" s="63"/>
      <c r="AF2" s="63"/>
    </row>
    <row r="3" hidden="1">
      <c r="A3" s="64" t="s">
        <v>47</v>
      </c>
      <c r="B3" s="59"/>
      <c r="C3" s="65"/>
      <c r="D3" s="66"/>
      <c r="E3" s="66"/>
      <c r="F3" s="67"/>
      <c r="G3" s="68"/>
      <c r="H3" s="66"/>
      <c r="I3" s="66"/>
      <c r="J3" s="59"/>
      <c r="K3" s="59"/>
      <c r="L3" s="63"/>
      <c r="M3" s="63" t="b">
        <v>0</v>
      </c>
      <c r="N3" s="63" t="b">
        <v>0</v>
      </c>
      <c r="O3" s="63"/>
      <c r="P3" s="63"/>
      <c r="Q3" s="63"/>
      <c r="R3" s="63"/>
      <c r="S3" s="63"/>
      <c r="T3" s="63"/>
      <c r="U3" s="63"/>
      <c r="V3" s="63"/>
      <c r="W3" s="63"/>
      <c r="X3" s="63"/>
      <c r="Y3" s="63"/>
      <c r="Z3" s="63"/>
      <c r="AA3" s="63"/>
      <c r="AB3" s="63"/>
      <c r="AC3" s="63"/>
      <c r="AD3" s="63"/>
      <c r="AE3" s="63"/>
      <c r="AF3" s="63"/>
    </row>
    <row r="4" hidden="1">
      <c r="A4" s="69"/>
      <c r="B4" s="70" t="s">
        <v>96</v>
      </c>
      <c r="C4" s="65" t="s">
        <v>181</v>
      </c>
      <c r="D4" s="71" t="s">
        <v>1341</v>
      </c>
      <c r="E4" s="71" t="s">
        <v>1342</v>
      </c>
      <c r="F4" s="72">
        <v>0.4583333333333333</v>
      </c>
      <c r="G4" s="73" t="s">
        <v>2898</v>
      </c>
      <c r="H4" s="74" t="s">
        <v>2899</v>
      </c>
      <c r="I4" s="74" t="s">
        <v>1344</v>
      </c>
      <c r="J4" s="59"/>
      <c r="K4" s="59"/>
      <c r="L4" s="63">
        <f>VLOOKUP(D4,'Hedef Liste'!A:I,8,false)</f>
        <v>41</v>
      </c>
      <c r="M4" s="63" t="b">
        <v>0</v>
      </c>
      <c r="N4" s="63" t="b">
        <v>0</v>
      </c>
      <c r="O4" s="63"/>
      <c r="P4" s="63"/>
      <c r="Q4" s="63"/>
      <c r="R4" s="63"/>
      <c r="S4" s="63"/>
      <c r="T4" s="63"/>
      <c r="U4" s="63"/>
      <c r="V4" s="63"/>
      <c r="W4" s="63"/>
      <c r="X4" s="63"/>
      <c r="Y4" s="63"/>
      <c r="Z4" s="63"/>
      <c r="AA4" s="63"/>
      <c r="AB4" s="63"/>
      <c r="AC4" s="63"/>
      <c r="AD4" s="63"/>
      <c r="AE4" s="63"/>
      <c r="AF4" s="63"/>
    </row>
    <row r="5" hidden="1">
      <c r="A5" s="69"/>
      <c r="B5" s="70" t="s">
        <v>96</v>
      </c>
      <c r="C5" s="65" t="s">
        <v>181</v>
      </c>
      <c r="D5" s="71" t="s">
        <v>2509</v>
      </c>
      <c r="E5" s="71" t="s">
        <v>2510</v>
      </c>
      <c r="F5" s="72">
        <v>0.5416666666666666</v>
      </c>
      <c r="G5" s="75" t="s">
        <v>2900</v>
      </c>
      <c r="H5" s="65" t="s">
        <v>2901</v>
      </c>
      <c r="I5" s="76" t="s">
        <v>2511</v>
      </c>
      <c r="J5" s="59"/>
      <c r="K5" s="59"/>
      <c r="L5" s="63">
        <f>VLOOKUP(D5,'Hedef Liste'!A:I,8,false)</f>
        <v>30</v>
      </c>
      <c r="M5" s="63" t="b">
        <v>0</v>
      </c>
      <c r="N5" s="63" t="b">
        <v>0</v>
      </c>
      <c r="O5" s="63"/>
      <c r="P5" s="63"/>
      <c r="Q5" s="63"/>
      <c r="R5" s="63"/>
      <c r="S5" s="63"/>
      <c r="T5" s="63"/>
      <c r="U5" s="63"/>
      <c r="V5" s="63"/>
      <c r="W5" s="63"/>
      <c r="X5" s="63"/>
      <c r="Y5" s="63"/>
      <c r="Z5" s="63"/>
      <c r="AA5" s="63"/>
      <c r="AB5" s="63"/>
      <c r="AC5" s="63"/>
      <c r="AD5" s="63"/>
      <c r="AE5" s="63"/>
      <c r="AF5" s="63"/>
    </row>
    <row r="6" hidden="1">
      <c r="A6" s="69"/>
      <c r="B6" s="70" t="s">
        <v>96</v>
      </c>
      <c r="C6" s="65" t="s">
        <v>181</v>
      </c>
      <c r="D6" s="71" t="s">
        <v>2902</v>
      </c>
      <c r="E6" s="71" t="s">
        <v>2903</v>
      </c>
      <c r="F6" s="77" t="s">
        <v>2904</v>
      </c>
      <c r="G6" s="75" t="s">
        <v>2900</v>
      </c>
      <c r="H6" s="65" t="s">
        <v>2905</v>
      </c>
      <c r="I6" s="71" t="s">
        <v>2906</v>
      </c>
      <c r="J6" s="59"/>
      <c r="K6" s="59"/>
      <c r="L6" s="63" t="str">
        <f>VLOOKUP(D6,'Hedef Liste'!A:I,8,false)</f>
        <v>#N/A</v>
      </c>
      <c r="M6" s="63" t="b">
        <v>0</v>
      </c>
      <c r="N6" s="63" t="b">
        <v>0</v>
      </c>
      <c r="O6" s="63"/>
      <c r="P6" s="63"/>
      <c r="Q6" s="63"/>
      <c r="R6" s="63"/>
      <c r="S6" s="63"/>
      <c r="T6" s="63"/>
      <c r="U6" s="63"/>
      <c r="V6" s="63"/>
      <c r="W6" s="63"/>
      <c r="X6" s="63"/>
      <c r="Y6" s="63"/>
      <c r="Z6" s="63"/>
      <c r="AA6" s="63"/>
      <c r="AB6" s="63"/>
      <c r="AC6" s="63"/>
      <c r="AD6" s="63"/>
      <c r="AE6" s="63"/>
      <c r="AF6" s="63"/>
    </row>
    <row r="7" hidden="1">
      <c r="A7" s="69"/>
      <c r="B7" s="70" t="s">
        <v>96</v>
      </c>
      <c r="C7" s="78" t="s">
        <v>181</v>
      </c>
      <c r="D7" s="71" t="s">
        <v>2907</v>
      </c>
      <c r="E7" s="71" t="s">
        <v>2908</v>
      </c>
      <c r="F7" s="77" t="s">
        <v>2909</v>
      </c>
      <c r="G7" s="75" t="s">
        <v>2900</v>
      </c>
      <c r="H7" s="76" t="s">
        <v>2910</v>
      </c>
      <c r="I7" s="71" t="s">
        <v>2911</v>
      </c>
      <c r="J7" s="59"/>
      <c r="K7" s="59"/>
      <c r="L7" s="63" t="str">
        <f>VLOOKUP(D7,'Hedef Liste'!A:I,8,false)</f>
        <v>#N/A</v>
      </c>
      <c r="M7" s="63" t="b">
        <v>0</v>
      </c>
      <c r="N7" s="63" t="b">
        <v>0</v>
      </c>
      <c r="O7" s="63"/>
      <c r="P7" s="63"/>
      <c r="Q7" s="63"/>
      <c r="R7" s="63"/>
      <c r="S7" s="63"/>
      <c r="T7" s="63"/>
      <c r="U7" s="63"/>
      <c r="V7" s="63"/>
      <c r="W7" s="63"/>
      <c r="X7" s="63"/>
      <c r="Y7" s="63"/>
      <c r="Z7" s="63"/>
      <c r="AA7" s="63"/>
      <c r="AB7" s="63"/>
      <c r="AC7" s="63"/>
      <c r="AD7" s="63"/>
      <c r="AE7" s="63"/>
      <c r="AF7" s="63"/>
    </row>
    <row r="8" hidden="1">
      <c r="A8" s="79"/>
      <c r="B8" s="59"/>
      <c r="C8" s="59"/>
      <c r="D8" s="76"/>
      <c r="E8" s="76"/>
      <c r="F8" s="72"/>
      <c r="G8" s="76"/>
      <c r="H8" s="76"/>
      <c r="I8" s="76"/>
      <c r="J8" s="59"/>
      <c r="K8" s="59"/>
      <c r="L8" s="63"/>
      <c r="M8" s="63" t="b">
        <v>0</v>
      </c>
      <c r="N8" s="63" t="b">
        <v>0</v>
      </c>
      <c r="O8" s="63"/>
      <c r="P8" s="63"/>
      <c r="Q8" s="63"/>
      <c r="R8" s="63"/>
      <c r="S8" s="63"/>
      <c r="T8" s="63"/>
      <c r="U8" s="63"/>
      <c r="V8" s="63"/>
      <c r="W8" s="63"/>
      <c r="X8" s="63"/>
      <c r="Y8" s="63"/>
      <c r="Z8" s="63"/>
      <c r="AA8" s="63"/>
      <c r="AB8" s="63"/>
      <c r="AC8" s="63"/>
      <c r="AD8" s="63"/>
      <c r="AE8" s="63"/>
      <c r="AF8" s="63"/>
    </row>
    <row r="9" hidden="1">
      <c r="A9" s="58"/>
      <c r="B9" s="58">
        <v>44286.0</v>
      </c>
      <c r="C9" s="59"/>
      <c r="D9" s="60"/>
      <c r="E9" s="61"/>
      <c r="F9" s="61"/>
      <c r="G9" s="61"/>
      <c r="H9" s="61"/>
      <c r="I9" s="61"/>
      <c r="J9" s="61"/>
      <c r="K9" s="62"/>
      <c r="L9" s="63"/>
      <c r="M9" s="63"/>
      <c r="N9" s="63"/>
      <c r="O9" s="63"/>
      <c r="P9" s="63"/>
      <c r="Q9" s="63"/>
      <c r="R9" s="63"/>
      <c r="S9" s="63"/>
      <c r="T9" s="63"/>
      <c r="U9" s="63"/>
      <c r="V9" s="63"/>
      <c r="W9" s="63"/>
      <c r="X9" s="63"/>
      <c r="Y9" s="63"/>
      <c r="Z9" s="63"/>
      <c r="AA9" s="63"/>
      <c r="AB9" s="63"/>
      <c r="AC9" s="63"/>
      <c r="AD9" s="63"/>
      <c r="AE9" s="63"/>
      <c r="AF9" s="63"/>
    </row>
    <row r="10" hidden="1">
      <c r="A10" s="64" t="s">
        <v>47</v>
      </c>
      <c r="B10" s="59"/>
      <c r="C10" s="65"/>
      <c r="D10" s="66"/>
      <c r="E10" s="66"/>
      <c r="F10" s="67"/>
      <c r="G10" s="68"/>
      <c r="H10" s="66"/>
      <c r="I10" s="66"/>
      <c r="J10" s="59"/>
      <c r="K10" s="59"/>
      <c r="L10" s="63"/>
      <c r="M10" s="63" t="b">
        <v>0</v>
      </c>
      <c r="N10" s="63" t="b">
        <v>0</v>
      </c>
      <c r="O10" s="63"/>
      <c r="P10" s="63"/>
      <c r="Q10" s="63"/>
      <c r="R10" s="63"/>
      <c r="S10" s="63"/>
      <c r="T10" s="63"/>
      <c r="U10" s="63"/>
      <c r="V10" s="63"/>
      <c r="W10" s="63"/>
      <c r="X10" s="63"/>
      <c r="Y10" s="63"/>
      <c r="Z10" s="63"/>
      <c r="AA10" s="63"/>
      <c r="AB10" s="63"/>
      <c r="AC10" s="63"/>
      <c r="AD10" s="63"/>
      <c r="AE10" s="63"/>
      <c r="AF10" s="63"/>
    </row>
    <row r="11" hidden="1">
      <c r="A11" s="69"/>
      <c r="B11" s="70" t="s">
        <v>96</v>
      </c>
      <c r="C11" s="65" t="s">
        <v>181</v>
      </c>
      <c r="D11" s="71" t="s">
        <v>2197</v>
      </c>
      <c r="E11" s="71" t="s">
        <v>2198</v>
      </c>
      <c r="F11" s="72">
        <v>0.4583333333333333</v>
      </c>
      <c r="G11" s="73" t="s">
        <v>2912</v>
      </c>
      <c r="H11" s="74" t="s">
        <v>2913</v>
      </c>
      <c r="I11" s="71" t="s">
        <v>2914</v>
      </c>
      <c r="J11" s="59"/>
      <c r="K11" s="59"/>
      <c r="L11" s="63">
        <f>VLOOKUP(D11,'Hedef Liste'!A:I,8,false)</f>
        <v>9</v>
      </c>
      <c r="M11" s="63" t="b">
        <v>0</v>
      </c>
      <c r="N11" s="63" t="b">
        <v>0</v>
      </c>
      <c r="O11" s="63"/>
      <c r="P11" s="63"/>
      <c r="Q11" s="63"/>
      <c r="R11" s="63"/>
      <c r="S11" s="63"/>
      <c r="T11" s="63"/>
      <c r="U11" s="63"/>
      <c r="V11" s="63"/>
      <c r="W11" s="63"/>
      <c r="X11" s="63"/>
      <c r="Y11" s="63"/>
      <c r="Z11" s="63"/>
      <c r="AA11" s="63"/>
      <c r="AB11" s="63"/>
      <c r="AC11" s="63"/>
      <c r="AD11" s="63"/>
      <c r="AE11" s="63"/>
      <c r="AF11" s="63"/>
    </row>
    <row r="12" hidden="1">
      <c r="A12" s="69"/>
      <c r="B12" s="70" t="s">
        <v>96</v>
      </c>
      <c r="C12" s="65" t="s">
        <v>181</v>
      </c>
      <c r="D12" s="71" t="s">
        <v>2915</v>
      </c>
      <c r="E12" s="71" t="s">
        <v>2916</v>
      </c>
      <c r="F12" s="72">
        <v>0.5416666666666666</v>
      </c>
      <c r="G12" s="75" t="s">
        <v>2917</v>
      </c>
      <c r="H12" s="65" t="s">
        <v>2918</v>
      </c>
      <c r="I12" s="71" t="s">
        <v>2919</v>
      </c>
      <c r="J12" s="59"/>
      <c r="K12" s="59"/>
      <c r="L12" s="63" t="str">
        <f>VLOOKUP(D12,'Hedef Liste'!A:I,8,false)</f>
        <v>#N/A</v>
      </c>
      <c r="M12" s="63" t="b">
        <v>0</v>
      </c>
      <c r="N12" s="63" t="b">
        <v>0</v>
      </c>
      <c r="O12" s="63"/>
      <c r="P12" s="63"/>
      <c r="Q12" s="63"/>
      <c r="R12" s="63"/>
      <c r="S12" s="63"/>
      <c r="T12" s="63"/>
      <c r="U12" s="63"/>
      <c r="V12" s="63"/>
      <c r="W12" s="63"/>
      <c r="X12" s="63"/>
      <c r="Y12" s="63"/>
      <c r="Z12" s="63"/>
      <c r="AA12" s="63"/>
      <c r="AB12" s="63"/>
      <c r="AC12" s="63"/>
      <c r="AD12" s="63"/>
      <c r="AE12" s="63"/>
      <c r="AF12" s="63"/>
    </row>
    <row r="13" hidden="1">
      <c r="A13" s="69"/>
      <c r="B13" s="70" t="s">
        <v>96</v>
      </c>
      <c r="C13" s="65" t="s">
        <v>181</v>
      </c>
      <c r="D13" s="71" t="s">
        <v>1306</v>
      </c>
      <c r="E13" s="71" t="s">
        <v>1307</v>
      </c>
      <c r="F13" s="77" t="s">
        <v>2904</v>
      </c>
      <c r="G13" s="71" t="s">
        <v>2917</v>
      </c>
      <c r="H13" s="71" t="s">
        <v>2920</v>
      </c>
      <c r="I13" s="71" t="s">
        <v>1309</v>
      </c>
      <c r="J13" s="59"/>
      <c r="K13" s="59"/>
      <c r="L13" s="63">
        <f>VLOOKUP(D13,'Hedef Liste'!A:I,8,false)</f>
        <v>14</v>
      </c>
      <c r="M13" s="63" t="b">
        <v>0</v>
      </c>
      <c r="N13" s="63" t="b">
        <v>0</v>
      </c>
      <c r="O13" s="63"/>
      <c r="P13" s="63"/>
      <c r="Q13" s="63"/>
      <c r="R13" s="63"/>
      <c r="S13" s="63"/>
      <c r="T13" s="63"/>
      <c r="U13" s="63"/>
      <c r="V13" s="63"/>
      <c r="W13" s="63"/>
      <c r="X13" s="63"/>
      <c r="Y13" s="63"/>
      <c r="Z13" s="63"/>
      <c r="AA13" s="63"/>
      <c r="AB13" s="63"/>
      <c r="AC13" s="63"/>
      <c r="AD13" s="63"/>
      <c r="AE13" s="63"/>
      <c r="AF13" s="63"/>
    </row>
    <row r="14" hidden="1">
      <c r="A14" s="69"/>
      <c r="B14" s="70" t="s">
        <v>96</v>
      </c>
      <c r="C14" s="80" t="s">
        <v>181</v>
      </c>
      <c r="D14" s="81" t="s">
        <v>1664</v>
      </c>
      <c r="E14" s="81" t="s">
        <v>1665</v>
      </c>
      <c r="F14" s="82" t="s">
        <v>2921</v>
      </c>
      <c r="G14" s="83" t="s">
        <v>2922</v>
      </c>
      <c r="H14" s="84" t="s">
        <v>2923</v>
      </c>
      <c r="I14" s="81" t="s">
        <v>1667</v>
      </c>
      <c r="J14" s="85"/>
      <c r="K14" s="85"/>
      <c r="L14" s="63">
        <f>VLOOKUP(D14,'Hedef Liste'!A:I,8,false)</f>
        <v>7</v>
      </c>
      <c r="M14" s="63" t="b">
        <v>0</v>
      </c>
      <c r="N14" s="63" t="b">
        <v>0</v>
      </c>
      <c r="O14" s="63"/>
      <c r="P14" s="63"/>
      <c r="Q14" s="63"/>
      <c r="R14" s="63"/>
      <c r="S14" s="63"/>
      <c r="T14" s="63"/>
      <c r="U14" s="63"/>
      <c r="V14" s="63"/>
      <c r="W14" s="63"/>
      <c r="X14" s="63"/>
      <c r="Y14" s="63"/>
      <c r="Z14" s="63"/>
      <c r="AA14" s="63"/>
      <c r="AB14" s="63"/>
      <c r="AC14" s="63"/>
      <c r="AD14" s="63"/>
      <c r="AE14" s="63"/>
      <c r="AF14" s="63"/>
    </row>
    <row r="15" hidden="1">
      <c r="A15" s="79"/>
      <c r="B15" s="59"/>
      <c r="C15" s="59"/>
      <c r="D15" s="76"/>
      <c r="E15" s="76"/>
      <c r="F15" s="77"/>
      <c r="G15" s="76"/>
      <c r="H15" s="76"/>
      <c r="I15" s="76"/>
      <c r="J15" s="59"/>
      <c r="K15" s="59"/>
      <c r="L15" s="63"/>
      <c r="M15" s="63" t="b">
        <v>0</v>
      </c>
      <c r="N15" s="63" t="b">
        <v>0</v>
      </c>
      <c r="O15" s="63"/>
      <c r="P15" s="63"/>
      <c r="Q15" s="63"/>
      <c r="R15" s="63"/>
      <c r="S15" s="63"/>
      <c r="T15" s="63"/>
      <c r="U15" s="63"/>
      <c r="V15" s="63"/>
      <c r="W15" s="63"/>
      <c r="X15" s="63"/>
      <c r="Y15" s="63"/>
      <c r="Z15" s="63"/>
      <c r="AA15" s="63"/>
      <c r="AB15" s="63"/>
      <c r="AC15" s="63"/>
      <c r="AD15" s="63"/>
      <c r="AE15" s="63"/>
      <c r="AF15" s="63"/>
    </row>
    <row r="16" hidden="1">
      <c r="A16" s="58"/>
      <c r="B16" s="58">
        <v>44287.0</v>
      </c>
      <c r="C16" s="59"/>
      <c r="D16" s="59"/>
      <c r="E16" s="59"/>
      <c r="F16" s="77"/>
      <c r="G16" s="86"/>
      <c r="H16" s="59"/>
      <c r="I16" s="59"/>
      <c r="J16" s="59"/>
      <c r="K16" s="59"/>
      <c r="L16" s="63"/>
      <c r="M16" s="63"/>
      <c r="N16" s="63"/>
      <c r="O16" s="63"/>
      <c r="P16" s="63"/>
      <c r="Q16" s="63"/>
      <c r="R16" s="63"/>
      <c r="S16" s="63"/>
      <c r="T16" s="63"/>
      <c r="U16" s="63"/>
      <c r="V16" s="63"/>
      <c r="W16" s="63"/>
      <c r="X16" s="63"/>
      <c r="Y16" s="63"/>
      <c r="Z16" s="63"/>
      <c r="AA16" s="63"/>
      <c r="AB16" s="63"/>
      <c r="AC16" s="63"/>
      <c r="AD16" s="63"/>
      <c r="AE16" s="63"/>
      <c r="AF16" s="63"/>
    </row>
    <row r="17" hidden="1">
      <c r="A17" s="64" t="s">
        <v>47</v>
      </c>
      <c r="B17" s="59"/>
      <c r="C17" s="65"/>
      <c r="D17" s="66"/>
      <c r="E17" s="66"/>
      <c r="F17" s="67"/>
      <c r="G17" s="68"/>
      <c r="H17" s="66"/>
      <c r="I17" s="66"/>
      <c r="J17" s="59"/>
      <c r="K17" s="59"/>
      <c r="L17" s="63"/>
      <c r="M17" s="63" t="b">
        <v>0</v>
      </c>
      <c r="N17" s="63" t="b">
        <v>0</v>
      </c>
      <c r="O17" s="63"/>
      <c r="P17" s="63"/>
      <c r="Q17" s="63"/>
      <c r="R17" s="63"/>
      <c r="S17" s="63"/>
      <c r="T17" s="63"/>
      <c r="U17" s="63"/>
      <c r="V17" s="63"/>
      <c r="W17" s="63"/>
      <c r="X17" s="63"/>
      <c r="Y17" s="63"/>
      <c r="Z17" s="63"/>
      <c r="AA17" s="63"/>
      <c r="AB17" s="63"/>
      <c r="AC17" s="63"/>
      <c r="AD17" s="63"/>
      <c r="AE17" s="63"/>
      <c r="AF17" s="63"/>
    </row>
    <row r="18" hidden="1">
      <c r="A18" s="69"/>
      <c r="B18" s="70" t="s">
        <v>96</v>
      </c>
      <c r="C18" s="65"/>
      <c r="D18" s="66"/>
      <c r="E18" s="74" t="s">
        <v>2924</v>
      </c>
      <c r="F18" s="72"/>
      <c r="G18" s="73"/>
      <c r="H18" s="66"/>
      <c r="I18" s="66"/>
      <c r="J18" s="59"/>
      <c r="K18" s="59"/>
      <c r="L18" s="63" t="str">
        <f>VLOOKUP(D18,'Hedef Liste'!A:I,8,false)</f>
        <v>#N/A</v>
      </c>
      <c r="M18" s="63" t="b">
        <v>0</v>
      </c>
      <c r="N18" s="63" t="b">
        <v>0</v>
      </c>
      <c r="O18" s="63"/>
      <c r="P18" s="63"/>
      <c r="Q18" s="63"/>
      <c r="R18" s="63"/>
      <c r="S18" s="63"/>
      <c r="T18" s="63"/>
      <c r="U18" s="63"/>
      <c r="V18" s="63"/>
      <c r="W18" s="63"/>
      <c r="X18" s="63"/>
      <c r="Y18" s="63"/>
      <c r="Z18" s="63"/>
      <c r="AA18" s="63"/>
      <c r="AB18" s="63"/>
      <c r="AC18" s="63"/>
      <c r="AD18" s="63"/>
      <c r="AE18" s="63"/>
      <c r="AF18" s="63"/>
    </row>
    <row r="19" hidden="1">
      <c r="A19" s="69"/>
      <c r="B19" s="70" t="s">
        <v>96</v>
      </c>
      <c r="C19" s="65" t="s">
        <v>181</v>
      </c>
      <c r="D19" s="71" t="s">
        <v>1854</v>
      </c>
      <c r="E19" s="71" t="s">
        <v>1855</v>
      </c>
      <c r="F19" s="72">
        <v>0.5416666666666666</v>
      </c>
      <c r="G19" s="75" t="s">
        <v>2925</v>
      </c>
      <c r="H19" s="65" t="s">
        <v>2926</v>
      </c>
      <c r="I19" s="71" t="s">
        <v>2927</v>
      </c>
      <c r="J19" s="59"/>
      <c r="K19" s="59"/>
      <c r="L19" s="63">
        <f>VLOOKUP(D19,'Hedef Liste'!A:I,8,false)</f>
        <v>7</v>
      </c>
      <c r="M19" s="63" t="b">
        <v>0</v>
      </c>
      <c r="N19" s="63" t="b">
        <v>0</v>
      </c>
      <c r="O19" s="63"/>
      <c r="P19" s="63"/>
      <c r="Q19" s="63"/>
      <c r="R19" s="63"/>
      <c r="S19" s="63"/>
      <c r="T19" s="63"/>
      <c r="U19" s="63"/>
      <c r="V19" s="63"/>
      <c r="W19" s="63"/>
      <c r="X19" s="63"/>
      <c r="Y19" s="63"/>
      <c r="Z19" s="63"/>
      <c r="AA19" s="63"/>
      <c r="AB19" s="63"/>
      <c r="AC19" s="63"/>
      <c r="AD19" s="63"/>
      <c r="AE19" s="63"/>
      <c r="AF19" s="63"/>
    </row>
    <row r="20" hidden="1">
      <c r="A20" s="69"/>
      <c r="B20" s="70" t="s">
        <v>96</v>
      </c>
      <c r="C20" s="65" t="s">
        <v>181</v>
      </c>
      <c r="D20" s="71" t="s">
        <v>1352</v>
      </c>
      <c r="E20" s="71" t="s">
        <v>1353</v>
      </c>
      <c r="F20" s="77" t="s">
        <v>2904</v>
      </c>
      <c r="G20" s="75" t="s">
        <v>2928</v>
      </c>
      <c r="H20" s="65" t="s">
        <v>2929</v>
      </c>
      <c r="I20" s="71" t="s">
        <v>1355</v>
      </c>
      <c r="J20" s="59"/>
      <c r="K20" s="59"/>
      <c r="L20" s="63">
        <f>VLOOKUP(D20,'Hedef Liste'!A:I,8,false)</f>
        <v>8</v>
      </c>
      <c r="M20" s="63" t="b">
        <v>0</v>
      </c>
      <c r="N20" s="63" t="b">
        <v>0</v>
      </c>
      <c r="O20" s="63"/>
      <c r="P20" s="63"/>
      <c r="Q20" s="63"/>
      <c r="R20" s="63"/>
      <c r="S20" s="63"/>
      <c r="T20" s="63"/>
      <c r="U20" s="63"/>
      <c r="V20" s="63"/>
      <c r="W20" s="63"/>
      <c r="X20" s="63"/>
      <c r="Y20" s="63"/>
      <c r="Z20" s="63"/>
      <c r="AA20" s="63"/>
      <c r="AB20" s="63"/>
      <c r="AC20" s="63"/>
      <c r="AD20" s="63"/>
      <c r="AE20" s="63"/>
      <c r="AF20" s="63"/>
    </row>
    <row r="21" hidden="1">
      <c r="A21" s="69"/>
      <c r="B21" s="70" t="s">
        <v>96</v>
      </c>
      <c r="C21" s="78" t="s">
        <v>181</v>
      </c>
      <c r="D21" s="87" t="s">
        <v>2930</v>
      </c>
      <c r="E21" s="87" t="s">
        <v>2931</v>
      </c>
      <c r="F21" s="88" t="s">
        <v>2909</v>
      </c>
      <c r="G21" s="89" t="s">
        <v>2925</v>
      </c>
      <c r="H21" s="90" t="s">
        <v>2932</v>
      </c>
      <c r="I21" s="87" t="s">
        <v>2933</v>
      </c>
      <c r="J21" s="65" t="s">
        <v>2934</v>
      </c>
      <c r="K21" s="59"/>
      <c r="L21" s="63" t="str">
        <f>VLOOKUP(D21,'Hedef Liste'!A:I,8,false)</f>
        <v>#N/A</v>
      </c>
      <c r="M21" s="63" t="b">
        <v>0</v>
      </c>
      <c r="N21" s="63" t="b">
        <v>0</v>
      </c>
      <c r="O21" s="63"/>
      <c r="P21" s="63"/>
      <c r="Q21" s="63"/>
      <c r="R21" s="63"/>
      <c r="S21" s="63"/>
      <c r="T21" s="63"/>
      <c r="U21" s="63"/>
      <c r="V21" s="63"/>
      <c r="W21" s="63"/>
      <c r="X21" s="63"/>
      <c r="Y21" s="63"/>
      <c r="Z21" s="63"/>
      <c r="AA21" s="63"/>
      <c r="AB21" s="63"/>
      <c r="AC21" s="63"/>
      <c r="AD21" s="63"/>
      <c r="AE21" s="63"/>
      <c r="AF21" s="63"/>
    </row>
    <row r="22" hidden="1">
      <c r="A22" s="79"/>
      <c r="B22" s="59"/>
      <c r="C22" s="91" t="s">
        <v>181</v>
      </c>
      <c r="D22" s="92" t="s">
        <v>681</v>
      </c>
      <c r="E22" s="92" t="s">
        <v>682</v>
      </c>
      <c r="F22" s="93" t="s">
        <v>2935</v>
      </c>
      <c r="G22" s="92" t="s">
        <v>2928</v>
      </c>
      <c r="H22" s="92" t="s">
        <v>2936</v>
      </c>
      <c r="I22" s="92" t="s">
        <v>685</v>
      </c>
      <c r="J22" s="91" t="s">
        <v>2937</v>
      </c>
      <c r="K22" s="59"/>
      <c r="L22" s="63"/>
      <c r="M22" s="63" t="b">
        <v>0</v>
      </c>
      <c r="N22" s="63" t="b">
        <v>0</v>
      </c>
      <c r="O22" s="63"/>
      <c r="P22" s="63"/>
      <c r="Q22" s="63"/>
      <c r="R22" s="63"/>
      <c r="S22" s="63"/>
      <c r="T22" s="63"/>
      <c r="U22" s="63"/>
      <c r="V22" s="63"/>
      <c r="W22" s="63"/>
      <c r="X22" s="63"/>
      <c r="Y22" s="63"/>
      <c r="Z22" s="63"/>
      <c r="AA22" s="63"/>
      <c r="AB22" s="63"/>
      <c r="AC22" s="63"/>
      <c r="AD22" s="63"/>
      <c r="AE22" s="63"/>
      <c r="AF22" s="63"/>
    </row>
    <row r="23" hidden="1">
      <c r="A23" s="58"/>
      <c r="B23" s="58">
        <v>44288.0</v>
      </c>
      <c r="C23" s="59"/>
      <c r="D23" s="60"/>
      <c r="E23" s="61"/>
      <c r="F23" s="61"/>
      <c r="G23" s="61"/>
      <c r="H23" s="61"/>
      <c r="I23" s="61"/>
      <c r="J23" s="61"/>
      <c r="K23" s="62"/>
      <c r="L23" s="63"/>
      <c r="M23" s="63"/>
      <c r="N23" s="63"/>
      <c r="O23" s="63"/>
      <c r="P23" s="63"/>
      <c r="Q23" s="63"/>
      <c r="R23" s="63"/>
      <c r="S23" s="63"/>
      <c r="T23" s="63"/>
      <c r="U23" s="63"/>
      <c r="V23" s="63"/>
      <c r="W23" s="63"/>
      <c r="X23" s="63"/>
      <c r="Y23" s="63"/>
      <c r="Z23" s="63"/>
      <c r="AA23" s="63"/>
      <c r="AB23" s="63"/>
      <c r="AC23" s="63"/>
      <c r="AD23" s="63"/>
      <c r="AE23" s="63"/>
      <c r="AF23" s="63"/>
    </row>
    <row r="24" hidden="1">
      <c r="A24" s="64" t="s">
        <v>47</v>
      </c>
      <c r="B24" s="59"/>
      <c r="C24" s="65"/>
      <c r="D24" s="66"/>
      <c r="E24" s="66"/>
      <c r="F24" s="67"/>
      <c r="G24" s="68"/>
      <c r="H24" s="66"/>
      <c r="I24" s="66"/>
      <c r="J24" s="59"/>
      <c r="K24" s="59"/>
      <c r="L24" s="63"/>
      <c r="M24" s="63" t="b">
        <v>0</v>
      </c>
      <c r="N24" s="63" t="b">
        <v>0</v>
      </c>
      <c r="O24" s="63"/>
      <c r="P24" s="63"/>
      <c r="Q24" s="63"/>
      <c r="R24" s="63"/>
      <c r="S24" s="63"/>
      <c r="T24" s="63"/>
      <c r="U24" s="63"/>
      <c r="V24" s="63"/>
      <c r="W24" s="63"/>
      <c r="X24" s="63"/>
      <c r="Y24" s="63"/>
      <c r="Z24" s="63"/>
      <c r="AA24" s="63"/>
      <c r="AB24" s="63"/>
      <c r="AC24" s="63"/>
      <c r="AD24" s="63"/>
      <c r="AE24" s="63"/>
      <c r="AF24" s="63"/>
    </row>
    <row r="25" hidden="1">
      <c r="A25" s="69"/>
      <c r="B25" s="70" t="s">
        <v>96</v>
      </c>
      <c r="C25" s="65" t="s">
        <v>2938</v>
      </c>
      <c r="D25" s="71" t="s">
        <v>2939</v>
      </c>
      <c r="E25" s="71" t="s">
        <v>2940</v>
      </c>
      <c r="F25" s="72">
        <v>0.4375</v>
      </c>
      <c r="G25" s="73" t="s">
        <v>2941</v>
      </c>
      <c r="H25" s="74" t="s">
        <v>2942</v>
      </c>
      <c r="I25" s="71" t="s">
        <v>2943</v>
      </c>
      <c r="J25" s="59"/>
      <c r="K25" s="59"/>
      <c r="L25" s="63" t="str">
        <f>VLOOKUP(D25,'Hedef Liste'!A:I,8,false)</f>
        <v>#N/A</v>
      </c>
      <c r="M25" s="63" t="b">
        <v>0</v>
      </c>
      <c r="N25" s="63" t="b">
        <v>0</v>
      </c>
      <c r="O25" s="63"/>
      <c r="P25" s="63"/>
      <c r="Q25" s="63"/>
      <c r="R25" s="63"/>
      <c r="S25" s="63"/>
      <c r="T25" s="63"/>
      <c r="U25" s="63"/>
      <c r="V25" s="63"/>
      <c r="W25" s="63"/>
      <c r="X25" s="63"/>
      <c r="Y25" s="63"/>
      <c r="Z25" s="63"/>
      <c r="AA25" s="63"/>
      <c r="AB25" s="63"/>
      <c r="AC25" s="63"/>
      <c r="AD25" s="63"/>
      <c r="AE25" s="63"/>
      <c r="AF25" s="63"/>
    </row>
    <row r="26" hidden="1">
      <c r="A26" s="69"/>
      <c r="B26" s="70" t="s">
        <v>96</v>
      </c>
      <c r="C26" s="65" t="s">
        <v>2938</v>
      </c>
      <c r="D26" s="71" t="s">
        <v>2944</v>
      </c>
      <c r="E26" s="71" t="s">
        <v>2945</v>
      </c>
      <c r="F26" s="72">
        <v>0.5416666666666666</v>
      </c>
      <c r="G26" s="75" t="s">
        <v>2946</v>
      </c>
      <c r="H26" s="65" t="s">
        <v>2947</v>
      </c>
      <c r="I26" s="71" t="s">
        <v>2948</v>
      </c>
      <c r="J26" s="59"/>
      <c r="K26" s="59"/>
      <c r="L26" s="63" t="str">
        <f>VLOOKUP(D26,'Hedef Liste'!A:I,8,false)</f>
        <v>#N/A</v>
      </c>
      <c r="M26" s="63" t="b">
        <v>0</v>
      </c>
      <c r="N26" s="63" t="b">
        <v>0</v>
      </c>
      <c r="O26" s="63"/>
      <c r="P26" s="63"/>
      <c r="Q26" s="63"/>
      <c r="R26" s="63"/>
      <c r="S26" s="63"/>
      <c r="T26" s="63"/>
      <c r="U26" s="63"/>
      <c r="V26" s="63"/>
      <c r="W26" s="63"/>
      <c r="X26" s="63"/>
      <c r="Y26" s="63"/>
      <c r="Z26" s="63"/>
      <c r="AA26" s="63"/>
      <c r="AB26" s="63"/>
      <c r="AC26" s="63"/>
      <c r="AD26" s="63"/>
      <c r="AE26" s="63"/>
      <c r="AF26" s="63"/>
    </row>
    <row r="27" hidden="1">
      <c r="A27" s="69"/>
      <c r="B27" s="70" t="s">
        <v>96</v>
      </c>
      <c r="C27" s="65"/>
      <c r="D27" s="71" t="s">
        <v>2949</v>
      </c>
      <c r="E27" s="71" t="s">
        <v>99</v>
      </c>
      <c r="F27" s="72">
        <v>0.5416666666666666</v>
      </c>
      <c r="G27" s="75"/>
      <c r="H27" s="65"/>
      <c r="I27" s="71"/>
      <c r="J27" s="65" t="s">
        <v>2950</v>
      </c>
      <c r="K27" s="59"/>
      <c r="L27" s="63"/>
      <c r="M27" s="63" t="b">
        <v>0</v>
      </c>
      <c r="N27" s="63" t="b">
        <v>0</v>
      </c>
      <c r="O27" s="63"/>
      <c r="P27" s="63"/>
      <c r="Q27" s="63"/>
      <c r="R27" s="63"/>
      <c r="S27" s="63"/>
      <c r="T27" s="63"/>
      <c r="U27" s="63"/>
      <c r="V27" s="63"/>
      <c r="W27" s="63"/>
      <c r="X27" s="63"/>
      <c r="Y27" s="63"/>
      <c r="Z27" s="63"/>
      <c r="AA27" s="63"/>
      <c r="AB27" s="63"/>
      <c r="AC27" s="63"/>
      <c r="AD27" s="63"/>
      <c r="AE27" s="63"/>
      <c r="AF27" s="63"/>
    </row>
    <row r="28" hidden="1">
      <c r="A28" s="69"/>
      <c r="B28" s="70" t="s">
        <v>96</v>
      </c>
      <c r="C28" s="65" t="s">
        <v>2938</v>
      </c>
      <c r="D28" s="71" t="s">
        <v>2951</v>
      </c>
      <c r="E28" s="71" t="s">
        <v>1586</v>
      </c>
      <c r="F28" s="77" t="s">
        <v>2904</v>
      </c>
      <c r="G28" s="75" t="s">
        <v>2941</v>
      </c>
      <c r="H28" s="65" t="s">
        <v>2952</v>
      </c>
      <c r="I28" s="76" t="s">
        <v>2953</v>
      </c>
      <c r="J28" s="59"/>
      <c r="K28" s="59"/>
      <c r="L28" s="63" t="str">
        <f>VLOOKUP(D28,'Hedef Liste'!A:I,8,false)</f>
        <v>#N/A</v>
      </c>
      <c r="M28" s="63" t="b">
        <v>0</v>
      </c>
      <c r="N28" s="63" t="b">
        <v>0</v>
      </c>
      <c r="O28" s="63"/>
      <c r="P28" s="63"/>
      <c r="Q28" s="63"/>
      <c r="R28" s="63"/>
      <c r="S28" s="63"/>
      <c r="T28" s="63"/>
      <c r="U28" s="63"/>
      <c r="V28" s="63"/>
      <c r="W28" s="63"/>
      <c r="X28" s="63"/>
      <c r="Y28" s="63"/>
      <c r="Z28" s="63"/>
      <c r="AA28" s="63"/>
      <c r="AB28" s="63"/>
      <c r="AC28" s="63"/>
      <c r="AD28" s="63"/>
      <c r="AE28" s="63"/>
      <c r="AF28" s="63"/>
    </row>
    <row r="29" hidden="1">
      <c r="A29" s="69"/>
      <c r="B29" s="70" t="s">
        <v>96</v>
      </c>
      <c r="C29" s="78" t="s">
        <v>2938</v>
      </c>
      <c r="D29" s="71" t="s">
        <v>2954</v>
      </c>
      <c r="E29" s="71" t="s">
        <v>2955</v>
      </c>
      <c r="F29" s="77" t="s">
        <v>2909</v>
      </c>
      <c r="G29" s="75" t="s">
        <v>2956</v>
      </c>
      <c r="H29" s="76" t="s">
        <v>2957</v>
      </c>
      <c r="I29" s="71" t="s">
        <v>2958</v>
      </c>
      <c r="J29" s="59"/>
      <c r="K29" s="59"/>
      <c r="L29" s="63" t="str">
        <f>VLOOKUP(D29,'Hedef Liste'!A:I,8,false)</f>
        <v>#N/A</v>
      </c>
      <c r="M29" s="63" t="b">
        <v>0</v>
      </c>
      <c r="N29" s="63" t="b">
        <v>0</v>
      </c>
      <c r="O29" s="63"/>
      <c r="P29" s="63"/>
      <c r="Q29" s="63"/>
      <c r="R29" s="63"/>
      <c r="S29" s="63"/>
      <c r="T29" s="63"/>
      <c r="U29" s="63"/>
      <c r="V29" s="63"/>
      <c r="W29" s="63"/>
      <c r="X29" s="63"/>
      <c r="Y29" s="63"/>
      <c r="Z29" s="63"/>
      <c r="AA29" s="63"/>
      <c r="AB29" s="63"/>
      <c r="AC29" s="63"/>
      <c r="AD29" s="63"/>
      <c r="AE29" s="63"/>
      <c r="AF29" s="63"/>
    </row>
    <row r="30" hidden="1">
      <c r="A30" s="79"/>
      <c r="B30" s="59"/>
      <c r="C30" s="59"/>
      <c r="D30" s="76"/>
      <c r="E30" s="76"/>
      <c r="F30" s="94"/>
      <c r="G30" s="76"/>
      <c r="H30" s="76"/>
      <c r="I30" s="76"/>
      <c r="J30" s="76"/>
      <c r="K30" s="76"/>
      <c r="L30" s="63"/>
      <c r="M30" s="63" t="b">
        <v>0</v>
      </c>
      <c r="N30" s="63" t="b">
        <v>0</v>
      </c>
      <c r="O30" s="63"/>
      <c r="P30" s="63"/>
      <c r="Q30" s="63"/>
      <c r="R30" s="63"/>
      <c r="S30" s="63"/>
      <c r="T30" s="63"/>
      <c r="U30" s="63"/>
      <c r="V30" s="63"/>
      <c r="W30" s="63"/>
      <c r="X30" s="63"/>
      <c r="Y30" s="63"/>
      <c r="Z30" s="63"/>
      <c r="AA30" s="63"/>
      <c r="AB30" s="63"/>
      <c r="AC30" s="63"/>
      <c r="AD30" s="63"/>
      <c r="AE30" s="63"/>
      <c r="AF30" s="63"/>
    </row>
    <row r="31" hidden="1">
      <c r="A31" s="58"/>
      <c r="B31" s="58">
        <v>44292.0</v>
      </c>
      <c r="C31" s="59"/>
      <c r="D31" s="60"/>
      <c r="E31" s="61"/>
      <c r="F31" s="61"/>
      <c r="G31" s="61"/>
      <c r="H31" s="61"/>
      <c r="I31" s="61"/>
      <c r="J31" s="61"/>
      <c r="K31" s="62"/>
      <c r="L31" s="63"/>
      <c r="M31" s="63"/>
      <c r="N31" s="63"/>
      <c r="O31" s="63"/>
      <c r="P31" s="63"/>
      <c r="Q31" s="63"/>
      <c r="R31" s="63"/>
      <c r="S31" s="63"/>
      <c r="T31" s="63"/>
      <c r="U31" s="63"/>
      <c r="V31" s="63"/>
      <c r="W31" s="63"/>
      <c r="X31" s="63"/>
      <c r="Y31" s="63"/>
      <c r="Z31" s="63"/>
      <c r="AA31" s="63"/>
      <c r="AB31" s="63"/>
      <c r="AC31" s="63"/>
      <c r="AD31" s="63"/>
      <c r="AE31" s="63"/>
      <c r="AF31" s="63"/>
    </row>
    <row r="32" hidden="1">
      <c r="A32" s="64" t="s">
        <v>47</v>
      </c>
      <c r="B32" s="59"/>
      <c r="C32" s="65"/>
      <c r="D32" s="66"/>
      <c r="E32" s="71" t="s">
        <v>2959</v>
      </c>
      <c r="F32" s="67"/>
      <c r="G32" s="68"/>
      <c r="H32" s="66"/>
      <c r="I32" s="66"/>
      <c r="J32" s="59"/>
      <c r="K32" s="59"/>
      <c r="L32" s="63"/>
      <c r="M32" s="63" t="b">
        <v>0</v>
      </c>
      <c r="N32" s="63" t="b">
        <v>0</v>
      </c>
      <c r="O32" s="63"/>
      <c r="P32" s="63"/>
      <c r="Q32" s="63"/>
      <c r="R32" s="63"/>
      <c r="S32" s="63"/>
      <c r="T32" s="63"/>
      <c r="U32" s="63"/>
      <c r="V32" s="63"/>
      <c r="W32" s="63"/>
      <c r="X32" s="63"/>
      <c r="Y32" s="63"/>
      <c r="Z32" s="63"/>
      <c r="AA32" s="63"/>
      <c r="AB32" s="63"/>
      <c r="AC32" s="63"/>
      <c r="AD32" s="63"/>
      <c r="AE32" s="63"/>
      <c r="AF32" s="63"/>
    </row>
    <row r="33" hidden="1">
      <c r="A33" s="69"/>
      <c r="B33" s="70" t="s">
        <v>96</v>
      </c>
      <c r="C33" s="65" t="s">
        <v>181</v>
      </c>
      <c r="D33" s="71" t="s">
        <v>2960</v>
      </c>
      <c r="E33" s="71" t="s">
        <v>2961</v>
      </c>
      <c r="F33" s="95" t="s">
        <v>2962</v>
      </c>
      <c r="G33" s="73" t="s">
        <v>2963</v>
      </c>
      <c r="H33" s="74" t="s">
        <v>2964</v>
      </c>
      <c r="I33" s="71" t="s">
        <v>2965</v>
      </c>
      <c r="J33" s="59"/>
      <c r="K33" s="59"/>
      <c r="L33" s="63" t="str">
        <f>VLOOKUP(D33,'Hedef Liste'!A:I,8,false)</f>
        <v>#N/A</v>
      </c>
      <c r="M33" s="63" t="b">
        <v>0</v>
      </c>
      <c r="N33" s="63" t="b">
        <v>0</v>
      </c>
      <c r="O33" s="63"/>
      <c r="P33" s="63"/>
      <c r="Q33" s="63"/>
      <c r="R33" s="63"/>
      <c r="S33" s="63"/>
      <c r="T33" s="63"/>
      <c r="U33" s="63"/>
      <c r="V33" s="63"/>
      <c r="W33" s="63"/>
      <c r="X33" s="63"/>
      <c r="Y33" s="63"/>
      <c r="Z33" s="63"/>
      <c r="AA33" s="63"/>
      <c r="AB33" s="63"/>
      <c r="AC33" s="63"/>
      <c r="AD33" s="63"/>
      <c r="AE33" s="63"/>
      <c r="AF33" s="63"/>
    </row>
    <row r="34" hidden="1">
      <c r="A34" s="69"/>
      <c r="B34" s="70" t="s">
        <v>96</v>
      </c>
      <c r="C34" s="65" t="s">
        <v>181</v>
      </c>
      <c r="D34" s="71" t="s">
        <v>176</v>
      </c>
      <c r="E34" s="71" t="s">
        <v>177</v>
      </c>
      <c r="F34" s="77" t="s">
        <v>2904</v>
      </c>
      <c r="G34" s="75" t="s">
        <v>2966</v>
      </c>
      <c r="H34" s="65" t="s">
        <v>2967</v>
      </c>
      <c r="I34" s="71" t="s">
        <v>180</v>
      </c>
      <c r="J34" s="59"/>
      <c r="K34" s="59"/>
      <c r="L34" s="63">
        <f>VLOOKUP(D34,'Hedef Liste'!A:I,8,false)</f>
        <v>5</v>
      </c>
      <c r="M34" s="63" t="b">
        <v>0</v>
      </c>
      <c r="N34" s="63" t="b">
        <v>0</v>
      </c>
      <c r="O34" s="63"/>
      <c r="P34" s="63"/>
      <c r="Q34" s="63"/>
      <c r="R34" s="63"/>
      <c r="S34" s="63"/>
      <c r="T34" s="63"/>
      <c r="U34" s="63"/>
      <c r="V34" s="63"/>
      <c r="W34" s="63"/>
      <c r="X34" s="63"/>
      <c r="Y34" s="63"/>
      <c r="Z34" s="63"/>
      <c r="AA34" s="63"/>
      <c r="AB34" s="63"/>
      <c r="AC34" s="63"/>
      <c r="AD34" s="63"/>
      <c r="AE34" s="63"/>
      <c r="AF34" s="63"/>
    </row>
    <row r="35" hidden="1">
      <c r="A35" s="69"/>
      <c r="B35" s="70" t="s">
        <v>96</v>
      </c>
      <c r="C35" s="65" t="s">
        <v>181</v>
      </c>
      <c r="D35" s="71" t="s">
        <v>2968</v>
      </c>
      <c r="E35" s="71" t="s">
        <v>2969</v>
      </c>
      <c r="F35" s="77" t="s">
        <v>2909</v>
      </c>
      <c r="G35" s="71" t="s">
        <v>2970</v>
      </c>
      <c r="H35" s="71" t="s">
        <v>2971</v>
      </c>
      <c r="I35" s="71" t="s">
        <v>2972</v>
      </c>
      <c r="J35" s="59"/>
      <c r="K35" s="59"/>
      <c r="L35" s="63" t="str">
        <f>VLOOKUP(D35,'Hedef Liste'!A:I,8,false)</f>
        <v>#N/A</v>
      </c>
      <c r="M35" s="63" t="b">
        <v>0</v>
      </c>
      <c r="N35" s="63" t="b">
        <v>0</v>
      </c>
      <c r="O35" s="63"/>
      <c r="P35" s="63"/>
      <c r="Q35" s="63"/>
      <c r="R35" s="63"/>
      <c r="S35" s="63"/>
      <c r="T35" s="63"/>
      <c r="U35" s="63"/>
      <c r="V35" s="63"/>
      <c r="W35" s="63"/>
      <c r="X35" s="63"/>
      <c r="Y35" s="63"/>
      <c r="Z35" s="63"/>
      <c r="AA35" s="63"/>
      <c r="AB35" s="63"/>
      <c r="AC35" s="63"/>
      <c r="AD35" s="63"/>
      <c r="AE35" s="63"/>
      <c r="AF35" s="63"/>
    </row>
    <row r="36" hidden="1">
      <c r="A36" s="69"/>
      <c r="B36" s="70" t="s">
        <v>96</v>
      </c>
      <c r="C36" s="80" t="s">
        <v>181</v>
      </c>
      <c r="D36" s="81" t="s">
        <v>619</v>
      </c>
      <c r="E36" s="81" t="s">
        <v>620</v>
      </c>
      <c r="F36" s="96">
        <v>0.7708333333333334</v>
      </c>
      <c r="G36" s="81" t="s">
        <v>2973</v>
      </c>
      <c r="H36" s="81" t="s">
        <v>2974</v>
      </c>
      <c r="I36" s="81" t="s">
        <v>622</v>
      </c>
      <c r="J36" s="80" t="s">
        <v>2975</v>
      </c>
      <c r="K36" s="85"/>
      <c r="L36" s="63">
        <f>VLOOKUP(D36,'Hedef Liste'!A:I,8,false)</f>
        <v>43</v>
      </c>
      <c r="M36" s="63" t="b">
        <v>0</v>
      </c>
      <c r="N36" s="63" t="b">
        <v>0</v>
      </c>
      <c r="O36" s="63"/>
      <c r="P36" s="63"/>
      <c r="Q36" s="63"/>
      <c r="R36" s="63"/>
      <c r="S36" s="63"/>
      <c r="T36" s="63"/>
      <c r="U36" s="63"/>
      <c r="V36" s="63"/>
      <c r="W36" s="63"/>
      <c r="X36" s="63"/>
      <c r="Y36" s="63"/>
      <c r="Z36" s="63"/>
      <c r="AA36" s="63"/>
      <c r="AB36" s="63"/>
      <c r="AC36" s="63"/>
      <c r="AD36" s="63"/>
      <c r="AE36" s="63"/>
      <c r="AF36" s="63"/>
    </row>
    <row r="37" hidden="1">
      <c r="A37" s="79"/>
      <c r="B37" s="59"/>
      <c r="C37" s="59"/>
      <c r="D37" s="76"/>
      <c r="E37" s="76"/>
      <c r="F37" s="94"/>
      <c r="G37" s="76"/>
      <c r="H37" s="76"/>
      <c r="I37" s="76"/>
      <c r="J37" s="76"/>
      <c r="K37" s="76"/>
      <c r="L37" s="63"/>
      <c r="M37" s="63" t="b">
        <v>0</v>
      </c>
      <c r="N37" s="63" t="b">
        <v>0</v>
      </c>
      <c r="O37" s="63"/>
      <c r="P37" s="63"/>
      <c r="Q37" s="63"/>
      <c r="R37" s="63"/>
      <c r="S37" s="63"/>
      <c r="T37" s="63"/>
      <c r="U37" s="63"/>
      <c r="V37" s="63"/>
      <c r="W37" s="63"/>
      <c r="X37" s="63"/>
      <c r="Y37" s="63"/>
      <c r="Z37" s="63"/>
      <c r="AA37" s="63"/>
      <c r="AB37" s="63"/>
      <c r="AC37" s="63"/>
      <c r="AD37" s="63"/>
      <c r="AE37" s="63"/>
      <c r="AF37" s="63"/>
    </row>
    <row r="38" hidden="1">
      <c r="A38" s="58"/>
      <c r="B38" s="58">
        <v>44293.0</v>
      </c>
      <c r="C38" s="59"/>
      <c r="D38" s="60"/>
      <c r="E38" s="61"/>
      <c r="F38" s="61"/>
      <c r="G38" s="61"/>
      <c r="H38" s="61"/>
      <c r="I38" s="61"/>
      <c r="J38" s="61"/>
      <c r="K38" s="62"/>
      <c r="L38" s="63"/>
      <c r="M38" s="63"/>
      <c r="N38" s="63"/>
      <c r="O38" s="63"/>
      <c r="P38" s="63"/>
      <c r="Q38" s="63"/>
      <c r="R38" s="63"/>
      <c r="S38" s="63"/>
      <c r="T38" s="63"/>
      <c r="U38" s="63"/>
      <c r="V38" s="63"/>
      <c r="W38" s="63"/>
      <c r="X38" s="63"/>
      <c r="Y38" s="63"/>
      <c r="Z38" s="63"/>
      <c r="AA38" s="63"/>
      <c r="AB38" s="63"/>
      <c r="AC38" s="63"/>
      <c r="AD38" s="63"/>
      <c r="AE38" s="63"/>
      <c r="AF38" s="63"/>
    </row>
    <row r="39" hidden="1">
      <c r="A39" s="64" t="s">
        <v>47</v>
      </c>
      <c r="B39" s="59"/>
      <c r="C39" s="65"/>
      <c r="D39" s="66"/>
      <c r="E39" s="66"/>
      <c r="F39" s="67"/>
      <c r="G39" s="68"/>
      <c r="H39" s="66"/>
      <c r="I39" s="66"/>
      <c r="J39" s="59"/>
      <c r="K39" s="59"/>
      <c r="L39" s="63"/>
      <c r="M39" s="63" t="b">
        <v>0</v>
      </c>
      <c r="N39" s="63" t="b">
        <v>0</v>
      </c>
      <c r="O39" s="63"/>
      <c r="P39" s="63"/>
      <c r="Q39" s="63"/>
      <c r="R39" s="63"/>
      <c r="S39" s="63"/>
      <c r="T39" s="63"/>
      <c r="U39" s="63"/>
      <c r="V39" s="63"/>
      <c r="W39" s="63"/>
      <c r="X39" s="63"/>
      <c r="Y39" s="63"/>
      <c r="Z39" s="63"/>
      <c r="AA39" s="63"/>
      <c r="AB39" s="63"/>
      <c r="AC39" s="63"/>
      <c r="AD39" s="63"/>
      <c r="AE39" s="63"/>
      <c r="AF39" s="63"/>
    </row>
    <row r="40" hidden="1">
      <c r="A40" s="69"/>
      <c r="B40" s="70" t="s">
        <v>96</v>
      </c>
      <c r="C40" s="65" t="s">
        <v>2938</v>
      </c>
      <c r="D40" s="87" t="s">
        <v>2976</v>
      </c>
      <c r="E40" s="87" t="s">
        <v>2977</v>
      </c>
      <c r="F40" s="97">
        <v>0.4791666666666667</v>
      </c>
      <c r="G40" s="98" t="s">
        <v>2978</v>
      </c>
      <c r="H40" s="99" t="s">
        <v>2979</v>
      </c>
      <c r="I40" s="87" t="s">
        <v>2980</v>
      </c>
      <c r="J40" s="65" t="s">
        <v>2981</v>
      </c>
      <c r="K40" s="59"/>
      <c r="L40" s="63" t="str">
        <f>VLOOKUP(D40,'Hedef Liste'!A:I,8,false)</f>
        <v>#N/A</v>
      </c>
      <c r="M40" s="63" t="b">
        <v>0</v>
      </c>
      <c r="N40" s="63" t="b">
        <v>0</v>
      </c>
      <c r="O40" s="63"/>
      <c r="P40" s="63"/>
      <c r="Q40" s="63"/>
      <c r="R40" s="63"/>
      <c r="S40" s="63"/>
      <c r="T40" s="63"/>
      <c r="U40" s="63"/>
      <c r="V40" s="63"/>
      <c r="W40" s="63"/>
      <c r="X40" s="63"/>
      <c r="Y40" s="63"/>
      <c r="Z40" s="63"/>
      <c r="AA40" s="63"/>
      <c r="AB40" s="63"/>
      <c r="AC40" s="63"/>
      <c r="AD40" s="63"/>
      <c r="AE40" s="63"/>
      <c r="AF40" s="63"/>
    </row>
    <row r="41" hidden="1">
      <c r="A41" s="69"/>
      <c r="B41" s="70" t="s">
        <v>96</v>
      </c>
      <c r="C41" s="65" t="s">
        <v>181</v>
      </c>
      <c r="D41" s="71" t="s">
        <v>2930</v>
      </c>
      <c r="E41" s="71" t="s">
        <v>2931</v>
      </c>
      <c r="F41" s="77" t="s">
        <v>2904</v>
      </c>
      <c r="G41" s="75" t="s">
        <v>2925</v>
      </c>
      <c r="H41" s="65" t="s">
        <v>2932</v>
      </c>
      <c r="I41" s="76" t="s">
        <v>2933</v>
      </c>
      <c r="J41" s="59"/>
      <c r="K41" s="59"/>
      <c r="L41" s="63" t="str">
        <f>VLOOKUP(D41,'Hedef Liste'!A:I,8,false)</f>
        <v>#N/A</v>
      </c>
      <c r="M41" s="63" t="b">
        <v>0</v>
      </c>
      <c r="N41" s="63" t="b">
        <v>0</v>
      </c>
      <c r="O41" s="63"/>
      <c r="P41" s="63"/>
      <c r="Q41" s="63"/>
      <c r="R41" s="63"/>
      <c r="S41" s="63"/>
      <c r="T41" s="63"/>
      <c r="U41" s="63"/>
      <c r="V41" s="63"/>
      <c r="W41" s="63"/>
      <c r="X41" s="63"/>
      <c r="Y41" s="63"/>
      <c r="Z41" s="63"/>
      <c r="AA41" s="63"/>
      <c r="AB41" s="63"/>
      <c r="AC41" s="63"/>
      <c r="AD41" s="63"/>
      <c r="AE41" s="63"/>
      <c r="AF41" s="63"/>
    </row>
    <row r="42" hidden="1">
      <c r="A42" s="69"/>
      <c r="B42" s="70" t="s">
        <v>96</v>
      </c>
      <c r="C42" s="78" t="s">
        <v>2938</v>
      </c>
      <c r="D42" s="71" t="s">
        <v>2618</v>
      </c>
      <c r="E42" s="71" t="s">
        <v>2619</v>
      </c>
      <c r="F42" s="77" t="s">
        <v>2909</v>
      </c>
      <c r="G42" s="75" t="s">
        <v>2982</v>
      </c>
      <c r="H42" s="76" t="s">
        <v>2983</v>
      </c>
      <c r="I42" s="71" t="s">
        <v>2621</v>
      </c>
      <c r="J42" s="59"/>
      <c r="K42" s="59"/>
      <c r="L42" s="63">
        <f>VLOOKUP(D42,'Hedef Liste'!A:I,8,false)</f>
        <v>8</v>
      </c>
      <c r="M42" s="63" t="b">
        <v>0</v>
      </c>
      <c r="N42" s="63" t="b">
        <v>0</v>
      </c>
      <c r="O42" s="63"/>
      <c r="P42" s="63"/>
      <c r="Q42" s="63"/>
      <c r="R42" s="63"/>
      <c r="S42" s="63"/>
      <c r="T42" s="63"/>
      <c r="U42" s="63"/>
      <c r="V42" s="63"/>
      <c r="W42" s="63"/>
      <c r="X42" s="63"/>
      <c r="Y42" s="63"/>
      <c r="Z42" s="63"/>
      <c r="AA42" s="63"/>
      <c r="AB42" s="63"/>
      <c r="AC42" s="63"/>
      <c r="AD42" s="63"/>
      <c r="AE42" s="63"/>
      <c r="AF42" s="63"/>
    </row>
    <row r="43" hidden="1">
      <c r="A43" s="79"/>
      <c r="B43" s="70" t="s">
        <v>96</v>
      </c>
      <c r="C43" s="100" t="s">
        <v>95</v>
      </c>
      <c r="D43" s="87" t="s">
        <v>2287</v>
      </c>
      <c r="E43" s="87" t="s">
        <v>2288</v>
      </c>
      <c r="F43" s="101">
        <v>0.7708333333333334</v>
      </c>
      <c r="G43" s="90" t="s">
        <v>2984</v>
      </c>
      <c r="H43" s="90" t="s">
        <v>2985</v>
      </c>
      <c r="I43" s="87" t="s">
        <v>2290</v>
      </c>
      <c r="J43" s="76" t="s">
        <v>2986</v>
      </c>
      <c r="K43" s="76"/>
      <c r="L43" s="63">
        <f>VLOOKUP(D43,'Hedef Liste'!A:I,8,false)</f>
        <v>26</v>
      </c>
      <c r="M43" s="63" t="b">
        <v>0</v>
      </c>
      <c r="N43" s="63" t="b">
        <v>0</v>
      </c>
      <c r="O43" s="63"/>
      <c r="P43" s="63"/>
      <c r="Q43" s="63"/>
      <c r="R43" s="63"/>
      <c r="S43" s="63"/>
      <c r="T43" s="63"/>
      <c r="U43" s="63"/>
      <c r="V43" s="63"/>
      <c r="W43" s="63"/>
      <c r="X43" s="63"/>
      <c r="Y43" s="63"/>
      <c r="Z43" s="63"/>
      <c r="AA43" s="63"/>
      <c r="AB43" s="63"/>
      <c r="AC43" s="63"/>
      <c r="AD43" s="63"/>
      <c r="AE43" s="63"/>
      <c r="AF43" s="63"/>
    </row>
    <row r="44" hidden="1">
      <c r="A44" s="58"/>
      <c r="B44" s="58">
        <v>44294.0</v>
      </c>
      <c r="C44" s="59"/>
      <c r="D44" s="60"/>
      <c r="E44" s="61"/>
      <c r="F44" s="61"/>
      <c r="G44" s="61"/>
      <c r="H44" s="61"/>
      <c r="I44" s="61"/>
      <c r="J44" s="61"/>
      <c r="K44" s="62"/>
      <c r="L44" s="63"/>
      <c r="M44" s="63"/>
      <c r="N44" s="63"/>
      <c r="O44" s="63"/>
      <c r="P44" s="63"/>
      <c r="Q44" s="63"/>
      <c r="R44" s="63"/>
      <c r="S44" s="63"/>
      <c r="T44" s="63"/>
      <c r="U44" s="63"/>
      <c r="V44" s="63"/>
      <c r="W44" s="63"/>
      <c r="X44" s="63"/>
      <c r="Y44" s="63"/>
      <c r="Z44" s="63"/>
      <c r="AA44" s="63"/>
      <c r="AB44" s="63"/>
      <c r="AC44" s="63"/>
      <c r="AD44" s="63"/>
      <c r="AE44" s="63"/>
      <c r="AF44" s="63"/>
    </row>
    <row r="45" hidden="1">
      <c r="A45" s="64" t="s">
        <v>47</v>
      </c>
      <c r="B45" s="70" t="s">
        <v>96</v>
      </c>
      <c r="C45" s="65" t="s">
        <v>538</v>
      </c>
      <c r="D45" s="71" t="s">
        <v>2987</v>
      </c>
      <c r="E45" s="71" t="s">
        <v>2988</v>
      </c>
      <c r="F45" s="72">
        <v>0.4583333333333333</v>
      </c>
      <c r="G45" s="73" t="s">
        <v>2989</v>
      </c>
      <c r="H45" s="74" t="s">
        <v>2990</v>
      </c>
      <c r="I45" s="71" t="s">
        <v>2991</v>
      </c>
      <c r="J45" s="59"/>
      <c r="K45" s="59"/>
      <c r="L45" s="63"/>
      <c r="M45" s="63" t="b">
        <v>0</v>
      </c>
      <c r="N45" s="63" t="b">
        <v>0</v>
      </c>
      <c r="O45" s="63"/>
      <c r="P45" s="63"/>
      <c r="Q45" s="63"/>
      <c r="R45" s="63"/>
      <c r="S45" s="63"/>
      <c r="T45" s="63"/>
      <c r="U45" s="63"/>
      <c r="V45" s="63"/>
      <c r="W45" s="63"/>
      <c r="X45" s="63"/>
      <c r="Y45" s="63"/>
      <c r="Z45" s="63"/>
      <c r="AA45" s="63"/>
      <c r="AB45" s="63"/>
      <c r="AC45" s="63"/>
      <c r="AD45" s="63"/>
      <c r="AE45" s="63"/>
      <c r="AF45" s="63"/>
    </row>
    <row r="46" hidden="1">
      <c r="A46" s="69"/>
      <c r="B46" s="70" t="s">
        <v>96</v>
      </c>
      <c r="C46" s="65"/>
      <c r="D46" s="71"/>
      <c r="E46" s="71"/>
      <c r="F46" s="95"/>
      <c r="G46" s="73"/>
      <c r="H46" s="74"/>
      <c r="I46" s="71"/>
      <c r="J46" s="65" t="s">
        <v>2992</v>
      </c>
      <c r="K46" s="59"/>
      <c r="L46" s="63" t="str">
        <f>VLOOKUP(D46,'Hedef Liste'!A:I,8,false)</f>
        <v>#N/A</v>
      </c>
      <c r="M46" s="102" t="b">
        <v>1</v>
      </c>
      <c r="N46" s="63" t="b">
        <v>0</v>
      </c>
      <c r="O46" s="63"/>
      <c r="P46" s="63"/>
      <c r="Q46" s="63"/>
      <c r="R46" s="63"/>
      <c r="S46" s="63"/>
      <c r="T46" s="63"/>
      <c r="U46" s="63"/>
      <c r="V46" s="63"/>
      <c r="W46" s="63"/>
      <c r="X46" s="63"/>
      <c r="Y46" s="63"/>
      <c r="Z46" s="63"/>
      <c r="AA46" s="63"/>
      <c r="AB46" s="63"/>
      <c r="AC46" s="63"/>
      <c r="AD46" s="63"/>
      <c r="AE46" s="63"/>
      <c r="AF46" s="63"/>
    </row>
    <row r="47" hidden="1">
      <c r="A47" s="69"/>
      <c r="B47" s="70" t="s">
        <v>96</v>
      </c>
      <c r="C47" s="65"/>
      <c r="D47" s="71"/>
      <c r="E47" s="71"/>
      <c r="F47" s="103"/>
      <c r="G47" s="104"/>
      <c r="H47" s="65"/>
      <c r="I47" s="65"/>
      <c r="J47" s="105"/>
      <c r="K47" s="106"/>
      <c r="L47" s="107"/>
      <c r="M47" s="102" t="b">
        <v>1</v>
      </c>
      <c r="N47" s="63" t="b">
        <v>0</v>
      </c>
      <c r="O47" s="102"/>
      <c r="P47" s="63"/>
      <c r="Q47" s="63"/>
      <c r="R47" s="63"/>
      <c r="S47" s="63"/>
      <c r="T47" s="63"/>
      <c r="U47" s="63"/>
      <c r="V47" s="63"/>
      <c r="W47" s="63"/>
      <c r="X47" s="63"/>
      <c r="Y47" s="63"/>
      <c r="Z47" s="63"/>
      <c r="AA47" s="63"/>
      <c r="AB47" s="63"/>
      <c r="AC47" s="63"/>
      <c r="AD47" s="63"/>
      <c r="AE47" s="63"/>
      <c r="AF47" s="63"/>
    </row>
    <row r="48" hidden="1">
      <c r="A48" s="69"/>
      <c r="B48" s="70" t="s">
        <v>96</v>
      </c>
      <c r="C48" s="108"/>
      <c r="D48" s="109"/>
      <c r="E48" s="109"/>
      <c r="F48" s="110"/>
      <c r="G48" s="111"/>
      <c r="H48" s="108"/>
      <c r="I48" s="105"/>
      <c r="J48" s="106" t="s">
        <v>2993</v>
      </c>
      <c r="K48" s="107"/>
      <c r="L48" s="63" t="str">
        <f>VLOOKUP(D48,'Hedef Liste'!A:I,8,false)</f>
        <v>#N/A</v>
      </c>
      <c r="M48" s="63" t="b">
        <v>0</v>
      </c>
      <c r="N48" s="63" t="b">
        <v>0</v>
      </c>
      <c r="O48" s="63"/>
      <c r="P48" s="63"/>
      <c r="Q48" s="63"/>
      <c r="R48" s="63"/>
      <c r="S48" s="63"/>
      <c r="T48" s="63"/>
      <c r="U48" s="63"/>
      <c r="V48" s="63"/>
      <c r="W48" s="63"/>
      <c r="X48" s="63"/>
      <c r="Y48" s="63"/>
      <c r="Z48" s="63"/>
      <c r="AA48" s="63"/>
      <c r="AB48" s="63"/>
      <c r="AC48" s="63"/>
      <c r="AD48" s="63"/>
      <c r="AE48" s="63"/>
      <c r="AF48" s="63"/>
    </row>
    <row r="49" hidden="1">
      <c r="A49" s="69"/>
      <c r="B49" s="70" t="s">
        <v>96</v>
      </c>
      <c r="C49" s="78"/>
      <c r="D49" s="71"/>
      <c r="E49" s="71"/>
      <c r="F49" s="77"/>
      <c r="G49" s="75"/>
      <c r="H49" s="76"/>
      <c r="I49" s="71"/>
      <c r="J49" s="65" t="s">
        <v>2994</v>
      </c>
      <c r="K49" s="59"/>
      <c r="L49" s="63" t="str">
        <f>VLOOKUP(D49,'Hedef Liste'!A:I,8,false)</f>
        <v>#N/A</v>
      </c>
      <c r="M49" s="102" t="b">
        <v>1</v>
      </c>
      <c r="N49" s="63" t="b">
        <v>0</v>
      </c>
      <c r="O49" s="63"/>
      <c r="P49" s="63"/>
      <c r="Q49" s="63"/>
      <c r="R49" s="63"/>
      <c r="S49" s="63"/>
      <c r="T49" s="63"/>
      <c r="U49" s="63"/>
      <c r="V49" s="63"/>
      <c r="W49" s="63"/>
      <c r="X49" s="63"/>
      <c r="Y49" s="63"/>
      <c r="Z49" s="63"/>
      <c r="AA49" s="63"/>
      <c r="AB49" s="63"/>
      <c r="AC49" s="63"/>
      <c r="AD49" s="63"/>
      <c r="AE49" s="63"/>
      <c r="AF49" s="63"/>
    </row>
    <row r="50" hidden="1">
      <c r="A50" s="79"/>
      <c r="B50" s="59"/>
      <c r="C50" s="59"/>
      <c r="D50" s="76"/>
      <c r="E50" s="76"/>
      <c r="F50" s="94"/>
      <c r="G50" s="76"/>
      <c r="H50" s="76"/>
      <c r="I50" s="76"/>
      <c r="J50" s="76"/>
      <c r="K50" s="76"/>
      <c r="L50" s="63"/>
      <c r="M50" s="63" t="b">
        <v>0</v>
      </c>
      <c r="N50" s="63" t="b">
        <v>0</v>
      </c>
      <c r="O50" s="63"/>
      <c r="P50" s="63"/>
      <c r="Q50" s="63"/>
      <c r="R50" s="63"/>
      <c r="S50" s="63"/>
      <c r="T50" s="63"/>
      <c r="U50" s="63"/>
      <c r="V50" s="63"/>
      <c r="W50" s="63"/>
      <c r="X50" s="63"/>
      <c r="Y50" s="63"/>
      <c r="Z50" s="63"/>
      <c r="AA50" s="63"/>
      <c r="AB50" s="63"/>
      <c r="AC50" s="63"/>
      <c r="AD50" s="63"/>
      <c r="AE50" s="63"/>
      <c r="AF50" s="63"/>
    </row>
    <row r="51" hidden="1">
      <c r="A51" s="58"/>
      <c r="B51" s="58">
        <v>44295.0</v>
      </c>
      <c r="C51" s="59"/>
      <c r="D51" s="60"/>
      <c r="E51" s="61"/>
      <c r="F51" s="61"/>
      <c r="G51" s="61"/>
      <c r="H51" s="61"/>
      <c r="I51" s="61"/>
      <c r="J51" s="61"/>
      <c r="K51" s="62"/>
      <c r="L51" s="63"/>
      <c r="M51" s="63"/>
      <c r="N51" s="63"/>
      <c r="O51" s="63"/>
      <c r="P51" s="63"/>
      <c r="Q51" s="63"/>
      <c r="R51" s="63"/>
      <c r="S51" s="63"/>
      <c r="T51" s="63"/>
      <c r="U51" s="63"/>
      <c r="V51" s="63"/>
      <c r="W51" s="63"/>
      <c r="X51" s="63"/>
      <c r="Y51" s="63"/>
      <c r="Z51" s="63"/>
      <c r="AA51" s="63"/>
      <c r="AB51" s="63"/>
      <c r="AC51" s="63"/>
      <c r="AD51" s="63"/>
      <c r="AE51" s="63"/>
      <c r="AF51" s="63"/>
    </row>
    <row r="52" hidden="1">
      <c r="A52" s="64" t="s">
        <v>47</v>
      </c>
      <c r="B52" s="59"/>
      <c r="C52" s="65"/>
      <c r="D52" s="66"/>
      <c r="E52" s="66"/>
      <c r="F52" s="67"/>
      <c r="G52" s="68"/>
      <c r="H52" s="66"/>
      <c r="I52" s="66"/>
      <c r="J52" s="59"/>
      <c r="K52" s="59"/>
      <c r="L52" s="63"/>
      <c r="M52" s="63" t="b">
        <v>0</v>
      </c>
      <c r="N52" s="63" t="b">
        <v>0</v>
      </c>
      <c r="O52" s="63"/>
      <c r="P52" s="63"/>
      <c r="Q52" s="63"/>
      <c r="R52" s="63"/>
      <c r="S52" s="63"/>
      <c r="T52" s="63"/>
      <c r="U52" s="63"/>
      <c r="V52" s="63"/>
      <c r="W52" s="63"/>
      <c r="X52" s="63"/>
      <c r="Y52" s="63"/>
      <c r="Z52" s="63"/>
      <c r="AA52" s="63"/>
      <c r="AB52" s="63"/>
      <c r="AC52" s="63"/>
      <c r="AD52" s="63"/>
      <c r="AE52" s="63"/>
      <c r="AF52" s="63"/>
    </row>
    <row r="53" hidden="1">
      <c r="A53" s="69"/>
      <c r="B53" s="70" t="s">
        <v>96</v>
      </c>
      <c r="C53" s="66"/>
      <c r="D53" s="66"/>
      <c r="E53" s="66"/>
      <c r="F53" s="67"/>
      <c r="G53" s="68"/>
      <c r="H53" s="66"/>
      <c r="I53" s="66"/>
      <c r="J53" s="59"/>
      <c r="K53" s="59"/>
      <c r="L53" s="63">
        <f>VLOOKUP(D77,'Hedef Liste'!A:I,8,false)</f>
        <v>16</v>
      </c>
      <c r="M53" s="63" t="b">
        <v>0</v>
      </c>
      <c r="N53" s="63" t="b">
        <v>0</v>
      </c>
      <c r="O53" s="63"/>
      <c r="P53" s="63"/>
      <c r="Q53" s="63"/>
      <c r="R53" s="63"/>
      <c r="S53" s="63"/>
      <c r="T53" s="63"/>
      <c r="U53" s="63"/>
      <c r="V53" s="63"/>
      <c r="W53" s="63"/>
      <c r="X53" s="63"/>
      <c r="Y53" s="63"/>
      <c r="Z53" s="63"/>
      <c r="AA53" s="63"/>
      <c r="AB53" s="63"/>
      <c r="AC53" s="63"/>
      <c r="AD53" s="63"/>
      <c r="AE53" s="63"/>
      <c r="AF53" s="63"/>
    </row>
    <row r="54" hidden="1">
      <c r="A54" s="69"/>
      <c r="B54" s="70" t="s">
        <v>96</v>
      </c>
      <c r="C54" s="71" t="s">
        <v>2995</v>
      </c>
      <c r="D54" s="71" t="s">
        <v>623</v>
      </c>
      <c r="E54" s="71" t="s">
        <v>624</v>
      </c>
      <c r="F54" s="72">
        <v>0.5416666666666666</v>
      </c>
      <c r="G54" s="73" t="s">
        <v>2996</v>
      </c>
      <c r="H54" s="74" t="s">
        <v>2997</v>
      </c>
      <c r="I54" s="74" t="s">
        <v>626</v>
      </c>
      <c r="J54" s="66"/>
      <c r="K54" s="59"/>
      <c r="L54" s="63">
        <f>VLOOKUP(D60,'Hedef Liste'!A:I,8,false)</f>
        <v>37</v>
      </c>
      <c r="M54" s="63" t="b">
        <v>0</v>
      </c>
      <c r="N54" s="63" t="b">
        <v>0</v>
      </c>
      <c r="O54" s="63"/>
      <c r="P54" s="63"/>
      <c r="Q54" s="63"/>
      <c r="R54" s="63"/>
      <c r="S54" s="63"/>
      <c r="T54" s="63"/>
      <c r="U54" s="63"/>
      <c r="V54" s="63"/>
      <c r="W54" s="63"/>
      <c r="X54" s="63"/>
      <c r="Y54" s="63"/>
      <c r="Z54" s="63"/>
      <c r="AA54" s="63"/>
      <c r="AB54" s="63"/>
      <c r="AC54" s="63"/>
      <c r="AD54" s="63"/>
      <c r="AE54" s="63"/>
      <c r="AF54" s="63"/>
    </row>
    <row r="55" hidden="1">
      <c r="A55" s="69"/>
      <c r="B55" s="70" t="s">
        <v>96</v>
      </c>
      <c r="C55" s="112" t="s">
        <v>2995</v>
      </c>
      <c r="D55" s="112" t="s">
        <v>2995</v>
      </c>
      <c r="E55" s="112" t="s">
        <v>2995</v>
      </c>
      <c r="F55" s="112" t="s">
        <v>2995</v>
      </c>
      <c r="G55" s="113" t="s">
        <v>2995</v>
      </c>
      <c r="H55" s="112" t="s">
        <v>2995</v>
      </c>
      <c r="I55" s="112" t="s">
        <v>2995</v>
      </c>
      <c r="J55" s="112" t="s">
        <v>2995</v>
      </c>
      <c r="K55" s="112" t="s">
        <v>2995</v>
      </c>
      <c r="L55" s="63"/>
      <c r="M55" s="63" t="b">
        <v>0</v>
      </c>
      <c r="N55" s="63" t="b">
        <v>0</v>
      </c>
      <c r="O55" s="63"/>
      <c r="P55" s="63"/>
      <c r="Q55" s="63"/>
      <c r="R55" s="63"/>
      <c r="S55" s="63"/>
      <c r="T55" s="63"/>
      <c r="U55" s="63"/>
      <c r="V55" s="63"/>
      <c r="W55" s="63"/>
      <c r="X55" s="63"/>
      <c r="Y55" s="63"/>
      <c r="Z55" s="63"/>
      <c r="AA55" s="63"/>
      <c r="AB55" s="63"/>
      <c r="AC55" s="63"/>
      <c r="AD55" s="63"/>
      <c r="AE55" s="63"/>
      <c r="AF55" s="63"/>
    </row>
    <row r="56" hidden="1">
      <c r="A56" s="69"/>
      <c r="B56" s="70" t="s">
        <v>96</v>
      </c>
      <c r="C56" s="100" t="s">
        <v>352</v>
      </c>
      <c r="D56" s="87" t="s">
        <v>393</v>
      </c>
      <c r="E56" s="87" t="s">
        <v>394</v>
      </c>
      <c r="F56" s="88" t="s">
        <v>2904</v>
      </c>
      <c r="G56" s="89" t="s">
        <v>2998</v>
      </c>
      <c r="H56" s="100" t="s">
        <v>2999</v>
      </c>
      <c r="I56" s="87" t="s">
        <v>396</v>
      </c>
      <c r="J56" s="65" t="s">
        <v>3000</v>
      </c>
      <c r="K56" s="59"/>
      <c r="L56" s="63">
        <f>VLOOKUP(D56,'Hedef Liste'!A:I,8,false)</f>
        <v>9</v>
      </c>
      <c r="M56" s="63" t="b">
        <v>0</v>
      </c>
      <c r="N56" s="63" t="b">
        <v>0</v>
      </c>
      <c r="O56" s="63"/>
      <c r="P56" s="63"/>
      <c r="Q56" s="63"/>
      <c r="R56" s="63"/>
      <c r="S56" s="63"/>
      <c r="T56" s="63"/>
      <c r="U56" s="63"/>
      <c r="V56" s="63"/>
      <c r="W56" s="63"/>
      <c r="X56" s="63"/>
      <c r="Y56" s="63"/>
      <c r="Z56" s="63"/>
      <c r="AA56" s="63"/>
      <c r="AB56" s="63"/>
      <c r="AC56" s="63"/>
      <c r="AD56" s="63"/>
      <c r="AE56" s="63"/>
      <c r="AF56" s="63"/>
    </row>
    <row r="57" hidden="1">
      <c r="A57" s="69"/>
      <c r="B57" s="70" t="s">
        <v>96</v>
      </c>
      <c r="C57" s="78" t="s">
        <v>352</v>
      </c>
      <c r="D57" s="71" t="s">
        <v>3001</v>
      </c>
      <c r="E57" s="71" t="s">
        <v>3002</v>
      </c>
      <c r="F57" s="77" t="s">
        <v>2909</v>
      </c>
      <c r="G57" s="75" t="s">
        <v>3003</v>
      </c>
      <c r="H57" s="76" t="s">
        <v>3004</v>
      </c>
      <c r="I57" s="71" t="s">
        <v>3005</v>
      </c>
      <c r="J57" s="65" t="s">
        <v>3006</v>
      </c>
      <c r="K57" s="59"/>
      <c r="L57" s="63" t="str">
        <f>VLOOKUP(D57,'Hedef Liste'!A:I,8,false)</f>
        <v>#N/A</v>
      </c>
      <c r="M57" s="63" t="b">
        <v>0</v>
      </c>
      <c r="N57" s="63" t="b">
        <v>0</v>
      </c>
      <c r="O57" s="63"/>
      <c r="P57" s="63"/>
      <c r="Q57" s="63"/>
      <c r="R57" s="63"/>
      <c r="S57" s="63"/>
      <c r="T57" s="63"/>
      <c r="U57" s="63"/>
      <c r="V57" s="63"/>
      <c r="W57" s="63"/>
      <c r="X57" s="63"/>
      <c r="Y57" s="63"/>
      <c r="Z57" s="63"/>
      <c r="AA57" s="63"/>
      <c r="AB57" s="63"/>
      <c r="AC57" s="63"/>
      <c r="AD57" s="63"/>
      <c r="AE57" s="63"/>
      <c r="AF57" s="63"/>
    </row>
    <row r="58" hidden="1">
      <c r="A58" s="79"/>
      <c r="B58" s="70" t="s">
        <v>96</v>
      </c>
      <c r="C58" s="65" t="s">
        <v>95</v>
      </c>
      <c r="D58" s="71" t="s">
        <v>2287</v>
      </c>
      <c r="E58" s="71" t="s">
        <v>2288</v>
      </c>
      <c r="F58" s="114">
        <v>0.7708333333333334</v>
      </c>
      <c r="G58" s="76" t="s">
        <v>2984</v>
      </c>
      <c r="H58" s="76" t="s">
        <v>2985</v>
      </c>
      <c r="I58" s="71" t="s">
        <v>2290</v>
      </c>
      <c r="J58" s="76" t="s">
        <v>3006</v>
      </c>
      <c r="K58" s="76"/>
      <c r="L58" s="63"/>
      <c r="M58" s="63" t="b">
        <v>0</v>
      </c>
      <c r="N58" s="63" t="b">
        <v>0</v>
      </c>
      <c r="O58" s="63"/>
      <c r="P58" s="63"/>
      <c r="Q58" s="63"/>
      <c r="R58" s="63"/>
      <c r="S58" s="63"/>
      <c r="T58" s="63"/>
      <c r="U58" s="63"/>
      <c r="V58" s="63"/>
      <c r="W58" s="63"/>
      <c r="X58" s="63"/>
      <c r="Y58" s="63"/>
      <c r="Z58" s="63"/>
      <c r="AA58" s="63"/>
      <c r="AB58" s="63"/>
      <c r="AC58" s="63"/>
      <c r="AD58" s="63"/>
      <c r="AE58" s="63"/>
      <c r="AF58" s="63"/>
    </row>
    <row r="59" hidden="1">
      <c r="A59" s="58"/>
      <c r="B59" s="58">
        <v>44298.0</v>
      </c>
      <c r="C59" s="59"/>
      <c r="D59" s="60"/>
      <c r="E59" s="61"/>
      <c r="F59" s="61"/>
      <c r="G59" s="61"/>
      <c r="H59" s="61"/>
      <c r="I59" s="61"/>
      <c r="J59" s="61"/>
      <c r="K59" s="62"/>
      <c r="L59" s="63"/>
      <c r="M59" s="63"/>
      <c r="N59" s="63"/>
      <c r="O59" s="63"/>
      <c r="P59" s="63"/>
      <c r="Q59" s="63"/>
      <c r="R59" s="63"/>
      <c r="S59" s="63"/>
      <c r="T59" s="63"/>
      <c r="U59" s="63"/>
      <c r="V59" s="63"/>
      <c r="W59" s="63"/>
      <c r="X59" s="63"/>
      <c r="Y59" s="63"/>
      <c r="Z59" s="63"/>
      <c r="AA59" s="63"/>
      <c r="AB59" s="63"/>
      <c r="AC59" s="63"/>
      <c r="AD59" s="63"/>
      <c r="AE59" s="63"/>
      <c r="AF59" s="63"/>
    </row>
    <row r="60" hidden="1">
      <c r="A60" s="64" t="s">
        <v>47</v>
      </c>
      <c r="B60" s="70" t="s">
        <v>569</v>
      </c>
      <c r="C60" s="80" t="s">
        <v>352</v>
      </c>
      <c r="D60" s="81" t="s">
        <v>2729</v>
      </c>
      <c r="E60" s="81" t="s">
        <v>2730</v>
      </c>
      <c r="F60" s="96">
        <v>0.4583333333333333</v>
      </c>
      <c r="G60" s="83" t="s">
        <v>3007</v>
      </c>
      <c r="H60" s="81" t="s">
        <v>3008</v>
      </c>
      <c r="I60" s="81" t="s">
        <v>2732</v>
      </c>
      <c r="J60" s="80" t="s">
        <v>3009</v>
      </c>
      <c r="K60" s="59"/>
      <c r="L60" s="63"/>
      <c r="M60" s="63" t="b">
        <v>0</v>
      </c>
      <c r="N60" s="63" t="b">
        <v>0</v>
      </c>
      <c r="O60" s="63"/>
      <c r="P60" s="63"/>
      <c r="Q60" s="63"/>
      <c r="R60" s="63"/>
      <c r="S60" s="63"/>
      <c r="T60" s="63"/>
      <c r="U60" s="63"/>
      <c r="V60" s="63"/>
      <c r="W60" s="63"/>
      <c r="X60" s="63"/>
      <c r="Y60" s="63"/>
      <c r="Z60" s="63"/>
      <c r="AA60" s="63"/>
      <c r="AB60" s="63"/>
      <c r="AC60" s="63"/>
      <c r="AD60" s="63"/>
      <c r="AE60" s="63"/>
      <c r="AF60" s="63"/>
    </row>
    <row r="61" hidden="1">
      <c r="A61" s="69"/>
      <c r="B61" s="70" t="s">
        <v>569</v>
      </c>
      <c r="C61" s="65" t="s">
        <v>3010</v>
      </c>
      <c r="D61" s="71" t="s">
        <v>1017</v>
      </c>
      <c r="E61" s="71" t="s">
        <v>1018</v>
      </c>
      <c r="F61" s="95" t="s">
        <v>3011</v>
      </c>
      <c r="G61" s="73" t="s">
        <v>2989</v>
      </c>
      <c r="H61" s="74" t="s">
        <v>3012</v>
      </c>
      <c r="I61" s="71" t="s">
        <v>1019</v>
      </c>
      <c r="J61" s="65" t="s">
        <v>2992</v>
      </c>
      <c r="K61" s="59"/>
      <c r="L61" s="63">
        <f>VLOOKUP(D61,'Hedef Liste'!A:I,8,false)</f>
        <v>35</v>
      </c>
      <c r="M61" s="63" t="b">
        <v>0</v>
      </c>
      <c r="N61" s="63" t="b">
        <v>0</v>
      </c>
      <c r="O61" s="63"/>
      <c r="P61" s="63"/>
      <c r="Q61" s="63"/>
      <c r="R61" s="63"/>
      <c r="S61" s="63"/>
      <c r="T61" s="63"/>
      <c r="U61" s="63"/>
      <c r="V61" s="63"/>
      <c r="W61" s="63"/>
      <c r="X61" s="63"/>
      <c r="Y61" s="63"/>
      <c r="Z61" s="63"/>
      <c r="AA61" s="63"/>
      <c r="AB61" s="63"/>
      <c r="AC61" s="63"/>
      <c r="AD61" s="63"/>
      <c r="AE61" s="63"/>
      <c r="AF61" s="63"/>
    </row>
    <row r="62" hidden="1">
      <c r="A62" s="69"/>
      <c r="B62" s="70" t="s">
        <v>569</v>
      </c>
      <c r="C62" s="80" t="s">
        <v>538</v>
      </c>
      <c r="D62" s="81" t="s">
        <v>533</v>
      </c>
      <c r="E62" s="81" t="s">
        <v>534</v>
      </c>
      <c r="F62" s="115">
        <v>0.5416666666666666</v>
      </c>
      <c r="G62" s="116" t="s">
        <v>2989</v>
      </c>
      <c r="H62" s="80" t="s">
        <v>3013</v>
      </c>
      <c r="I62" s="80" t="s">
        <v>537</v>
      </c>
      <c r="J62" s="117"/>
      <c r="K62" s="85"/>
      <c r="L62" s="63">
        <f>VLOOKUP(D62,'Hedef Liste'!A:I,8,false)</f>
        <v>6</v>
      </c>
      <c r="M62" s="63" t="b">
        <v>0</v>
      </c>
      <c r="N62" s="63" t="b">
        <v>0</v>
      </c>
      <c r="O62" s="63"/>
      <c r="P62" s="63"/>
      <c r="Q62" s="63"/>
      <c r="R62" s="63"/>
      <c r="S62" s="63"/>
      <c r="T62" s="63"/>
      <c r="U62" s="63"/>
      <c r="V62" s="63"/>
      <c r="W62" s="63"/>
      <c r="X62" s="63"/>
      <c r="Y62" s="63"/>
      <c r="Z62" s="63"/>
      <c r="AA62" s="63"/>
      <c r="AB62" s="63"/>
      <c r="AC62" s="63"/>
      <c r="AD62" s="63"/>
      <c r="AE62" s="63"/>
      <c r="AF62" s="63"/>
    </row>
    <row r="63" hidden="1">
      <c r="A63" s="69"/>
      <c r="B63" s="70" t="s">
        <v>569</v>
      </c>
      <c r="C63" s="108" t="s">
        <v>538</v>
      </c>
      <c r="D63" s="109" t="s">
        <v>611</v>
      </c>
      <c r="E63" s="109" t="s">
        <v>612</v>
      </c>
      <c r="F63" s="110" t="s">
        <v>3014</v>
      </c>
      <c r="G63" s="111" t="s">
        <v>2989</v>
      </c>
      <c r="H63" s="108" t="s">
        <v>3015</v>
      </c>
      <c r="I63" s="105" t="s">
        <v>614</v>
      </c>
      <c r="J63" s="106" t="s">
        <v>2993</v>
      </c>
      <c r="K63" s="59"/>
      <c r="L63" s="63">
        <f>VLOOKUP(D63,'Hedef Liste'!A:I,8,false)</f>
        <v>10</v>
      </c>
      <c r="M63" s="63" t="b">
        <v>0</v>
      </c>
      <c r="N63" s="63" t="b">
        <v>0</v>
      </c>
      <c r="O63" s="63"/>
      <c r="P63" s="63"/>
      <c r="Q63" s="63"/>
      <c r="R63" s="63"/>
      <c r="S63" s="63"/>
      <c r="T63" s="63"/>
      <c r="U63" s="63"/>
      <c r="V63" s="63"/>
      <c r="W63" s="63"/>
      <c r="X63" s="63"/>
      <c r="Y63" s="63"/>
      <c r="Z63" s="63"/>
      <c r="AA63" s="63"/>
      <c r="AB63" s="63"/>
      <c r="AC63" s="63"/>
      <c r="AD63" s="63"/>
      <c r="AE63" s="63"/>
      <c r="AF63" s="63"/>
    </row>
    <row r="64" hidden="1">
      <c r="A64" s="69"/>
      <c r="B64" s="70" t="s">
        <v>569</v>
      </c>
      <c r="C64" s="16" t="s">
        <v>568</v>
      </c>
      <c r="D64" s="71" t="s">
        <v>3016</v>
      </c>
      <c r="E64" s="71" t="s">
        <v>3017</v>
      </c>
      <c r="F64" s="118">
        <v>0.7083333333333334</v>
      </c>
      <c r="G64" s="71" t="s">
        <v>3018</v>
      </c>
      <c r="H64" s="71" t="s">
        <v>3019</v>
      </c>
      <c r="I64" s="71" t="s">
        <v>3020</v>
      </c>
      <c r="J64" s="66"/>
      <c r="K64" s="66"/>
      <c r="L64" s="66"/>
      <c r="M64" s="63" t="b">
        <v>0</v>
      </c>
      <c r="N64" s="63" t="b">
        <v>0</v>
      </c>
      <c r="O64" s="63"/>
      <c r="P64" s="63"/>
      <c r="Q64" s="63"/>
      <c r="R64" s="63"/>
      <c r="S64" s="63"/>
      <c r="T64" s="63"/>
      <c r="U64" s="63"/>
      <c r="V64" s="63"/>
      <c r="W64" s="63"/>
      <c r="X64" s="63"/>
      <c r="Y64" s="63"/>
      <c r="Z64" s="63"/>
      <c r="AA64" s="63"/>
      <c r="AB64" s="63"/>
      <c r="AC64" s="63"/>
      <c r="AD64" s="63"/>
      <c r="AE64" s="63"/>
      <c r="AF64" s="63"/>
    </row>
    <row r="65" hidden="1">
      <c r="A65" s="79"/>
      <c r="B65" s="59"/>
      <c r="C65" s="65"/>
      <c r="D65" s="71"/>
      <c r="E65" s="71"/>
      <c r="F65" s="114"/>
      <c r="G65" s="76"/>
      <c r="H65" s="76"/>
      <c r="I65" s="71"/>
      <c r="J65" s="76"/>
      <c r="K65" s="76"/>
      <c r="L65" s="63"/>
      <c r="M65" s="63" t="b">
        <v>0</v>
      </c>
      <c r="N65" s="63" t="b">
        <v>0</v>
      </c>
      <c r="O65" s="63"/>
      <c r="P65" s="63"/>
      <c r="Q65" s="63"/>
      <c r="R65" s="63"/>
      <c r="S65" s="63"/>
      <c r="T65" s="63"/>
      <c r="U65" s="63"/>
      <c r="V65" s="63"/>
      <c r="W65" s="63"/>
      <c r="X65" s="63"/>
      <c r="Y65" s="63"/>
      <c r="Z65" s="63"/>
      <c r="AA65" s="63"/>
      <c r="AB65" s="63"/>
      <c r="AC65" s="63"/>
      <c r="AD65" s="63"/>
      <c r="AE65" s="63"/>
      <c r="AF65" s="63"/>
    </row>
    <row r="66" hidden="1">
      <c r="A66" s="64" t="s">
        <v>47</v>
      </c>
      <c r="B66" s="59"/>
      <c r="C66" s="65"/>
      <c r="D66" s="71"/>
      <c r="E66" s="66"/>
      <c r="F66" s="114"/>
      <c r="G66" s="76"/>
      <c r="H66" s="76"/>
      <c r="I66" s="71"/>
      <c r="J66" s="76"/>
      <c r="K66" s="76"/>
      <c r="L66" s="63"/>
      <c r="M66" s="63" t="b">
        <v>0</v>
      </c>
      <c r="N66" s="63" t="b">
        <v>0</v>
      </c>
      <c r="O66" s="63"/>
      <c r="P66" s="63"/>
      <c r="Q66" s="63"/>
      <c r="R66" s="63"/>
      <c r="S66" s="63"/>
      <c r="T66" s="63"/>
      <c r="U66" s="63"/>
      <c r="V66" s="63"/>
      <c r="W66" s="63"/>
      <c r="X66" s="63"/>
      <c r="Y66" s="63"/>
      <c r="Z66" s="63"/>
      <c r="AA66" s="63"/>
      <c r="AB66" s="63"/>
      <c r="AC66" s="63"/>
      <c r="AD66" s="63"/>
      <c r="AE66" s="63"/>
      <c r="AF66" s="63"/>
    </row>
    <row r="67" hidden="1">
      <c r="A67" s="69"/>
      <c r="B67" s="70" t="s">
        <v>96</v>
      </c>
      <c r="C67" s="65"/>
      <c r="D67" s="71"/>
      <c r="E67" s="71"/>
      <c r="F67" s="114"/>
      <c r="G67" s="76"/>
      <c r="H67" s="76"/>
      <c r="I67" s="71"/>
      <c r="J67" s="76"/>
      <c r="K67" s="76"/>
      <c r="L67" s="63"/>
      <c r="M67" s="63" t="b">
        <v>0</v>
      </c>
      <c r="N67" s="63" t="b">
        <v>0</v>
      </c>
      <c r="O67" s="63"/>
      <c r="P67" s="63"/>
      <c r="Q67" s="63"/>
      <c r="R67" s="63"/>
      <c r="S67" s="63"/>
      <c r="T67" s="63"/>
      <c r="U67" s="63"/>
      <c r="V67" s="63"/>
      <c r="W67" s="63"/>
      <c r="X67" s="63"/>
      <c r="Y67" s="63"/>
      <c r="Z67" s="63"/>
      <c r="AA67" s="63"/>
      <c r="AB67" s="63"/>
      <c r="AC67" s="63"/>
      <c r="AD67" s="63"/>
      <c r="AE67" s="63"/>
      <c r="AF67" s="63"/>
    </row>
    <row r="68" hidden="1">
      <c r="A68" s="69"/>
      <c r="B68" s="70" t="s">
        <v>96</v>
      </c>
      <c r="C68" s="65"/>
      <c r="D68" s="71"/>
      <c r="E68" s="71" t="s">
        <v>3021</v>
      </c>
      <c r="F68" s="114"/>
      <c r="G68" s="76"/>
      <c r="H68" s="76"/>
      <c r="I68" s="71"/>
      <c r="J68" s="76"/>
      <c r="K68" s="76"/>
      <c r="L68" s="63"/>
      <c r="M68" s="63" t="b">
        <v>0</v>
      </c>
      <c r="N68" s="63" t="b">
        <v>0</v>
      </c>
      <c r="O68" s="63"/>
      <c r="P68" s="63"/>
      <c r="Q68" s="63"/>
      <c r="R68" s="63"/>
      <c r="S68" s="63"/>
      <c r="T68" s="63"/>
      <c r="U68" s="63"/>
      <c r="V68" s="63"/>
      <c r="W68" s="63"/>
      <c r="X68" s="63"/>
      <c r="Y68" s="63"/>
      <c r="Z68" s="63"/>
      <c r="AA68" s="63"/>
      <c r="AB68" s="63"/>
      <c r="AC68" s="63"/>
      <c r="AD68" s="63"/>
      <c r="AE68" s="63"/>
      <c r="AF68" s="63"/>
    </row>
    <row r="69" hidden="1">
      <c r="A69" s="69"/>
      <c r="B69" s="70" t="s">
        <v>96</v>
      </c>
      <c r="C69" s="65"/>
      <c r="D69" s="71"/>
      <c r="E69" s="71"/>
      <c r="F69" s="77"/>
      <c r="G69" s="75"/>
      <c r="H69" s="65"/>
      <c r="I69" s="71"/>
      <c r="J69" s="76"/>
      <c r="K69" s="76"/>
      <c r="L69" s="63"/>
      <c r="M69" s="63" t="b">
        <v>0</v>
      </c>
      <c r="N69" s="63" t="b">
        <v>0</v>
      </c>
      <c r="O69" s="63"/>
      <c r="P69" s="63"/>
      <c r="Q69" s="63"/>
      <c r="R69" s="63"/>
      <c r="S69" s="63"/>
      <c r="T69" s="63"/>
      <c r="U69" s="63"/>
      <c r="V69" s="63"/>
      <c r="W69" s="63"/>
      <c r="X69" s="63"/>
      <c r="Y69" s="63"/>
      <c r="Z69" s="63"/>
      <c r="AA69" s="63"/>
      <c r="AB69" s="63"/>
      <c r="AC69" s="63"/>
      <c r="AD69" s="63"/>
      <c r="AE69" s="63"/>
      <c r="AF69" s="63"/>
    </row>
    <row r="70" hidden="1">
      <c r="A70" s="69"/>
      <c r="B70" s="70" t="s">
        <v>96</v>
      </c>
      <c r="C70" s="100" t="s">
        <v>538</v>
      </c>
      <c r="D70" s="87" t="s">
        <v>2264</v>
      </c>
      <c r="E70" s="87" t="s">
        <v>2265</v>
      </c>
      <c r="F70" s="88" t="s">
        <v>2909</v>
      </c>
      <c r="G70" s="89" t="s">
        <v>3022</v>
      </c>
      <c r="H70" s="90" t="s">
        <v>3023</v>
      </c>
      <c r="I70" s="87" t="s">
        <v>2267</v>
      </c>
      <c r="J70" s="65" t="s">
        <v>2994</v>
      </c>
      <c r="K70" s="59"/>
      <c r="L70" s="63">
        <f>VLOOKUP(D70,'Hedef Liste'!A:I,8,false)</f>
        <v>86</v>
      </c>
      <c r="M70" s="63" t="b">
        <v>0</v>
      </c>
      <c r="N70" s="63" t="b">
        <v>0</v>
      </c>
      <c r="O70" s="63"/>
      <c r="P70" s="63"/>
      <c r="Q70" s="63"/>
      <c r="R70" s="63"/>
      <c r="S70" s="63"/>
      <c r="T70" s="63"/>
      <c r="U70" s="63"/>
      <c r="V70" s="63"/>
      <c r="W70" s="63"/>
      <c r="X70" s="63"/>
      <c r="Y70" s="63"/>
      <c r="Z70" s="63"/>
      <c r="AA70" s="63"/>
      <c r="AB70" s="63"/>
      <c r="AC70" s="63"/>
      <c r="AD70" s="63"/>
      <c r="AE70" s="63"/>
      <c r="AF70" s="63"/>
    </row>
    <row r="71" hidden="1">
      <c r="A71" s="79"/>
      <c r="B71" s="59"/>
      <c r="C71" s="65"/>
      <c r="D71" s="71"/>
      <c r="E71" s="71"/>
      <c r="F71" s="114"/>
      <c r="G71" s="76"/>
      <c r="H71" s="76"/>
      <c r="I71" s="71"/>
      <c r="J71" s="76"/>
      <c r="K71" s="76"/>
      <c r="L71" s="63"/>
      <c r="M71" s="63" t="b">
        <v>0</v>
      </c>
      <c r="N71" s="63" t="b">
        <v>0</v>
      </c>
      <c r="O71" s="63"/>
      <c r="P71" s="63"/>
      <c r="Q71" s="63"/>
      <c r="R71" s="63"/>
      <c r="S71" s="63"/>
      <c r="T71" s="63"/>
      <c r="U71" s="63"/>
      <c r="V71" s="63"/>
      <c r="W71" s="63"/>
      <c r="X71" s="63"/>
      <c r="Y71" s="63"/>
      <c r="Z71" s="63"/>
      <c r="AA71" s="63"/>
      <c r="AB71" s="63"/>
      <c r="AC71" s="63"/>
      <c r="AD71" s="63"/>
      <c r="AE71" s="63"/>
      <c r="AF71" s="63"/>
    </row>
    <row r="72" hidden="1">
      <c r="A72" s="58"/>
      <c r="B72" s="58">
        <v>44299.0</v>
      </c>
      <c r="C72" s="59"/>
      <c r="D72" s="60"/>
      <c r="E72" s="61"/>
      <c r="F72" s="61"/>
      <c r="G72" s="61"/>
      <c r="H72" s="61"/>
      <c r="I72" s="61"/>
      <c r="J72" s="61"/>
      <c r="K72" s="62"/>
      <c r="L72" s="63"/>
      <c r="M72" s="63"/>
      <c r="N72" s="63"/>
      <c r="O72" s="63"/>
      <c r="P72" s="63"/>
      <c r="Q72" s="63"/>
      <c r="R72" s="63"/>
      <c r="S72" s="63"/>
      <c r="T72" s="63"/>
      <c r="U72" s="63"/>
      <c r="V72" s="63"/>
      <c r="W72" s="63"/>
      <c r="X72" s="63"/>
      <c r="Y72" s="63"/>
      <c r="Z72" s="63"/>
      <c r="AA72" s="63"/>
      <c r="AB72" s="63"/>
      <c r="AC72" s="63"/>
      <c r="AD72" s="63"/>
      <c r="AE72" s="63"/>
      <c r="AF72" s="63"/>
    </row>
    <row r="73" hidden="1">
      <c r="A73" s="64" t="s">
        <v>47</v>
      </c>
      <c r="B73" s="59"/>
      <c r="C73" s="65"/>
      <c r="D73" s="66"/>
      <c r="E73" s="71" t="s">
        <v>2959</v>
      </c>
      <c r="F73" s="67"/>
      <c r="G73" s="68"/>
      <c r="H73" s="66"/>
      <c r="I73" s="66"/>
      <c r="J73" s="59"/>
      <c r="K73" s="59"/>
      <c r="L73" s="63"/>
      <c r="M73" s="63" t="b">
        <v>0</v>
      </c>
      <c r="N73" s="63" t="b">
        <v>0</v>
      </c>
      <c r="O73" s="63"/>
      <c r="P73" s="63"/>
      <c r="Q73" s="63"/>
      <c r="R73" s="63"/>
      <c r="S73" s="63"/>
      <c r="T73" s="63"/>
      <c r="U73" s="63"/>
      <c r="V73" s="63"/>
      <c r="W73" s="63"/>
      <c r="X73" s="63"/>
      <c r="Y73" s="63"/>
      <c r="Z73" s="63"/>
      <c r="AA73" s="63"/>
      <c r="AB73" s="63"/>
      <c r="AC73" s="63"/>
      <c r="AD73" s="63"/>
      <c r="AE73" s="63"/>
      <c r="AF73" s="63"/>
    </row>
    <row r="74" hidden="1">
      <c r="A74" s="69"/>
      <c r="B74" s="70" t="s">
        <v>96</v>
      </c>
      <c r="C74" s="16" t="s">
        <v>568</v>
      </c>
      <c r="D74" s="71" t="s">
        <v>1740</v>
      </c>
      <c r="E74" s="71" t="s">
        <v>3024</v>
      </c>
      <c r="F74" s="72">
        <v>0.6458333333333334</v>
      </c>
      <c r="G74" s="73" t="s">
        <v>3025</v>
      </c>
      <c r="H74" s="74" t="s">
        <v>3026</v>
      </c>
      <c r="I74" s="71" t="s">
        <v>1743</v>
      </c>
      <c r="J74" s="59"/>
      <c r="K74" s="59"/>
      <c r="L74" s="63">
        <f>VLOOKUP(D74,'Hedef Liste'!A:I,8,false)</f>
        <v>7</v>
      </c>
      <c r="M74" s="63" t="b">
        <v>0</v>
      </c>
      <c r="N74" s="63" t="b">
        <v>0</v>
      </c>
      <c r="O74" s="63"/>
      <c r="P74" s="63"/>
      <c r="Q74" s="63"/>
      <c r="R74" s="63"/>
      <c r="S74" s="63"/>
      <c r="T74" s="63"/>
      <c r="U74" s="63"/>
      <c r="V74" s="63"/>
      <c r="W74" s="63"/>
      <c r="X74" s="63"/>
      <c r="Y74" s="63"/>
      <c r="Z74" s="63"/>
      <c r="AA74" s="63"/>
      <c r="AB74" s="63"/>
      <c r="AC74" s="63"/>
      <c r="AD74" s="63"/>
      <c r="AE74" s="63"/>
      <c r="AF74" s="63"/>
    </row>
    <row r="75" hidden="1">
      <c r="A75" s="69"/>
      <c r="B75" s="70" t="s">
        <v>96</v>
      </c>
      <c r="C75" s="100" t="s">
        <v>95</v>
      </c>
      <c r="D75" s="87" t="s">
        <v>393</v>
      </c>
      <c r="E75" s="87" t="s">
        <v>394</v>
      </c>
      <c r="F75" s="88" t="s">
        <v>3027</v>
      </c>
      <c r="G75" s="89" t="s">
        <v>2998</v>
      </c>
      <c r="H75" s="100" t="s">
        <v>2999</v>
      </c>
      <c r="I75" s="87" t="s">
        <v>396</v>
      </c>
      <c r="J75" s="59"/>
      <c r="K75" s="59"/>
      <c r="L75" s="63">
        <f>VLOOKUP(D75,'Hedef Liste'!A:I,8,false)</f>
        <v>9</v>
      </c>
      <c r="M75" s="63" t="b">
        <v>0</v>
      </c>
      <c r="N75" s="63" t="b">
        <v>0</v>
      </c>
      <c r="O75" s="63"/>
      <c r="P75" s="63"/>
      <c r="Q75" s="63"/>
      <c r="R75" s="63"/>
      <c r="S75" s="63"/>
      <c r="T75" s="63"/>
      <c r="U75" s="63"/>
      <c r="V75" s="63"/>
      <c r="W75" s="63"/>
      <c r="X75" s="63"/>
      <c r="Y75" s="63"/>
      <c r="Z75" s="63"/>
      <c r="AA75" s="63"/>
      <c r="AB75" s="63"/>
      <c r="AC75" s="63"/>
      <c r="AD75" s="63"/>
      <c r="AE75" s="63"/>
      <c r="AF75" s="63"/>
    </row>
    <row r="76" hidden="1">
      <c r="A76" s="69"/>
      <c r="B76" s="70" t="s">
        <v>96</v>
      </c>
      <c r="C76" s="16" t="s">
        <v>568</v>
      </c>
      <c r="D76" s="71" t="s">
        <v>3028</v>
      </c>
      <c r="E76" s="71" t="s">
        <v>1182</v>
      </c>
      <c r="F76" s="72">
        <v>0.7083333333333334</v>
      </c>
      <c r="G76" s="73" t="s">
        <v>3029</v>
      </c>
      <c r="H76" s="74" t="s">
        <v>3030</v>
      </c>
      <c r="I76" s="74" t="s">
        <v>3031</v>
      </c>
      <c r="J76" s="59"/>
      <c r="K76" s="59"/>
      <c r="L76" s="63" t="str">
        <f>VLOOKUP(D76,'Hedef Liste'!A:I,8,false)</f>
        <v>#N/A</v>
      </c>
      <c r="M76" s="63" t="b">
        <v>0</v>
      </c>
      <c r="N76" s="63" t="b">
        <v>0</v>
      </c>
      <c r="O76" s="63"/>
      <c r="P76" s="63"/>
      <c r="Q76" s="63"/>
      <c r="R76" s="63"/>
      <c r="S76" s="63"/>
      <c r="T76" s="63"/>
      <c r="U76" s="63"/>
      <c r="V76" s="63"/>
      <c r="W76" s="63"/>
      <c r="X76" s="63"/>
      <c r="Y76" s="63"/>
      <c r="Z76" s="63"/>
      <c r="AA76" s="63"/>
      <c r="AB76" s="63"/>
      <c r="AC76" s="63"/>
      <c r="AD76" s="63"/>
      <c r="AE76" s="63"/>
      <c r="AF76" s="63"/>
    </row>
    <row r="77" hidden="1">
      <c r="A77" s="69"/>
      <c r="B77" s="70" t="s">
        <v>96</v>
      </c>
      <c r="C77" s="65" t="s">
        <v>95</v>
      </c>
      <c r="D77" s="71" t="s">
        <v>2203</v>
      </c>
      <c r="E77" s="71" t="s">
        <v>2204</v>
      </c>
      <c r="F77" s="72">
        <v>0.7708333333333334</v>
      </c>
      <c r="G77" s="73" t="s">
        <v>3032</v>
      </c>
      <c r="H77" s="74" t="s">
        <v>3033</v>
      </c>
      <c r="I77" s="71" t="s">
        <v>2206</v>
      </c>
      <c r="J77" s="59"/>
      <c r="K77" s="59"/>
      <c r="L77" s="63">
        <f>VLOOKUP(D77,'Hedef Liste'!A:I,8,false)</f>
        <v>16</v>
      </c>
      <c r="M77" s="63" t="b">
        <v>0</v>
      </c>
      <c r="N77" s="63" t="b">
        <v>0</v>
      </c>
      <c r="O77" s="63"/>
      <c r="P77" s="63"/>
      <c r="Q77" s="63"/>
      <c r="R77" s="63"/>
      <c r="S77" s="63"/>
      <c r="T77" s="63"/>
      <c r="U77" s="63"/>
      <c r="V77" s="63"/>
      <c r="W77" s="63"/>
      <c r="X77" s="63"/>
      <c r="Y77" s="63"/>
      <c r="Z77" s="63"/>
      <c r="AA77" s="63"/>
      <c r="AB77" s="63"/>
      <c r="AC77" s="63"/>
      <c r="AD77" s="63"/>
      <c r="AE77" s="63"/>
      <c r="AF77" s="63"/>
    </row>
    <row r="78" hidden="1">
      <c r="A78" s="79"/>
      <c r="B78" s="59"/>
      <c r="C78" s="59"/>
      <c r="D78" s="76"/>
      <c r="E78" s="76"/>
      <c r="F78" s="94"/>
      <c r="G78" s="76"/>
      <c r="H78" s="76"/>
      <c r="I78" s="76"/>
      <c r="J78" s="76"/>
      <c r="K78" s="76"/>
      <c r="L78" s="63"/>
      <c r="M78" s="63" t="b">
        <v>0</v>
      </c>
      <c r="N78" s="63" t="b">
        <v>0</v>
      </c>
      <c r="O78" s="63"/>
      <c r="P78" s="63"/>
      <c r="Q78" s="63"/>
      <c r="R78" s="63"/>
      <c r="S78" s="63"/>
      <c r="T78" s="63"/>
      <c r="U78" s="63"/>
      <c r="V78" s="63"/>
      <c r="W78" s="63"/>
      <c r="X78" s="63"/>
      <c r="Y78" s="63"/>
      <c r="Z78" s="63"/>
      <c r="AA78" s="63"/>
      <c r="AB78" s="63"/>
      <c r="AC78" s="63"/>
      <c r="AD78" s="63"/>
      <c r="AE78" s="63"/>
      <c r="AF78" s="63"/>
    </row>
    <row r="79" hidden="1">
      <c r="A79" s="58"/>
      <c r="B79" s="58">
        <v>44300.0</v>
      </c>
      <c r="C79" s="59"/>
      <c r="D79" s="60"/>
      <c r="E79" s="61"/>
      <c r="F79" s="61"/>
      <c r="G79" s="61"/>
      <c r="H79" s="61"/>
      <c r="I79" s="61"/>
      <c r="J79" s="61"/>
      <c r="K79" s="62"/>
      <c r="L79" s="63"/>
      <c r="M79" s="63"/>
      <c r="N79" s="63"/>
      <c r="O79" s="63"/>
      <c r="P79" s="63"/>
      <c r="Q79" s="63"/>
      <c r="R79" s="63"/>
      <c r="S79" s="63"/>
      <c r="T79" s="63"/>
      <c r="U79" s="63"/>
      <c r="V79" s="63"/>
      <c r="W79" s="63"/>
      <c r="X79" s="63"/>
      <c r="Y79" s="63"/>
      <c r="Z79" s="63"/>
      <c r="AA79" s="63"/>
      <c r="AB79" s="63"/>
      <c r="AC79" s="63"/>
      <c r="AD79" s="63"/>
      <c r="AE79" s="63"/>
      <c r="AF79" s="63"/>
    </row>
    <row r="80" hidden="1">
      <c r="A80" s="64" t="s">
        <v>47</v>
      </c>
      <c r="B80" s="59"/>
      <c r="C80" s="65"/>
      <c r="D80" s="66"/>
      <c r="E80" s="66"/>
      <c r="F80" s="67"/>
      <c r="G80" s="68"/>
      <c r="H80" s="66"/>
      <c r="I80" s="66"/>
      <c r="J80" s="59"/>
      <c r="K80" s="59"/>
      <c r="L80" s="63"/>
      <c r="M80" s="63" t="b">
        <v>0</v>
      </c>
      <c r="N80" s="63" t="b">
        <v>0</v>
      </c>
      <c r="O80" s="63"/>
      <c r="P80" s="63"/>
      <c r="Q80" s="63"/>
      <c r="R80" s="63"/>
      <c r="S80" s="63"/>
      <c r="T80" s="63"/>
      <c r="U80" s="63"/>
      <c r="V80" s="63"/>
      <c r="W80" s="63"/>
      <c r="X80" s="63"/>
      <c r="Y80" s="63"/>
      <c r="Z80" s="63"/>
      <c r="AA80" s="63"/>
      <c r="AB80" s="63"/>
      <c r="AC80" s="63"/>
      <c r="AD80" s="63"/>
      <c r="AE80" s="63"/>
      <c r="AF80" s="63"/>
    </row>
    <row r="81" hidden="1">
      <c r="A81" s="69"/>
      <c r="B81" s="70" t="s">
        <v>569</v>
      </c>
      <c r="C81" s="65" t="s">
        <v>181</v>
      </c>
      <c r="D81" s="71" t="s">
        <v>1168</v>
      </c>
      <c r="E81" s="71" t="s">
        <v>1169</v>
      </c>
      <c r="F81" s="95" t="s">
        <v>3034</v>
      </c>
      <c r="G81" s="73" t="s">
        <v>3035</v>
      </c>
      <c r="H81" s="74" t="s">
        <v>3036</v>
      </c>
      <c r="I81" s="71" t="s">
        <v>1170</v>
      </c>
      <c r="J81" s="65" t="s">
        <v>3037</v>
      </c>
      <c r="K81" s="59"/>
      <c r="L81" s="63">
        <f>VLOOKUP(D81,'Hedef Liste'!A:I,8,false)</f>
        <v>32</v>
      </c>
      <c r="M81" s="63" t="b">
        <v>0</v>
      </c>
      <c r="N81" s="63" t="b">
        <v>0</v>
      </c>
      <c r="O81" s="63"/>
      <c r="P81" s="63"/>
      <c r="Q81" s="63"/>
      <c r="R81" s="63"/>
      <c r="S81" s="63"/>
      <c r="T81" s="63"/>
      <c r="U81" s="63"/>
      <c r="V81" s="63"/>
      <c r="W81" s="63"/>
      <c r="X81" s="63"/>
      <c r="Y81" s="63"/>
      <c r="Z81" s="63"/>
      <c r="AA81" s="63"/>
      <c r="AB81" s="63"/>
      <c r="AC81" s="63"/>
      <c r="AD81" s="63"/>
      <c r="AE81" s="63"/>
      <c r="AF81" s="63"/>
    </row>
    <row r="82" hidden="1">
      <c r="A82" s="69"/>
      <c r="B82" s="70" t="s">
        <v>569</v>
      </c>
      <c r="C82" s="80" t="s">
        <v>86</v>
      </c>
      <c r="D82" s="81" t="s">
        <v>3038</v>
      </c>
      <c r="E82" s="81" t="s">
        <v>3039</v>
      </c>
      <c r="F82" s="119" t="s">
        <v>3040</v>
      </c>
      <c r="G82" s="83" t="s">
        <v>3041</v>
      </c>
      <c r="H82" s="81" t="s">
        <v>3042</v>
      </c>
      <c r="I82" s="81" t="s">
        <v>3043</v>
      </c>
      <c r="J82" s="85"/>
      <c r="K82" s="85"/>
      <c r="L82" s="63" t="str">
        <f>VLOOKUP(D82,'Hedef Liste'!A:I,8,false)</f>
        <v>#N/A</v>
      </c>
      <c r="M82" s="63" t="b">
        <v>0</v>
      </c>
      <c r="N82" s="63" t="b">
        <v>0</v>
      </c>
      <c r="O82" s="63"/>
      <c r="P82" s="63"/>
      <c r="Q82" s="63"/>
      <c r="R82" s="63"/>
      <c r="S82" s="63"/>
      <c r="T82" s="63"/>
      <c r="U82" s="63"/>
      <c r="V82" s="63"/>
      <c r="W82" s="63"/>
      <c r="X82" s="63"/>
      <c r="Y82" s="63"/>
      <c r="Z82" s="63"/>
      <c r="AA82" s="63"/>
      <c r="AB82" s="63"/>
      <c r="AC82" s="63"/>
      <c r="AD82" s="63"/>
      <c r="AE82" s="63"/>
      <c r="AF82" s="63"/>
    </row>
    <row r="83" hidden="1">
      <c r="A83" s="69"/>
      <c r="B83" s="70" t="s">
        <v>569</v>
      </c>
      <c r="C83" s="80" t="s">
        <v>86</v>
      </c>
      <c r="D83" s="81" t="s">
        <v>712</v>
      </c>
      <c r="E83" s="81" t="s">
        <v>713</v>
      </c>
      <c r="F83" s="82" t="s">
        <v>3044</v>
      </c>
      <c r="G83" s="83" t="s">
        <v>3041</v>
      </c>
      <c r="H83" s="80" t="s">
        <v>3045</v>
      </c>
      <c r="I83" s="81" t="s">
        <v>715</v>
      </c>
      <c r="J83" s="80" t="s">
        <v>3046</v>
      </c>
      <c r="K83" s="59"/>
      <c r="L83" s="63">
        <f>VLOOKUP(D83,'Hedef Liste'!A:I,8,false)</f>
        <v>23</v>
      </c>
      <c r="M83" s="63" t="b">
        <v>0</v>
      </c>
      <c r="N83" s="63" t="b">
        <v>0</v>
      </c>
      <c r="O83" s="63"/>
      <c r="P83" s="63"/>
      <c r="Q83" s="63"/>
      <c r="R83" s="63"/>
      <c r="S83" s="63"/>
      <c r="T83" s="63"/>
      <c r="U83" s="63"/>
      <c r="V83" s="63"/>
      <c r="W83" s="63"/>
      <c r="X83" s="63"/>
      <c r="Y83" s="63"/>
      <c r="Z83" s="63"/>
      <c r="AA83" s="63"/>
      <c r="AB83" s="63"/>
      <c r="AC83" s="63"/>
      <c r="AD83" s="63"/>
      <c r="AE83" s="63"/>
      <c r="AF83" s="63"/>
    </row>
    <row r="84" hidden="1">
      <c r="A84" s="69"/>
      <c r="B84" s="70" t="s">
        <v>569</v>
      </c>
      <c r="C84" s="78" t="s">
        <v>86</v>
      </c>
      <c r="D84" s="71" t="s">
        <v>3047</v>
      </c>
      <c r="E84" s="71" t="s">
        <v>3048</v>
      </c>
      <c r="F84" s="77" t="s">
        <v>3049</v>
      </c>
      <c r="G84" s="75" t="s">
        <v>3050</v>
      </c>
      <c r="H84" s="76" t="s">
        <v>3051</v>
      </c>
      <c r="I84" s="71" t="s">
        <v>885</v>
      </c>
      <c r="J84" s="59"/>
      <c r="K84" s="59"/>
      <c r="L84" s="63" t="str">
        <f>VLOOKUP(D84,'Hedef Liste'!A:I,8,false)</f>
        <v>#N/A</v>
      </c>
      <c r="M84" s="63" t="b">
        <v>0</v>
      </c>
      <c r="N84" s="63" t="b">
        <v>0</v>
      </c>
      <c r="O84" s="63"/>
      <c r="P84" s="63"/>
      <c r="Q84" s="63"/>
      <c r="R84" s="63"/>
      <c r="S84" s="63"/>
      <c r="T84" s="63"/>
      <c r="U84" s="63"/>
      <c r="V84" s="63"/>
      <c r="W84" s="63"/>
      <c r="X84" s="63"/>
      <c r="Y84" s="63"/>
      <c r="Z84" s="63"/>
      <c r="AA84" s="63"/>
      <c r="AB84" s="63"/>
      <c r="AC84" s="63"/>
      <c r="AD84" s="63"/>
      <c r="AE84" s="63"/>
      <c r="AF84" s="63"/>
    </row>
    <row r="85" hidden="1">
      <c r="A85" s="79"/>
      <c r="B85" s="59"/>
      <c r="C85" s="65"/>
      <c r="D85" s="71"/>
      <c r="E85" s="71"/>
      <c r="F85" s="114"/>
      <c r="G85" s="76"/>
      <c r="H85" s="76"/>
      <c r="I85" s="71"/>
      <c r="J85" s="76"/>
      <c r="K85" s="76"/>
      <c r="L85" s="63"/>
      <c r="M85" s="63" t="b">
        <v>0</v>
      </c>
      <c r="N85" s="63" t="b">
        <v>0</v>
      </c>
      <c r="O85" s="63"/>
      <c r="P85" s="63"/>
      <c r="Q85" s="63"/>
      <c r="R85" s="63"/>
      <c r="S85" s="63"/>
      <c r="T85" s="63"/>
      <c r="U85" s="63"/>
      <c r="V85" s="63"/>
      <c r="W85" s="63"/>
      <c r="X85" s="63"/>
      <c r="Y85" s="63"/>
      <c r="Z85" s="63"/>
      <c r="AA85" s="63"/>
      <c r="AB85" s="63"/>
      <c r="AC85" s="63"/>
      <c r="AD85" s="63"/>
      <c r="AE85" s="63"/>
      <c r="AF85" s="63"/>
    </row>
    <row r="86" hidden="1">
      <c r="A86" s="64" t="s">
        <v>47</v>
      </c>
      <c r="B86" s="59"/>
      <c r="C86" s="65"/>
      <c r="D86" s="66"/>
      <c r="E86" s="71"/>
      <c r="F86" s="67"/>
      <c r="G86" s="68"/>
      <c r="H86" s="66"/>
      <c r="I86" s="66"/>
      <c r="J86" s="59"/>
      <c r="K86" s="59"/>
      <c r="L86" s="63"/>
      <c r="M86" s="63" t="b">
        <v>0</v>
      </c>
      <c r="N86" s="63" t="b">
        <v>0</v>
      </c>
      <c r="O86" s="63"/>
      <c r="P86" s="63"/>
      <c r="Q86" s="63"/>
      <c r="R86" s="63"/>
      <c r="S86" s="63"/>
      <c r="T86" s="63"/>
      <c r="U86" s="63"/>
      <c r="V86" s="63"/>
      <c r="W86" s="63"/>
      <c r="X86" s="63"/>
      <c r="Y86" s="63"/>
      <c r="Z86" s="63"/>
      <c r="AA86" s="63"/>
      <c r="AB86" s="63"/>
      <c r="AC86" s="63"/>
      <c r="AD86" s="63"/>
      <c r="AE86" s="63"/>
      <c r="AF86" s="63"/>
    </row>
    <row r="87" hidden="1">
      <c r="A87" s="69"/>
      <c r="B87" s="70" t="s">
        <v>96</v>
      </c>
      <c r="C87" s="100" t="s">
        <v>181</v>
      </c>
      <c r="D87" s="87" t="s">
        <v>3052</v>
      </c>
      <c r="E87" s="87" t="s">
        <v>3053</v>
      </c>
      <c r="F87" s="120">
        <v>0.4166666666666667</v>
      </c>
      <c r="G87" s="98" t="s">
        <v>3054</v>
      </c>
      <c r="H87" s="99" t="s">
        <v>3055</v>
      </c>
      <c r="I87" s="87" t="s">
        <v>1871</v>
      </c>
      <c r="J87" s="65" t="s">
        <v>3056</v>
      </c>
      <c r="K87" s="59"/>
      <c r="L87" s="63" t="str">
        <f>VLOOKUP(D87,'Hedef Liste'!A:I,8,false)</f>
        <v>#N/A</v>
      </c>
      <c r="M87" s="63" t="b">
        <v>0</v>
      </c>
      <c r="N87" s="63" t="b">
        <v>0</v>
      </c>
      <c r="O87" s="63"/>
      <c r="P87" s="63"/>
      <c r="Q87" s="63"/>
      <c r="R87" s="63"/>
      <c r="S87" s="63"/>
      <c r="T87" s="63"/>
      <c r="U87" s="63"/>
      <c r="V87" s="63"/>
      <c r="W87" s="63"/>
      <c r="X87" s="63"/>
      <c r="Y87" s="63"/>
      <c r="Z87" s="63"/>
      <c r="AA87" s="63"/>
      <c r="AB87" s="63"/>
      <c r="AC87" s="63"/>
      <c r="AD87" s="63"/>
      <c r="AE87" s="63"/>
      <c r="AF87" s="63"/>
    </row>
    <row r="88" hidden="1">
      <c r="A88" s="69"/>
      <c r="B88" s="70" t="s">
        <v>96</v>
      </c>
      <c r="C88" s="65" t="s">
        <v>181</v>
      </c>
      <c r="D88" s="105" t="s">
        <v>2618</v>
      </c>
      <c r="E88" s="105" t="s">
        <v>2619</v>
      </c>
      <c r="F88" s="77" t="s">
        <v>3057</v>
      </c>
      <c r="G88" s="111" t="s">
        <v>2982</v>
      </c>
      <c r="H88" s="105" t="s">
        <v>2983</v>
      </c>
      <c r="I88" s="121" t="s">
        <v>2621</v>
      </c>
      <c r="J88" s="29" t="s">
        <v>3058</v>
      </c>
      <c r="K88" s="107"/>
      <c r="L88" s="63">
        <f>VLOOKUP(D88,'Hedef Liste'!A:I,8,false)</f>
        <v>8</v>
      </c>
      <c r="M88" s="63" t="b">
        <v>0</v>
      </c>
      <c r="N88" s="63" t="b">
        <v>0</v>
      </c>
      <c r="O88" s="63"/>
      <c r="P88" s="63"/>
      <c r="Q88" s="63"/>
      <c r="R88" s="63"/>
      <c r="S88" s="63"/>
      <c r="T88" s="63"/>
      <c r="U88" s="63"/>
      <c r="V88" s="63"/>
      <c r="W88" s="63"/>
      <c r="X88" s="63"/>
      <c r="Y88" s="63"/>
      <c r="Z88" s="63"/>
      <c r="AA88" s="63"/>
      <c r="AB88" s="63"/>
      <c r="AC88" s="63"/>
      <c r="AD88" s="63"/>
      <c r="AE88" s="63"/>
      <c r="AF88" s="63"/>
    </row>
    <row r="89" hidden="1">
      <c r="A89" s="69"/>
      <c r="B89" s="70" t="s">
        <v>96</v>
      </c>
      <c r="C89" s="100" t="s">
        <v>181</v>
      </c>
      <c r="D89" s="87" t="s">
        <v>804</v>
      </c>
      <c r="E89" s="87" t="s">
        <v>805</v>
      </c>
      <c r="F89" s="122" t="s">
        <v>3027</v>
      </c>
      <c r="G89" s="87" t="s">
        <v>2900</v>
      </c>
      <c r="H89" s="87" t="s">
        <v>3059</v>
      </c>
      <c r="I89" s="87" t="s">
        <v>807</v>
      </c>
      <c r="J89" s="65" t="s">
        <v>3060</v>
      </c>
      <c r="K89" s="59"/>
      <c r="L89" s="63">
        <f>VLOOKUP(D89,'Hedef Liste'!A:I,8,false)</f>
        <v>32</v>
      </c>
      <c r="M89" s="63" t="b">
        <v>0</v>
      </c>
      <c r="N89" s="63" t="b">
        <v>0</v>
      </c>
      <c r="O89" s="63"/>
      <c r="P89" s="63"/>
      <c r="Q89" s="63"/>
      <c r="R89" s="63"/>
      <c r="S89" s="63"/>
      <c r="T89" s="63"/>
      <c r="U89" s="63"/>
      <c r="V89" s="63"/>
      <c r="W89" s="63"/>
      <c r="X89" s="63"/>
      <c r="Y89" s="63"/>
      <c r="Z89" s="63"/>
      <c r="AA89" s="63"/>
      <c r="AB89" s="63"/>
      <c r="AC89" s="63"/>
      <c r="AD89" s="63"/>
      <c r="AE89" s="63"/>
      <c r="AF89" s="63"/>
    </row>
    <row r="90" hidden="1">
      <c r="A90" s="69"/>
      <c r="B90" s="70" t="s">
        <v>96</v>
      </c>
      <c r="C90" s="80" t="s">
        <v>181</v>
      </c>
      <c r="D90" s="81" t="s">
        <v>3061</v>
      </c>
      <c r="E90" s="81" t="s">
        <v>3062</v>
      </c>
      <c r="F90" s="82" t="s">
        <v>3044</v>
      </c>
      <c r="G90" s="81" t="s">
        <v>3063</v>
      </c>
      <c r="H90" s="81" t="s">
        <v>3064</v>
      </c>
      <c r="I90" s="81" t="s">
        <v>3065</v>
      </c>
      <c r="J90" s="85"/>
      <c r="K90" s="59"/>
      <c r="L90" s="63"/>
      <c r="M90" s="63" t="b">
        <v>0</v>
      </c>
      <c r="N90" s="63" t="b">
        <v>0</v>
      </c>
      <c r="O90" s="63"/>
      <c r="P90" s="63"/>
      <c r="Q90" s="63"/>
      <c r="R90" s="63"/>
      <c r="S90" s="63"/>
      <c r="T90" s="63"/>
      <c r="U90" s="63"/>
      <c r="V90" s="63"/>
      <c r="W90" s="63"/>
      <c r="X90" s="63"/>
      <c r="Y90" s="63"/>
      <c r="Z90" s="63"/>
      <c r="AA90" s="63"/>
      <c r="AB90" s="63"/>
      <c r="AC90" s="63"/>
      <c r="AD90" s="63"/>
      <c r="AE90" s="63"/>
      <c r="AF90" s="63"/>
    </row>
    <row r="91" hidden="1">
      <c r="A91" s="69"/>
      <c r="B91" s="70" t="s">
        <v>96</v>
      </c>
      <c r="C91" s="78" t="s">
        <v>181</v>
      </c>
      <c r="D91" s="71" t="s">
        <v>3066</v>
      </c>
      <c r="E91" s="71" t="s">
        <v>3067</v>
      </c>
      <c r="F91" s="123" t="s">
        <v>3068</v>
      </c>
      <c r="G91" s="71" t="s">
        <v>2900</v>
      </c>
      <c r="H91" s="71" t="s">
        <v>3069</v>
      </c>
      <c r="I91" s="71" t="s">
        <v>3070</v>
      </c>
      <c r="J91" s="59"/>
      <c r="K91" s="59"/>
      <c r="L91" s="63" t="str">
        <f>VLOOKUP(D91,'Hedef Liste'!A:I,8,false)</f>
        <v>#N/A</v>
      </c>
      <c r="M91" s="63" t="b">
        <v>0</v>
      </c>
      <c r="N91" s="63" t="b">
        <v>0</v>
      </c>
      <c r="O91" s="63"/>
      <c r="P91" s="63"/>
      <c r="Q91" s="63"/>
      <c r="R91" s="63"/>
      <c r="S91" s="63"/>
      <c r="T91" s="63"/>
      <c r="U91" s="63"/>
      <c r="V91" s="63"/>
      <c r="W91" s="63"/>
      <c r="X91" s="63"/>
      <c r="Y91" s="63"/>
      <c r="Z91" s="63"/>
      <c r="AA91" s="63"/>
      <c r="AB91" s="63"/>
      <c r="AC91" s="63"/>
      <c r="AD91" s="63"/>
      <c r="AE91" s="63"/>
      <c r="AF91" s="63"/>
    </row>
    <row r="92" hidden="1">
      <c r="A92" s="79"/>
      <c r="B92" s="70" t="s">
        <v>96</v>
      </c>
      <c r="C92" s="65" t="s">
        <v>86</v>
      </c>
      <c r="D92" s="71" t="s">
        <v>3071</v>
      </c>
      <c r="E92" s="71" t="s">
        <v>3072</v>
      </c>
      <c r="F92" s="114">
        <v>0.7083333333333334</v>
      </c>
      <c r="G92" s="76" t="s">
        <v>3073</v>
      </c>
      <c r="H92" s="76" t="s">
        <v>3074</v>
      </c>
      <c r="I92" s="76" t="s">
        <v>3075</v>
      </c>
      <c r="J92" s="76"/>
      <c r="K92" s="76"/>
      <c r="L92" s="63"/>
      <c r="M92" s="63" t="b">
        <v>0</v>
      </c>
      <c r="N92" s="63" t="b">
        <v>0</v>
      </c>
      <c r="O92" s="63"/>
      <c r="P92" s="63"/>
      <c r="Q92" s="63"/>
      <c r="R92" s="63"/>
      <c r="S92" s="63"/>
      <c r="T92" s="63"/>
      <c r="U92" s="63"/>
      <c r="V92" s="63"/>
      <c r="W92" s="63"/>
      <c r="X92" s="63"/>
      <c r="Y92" s="63"/>
      <c r="Z92" s="63"/>
      <c r="AA92" s="63"/>
      <c r="AB92" s="63"/>
      <c r="AC92" s="63"/>
      <c r="AD92" s="63"/>
      <c r="AE92" s="63"/>
      <c r="AF92" s="63"/>
    </row>
    <row r="93" hidden="1">
      <c r="A93" s="58"/>
      <c r="B93" s="58">
        <v>44301.0</v>
      </c>
      <c r="C93" s="59"/>
      <c r="D93" s="60"/>
      <c r="E93" s="61"/>
      <c r="F93" s="61"/>
      <c r="G93" s="61"/>
      <c r="H93" s="61"/>
      <c r="I93" s="61"/>
      <c r="J93" s="61"/>
      <c r="K93" s="62"/>
      <c r="L93" s="63"/>
      <c r="M93" s="63"/>
      <c r="N93" s="63"/>
      <c r="O93" s="63"/>
      <c r="P93" s="63"/>
      <c r="Q93" s="63"/>
      <c r="R93" s="63"/>
      <c r="S93" s="63"/>
      <c r="T93" s="63"/>
      <c r="U93" s="63"/>
      <c r="V93" s="63"/>
      <c r="W93" s="63"/>
      <c r="X93" s="63"/>
      <c r="Y93" s="63"/>
      <c r="Z93" s="63"/>
      <c r="AA93" s="63"/>
      <c r="AB93" s="63"/>
      <c r="AC93" s="63"/>
      <c r="AD93" s="63"/>
      <c r="AE93" s="63"/>
      <c r="AF93" s="63"/>
    </row>
    <row r="94" hidden="1">
      <c r="A94" s="64" t="s">
        <v>47</v>
      </c>
      <c r="B94" s="59"/>
      <c r="C94" s="65"/>
      <c r="D94" s="66"/>
      <c r="E94" s="71" t="s">
        <v>2959</v>
      </c>
      <c r="F94" s="67"/>
      <c r="G94" s="68"/>
      <c r="H94" s="66"/>
      <c r="I94" s="66"/>
      <c r="J94" s="59"/>
      <c r="K94" s="59"/>
      <c r="L94" s="63"/>
      <c r="M94" s="63" t="b">
        <v>0</v>
      </c>
      <c r="N94" s="63" t="b">
        <v>0</v>
      </c>
      <c r="O94" s="63"/>
      <c r="P94" s="63"/>
      <c r="Q94" s="63"/>
      <c r="R94" s="63"/>
      <c r="S94" s="63"/>
      <c r="T94" s="63"/>
      <c r="U94" s="63"/>
      <c r="V94" s="63"/>
      <c r="W94" s="63"/>
      <c r="X94" s="63"/>
      <c r="Y94" s="63"/>
      <c r="Z94" s="63"/>
      <c r="AA94" s="63"/>
      <c r="AB94" s="63"/>
      <c r="AC94" s="63"/>
      <c r="AD94" s="63"/>
      <c r="AE94" s="63"/>
      <c r="AF94" s="63"/>
    </row>
    <row r="95" hidden="1">
      <c r="A95" s="69"/>
      <c r="B95" s="70" t="s">
        <v>96</v>
      </c>
      <c r="C95" s="65" t="s">
        <v>181</v>
      </c>
      <c r="D95" s="71" t="s">
        <v>3076</v>
      </c>
      <c r="E95" s="71" t="s">
        <v>3077</v>
      </c>
      <c r="F95" s="72">
        <v>0.5416666666666666</v>
      </c>
      <c r="G95" s="73" t="s">
        <v>3078</v>
      </c>
      <c r="H95" s="74" t="s">
        <v>3079</v>
      </c>
      <c r="I95" s="71" t="s">
        <v>3080</v>
      </c>
      <c r="J95" s="59"/>
      <c r="K95" s="59"/>
      <c r="L95" s="63" t="str">
        <f>VLOOKUP(D95,'Hedef Liste'!A:I,8,false)</f>
        <v>#N/A</v>
      </c>
      <c r="M95" s="63" t="b">
        <v>0</v>
      </c>
      <c r="N95" s="63" t="b">
        <v>0</v>
      </c>
      <c r="O95" s="63"/>
      <c r="P95" s="63"/>
      <c r="Q95" s="63"/>
      <c r="R95" s="63"/>
      <c r="S95" s="63"/>
      <c r="T95" s="63"/>
      <c r="U95" s="63"/>
      <c r="V95" s="63"/>
      <c r="W95" s="63"/>
      <c r="X95" s="63"/>
      <c r="Y95" s="63"/>
      <c r="Z95" s="63"/>
      <c r="AA95" s="63"/>
      <c r="AB95" s="63"/>
      <c r="AC95" s="63"/>
      <c r="AD95" s="63"/>
      <c r="AE95" s="63"/>
      <c r="AF95" s="63"/>
    </row>
    <row r="96" hidden="1">
      <c r="A96" s="69"/>
      <c r="B96" s="70" t="s">
        <v>96</v>
      </c>
      <c r="C96" s="65" t="s">
        <v>181</v>
      </c>
      <c r="D96" s="71" t="s">
        <v>2368</v>
      </c>
      <c r="E96" s="71" t="s">
        <v>2369</v>
      </c>
      <c r="F96" s="77" t="s">
        <v>2904</v>
      </c>
      <c r="G96" s="75" t="s">
        <v>3078</v>
      </c>
      <c r="H96" s="65" t="s">
        <v>3081</v>
      </c>
      <c r="I96" s="71" t="s">
        <v>2371</v>
      </c>
      <c r="J96" s="59"/>
      <c r="K96" s="59"/>
      <c r="L96" s="63">
        <f>VLOOKUP(D96,'Hedef Liste'!A:I,8,false)</f>
        <v>1</v>
      </c>
      <c r="M96" s="63" t="b">
        <v>0</v>
      </c>
      <c r="N96" s="63" t="b">
        <v>0</v>
      </c>
      <c r="O96" s="63"/>
      <c r="P96" s="63"/>
      <c r="Q96" s="63"/>
      <c r="R96" s="63"/>
      <c r="S96" s="63"/>
      <c r="T96" s="63"/>
      <c r="U96" s="63"/>
      <c r="V96" s="63"/>
      <c r="W96" s="63"/>
      <c r="X96" s="63"/>
      <c r="Y96" s="63"/>
      <c r="Z96" s="63"/>
      <c r="AA96" s="63"/>
      <c r="AB96" s="63"/>
      <c r="AC96" s="63"/>
      <c r="AD96" s="63"/>
      <c r="AE96" s="63"/>
      <c r="AF96" s="63"/>
    </row>
    <row r="97" hidden="1">
      <c r="A97" s="69"/>
      <c r="B97" s="70" t="s">
        <v>96</v>
      </c>
      <c r="C97" s="100" t="s">
        <v>181</v>
      </c>
      <c r="D97" s="87" t="s">
        <v>1017</v>
      </c>
      <c r="E97" s="87" t="s">
        <v>3082</v>
      </c>
      <c r="F97" s="88" t="s">
        <v>3083</v>
      </c>
      <c r="G97" s="87" t="s">
        <v>3084</v>
      </c>
      <c r="H97" s="87" t="s">
        <v>3085</v>
      </c>
      <c r="I97" s="87" t="s">
        <v>1019</v>
      </c>
      <c r="J97" s="65" t="s">
        <v>627</v>
      </c>
      <c r="K97" s="59"/>
      <c r="L97" s="63">
        <f>VLOOKUP(D97,'Hedef Liste'!A:I,8,false)</f>
        <v>35</v>
      </c>
      <c r="M97" s="63" t="b">
        <v>0</v>
      </c>
      <c r="N97" s="63" t="b">
        <v>0</v>
      </c>
      <c r="O97" s="63"/>
      <c r="P97" s="63"/>
      <c r="Q97" s="63"/>
      <c r="R97" s="63"/>
      <c r="S97" s="63"/>
      <c r="T97" s="63"/>
      <c r="U97" s="63"/>
      <c r="V97" s="63"/>
      <c r="W97" s="63"/>
      <c r="X97" s="63"/>
      <c r="Y97" s="63"/>
      <c r="Z97" s="63"/>
      <c r="AA97" s="63"/>
      <c r="AB97" s="63"/>
      <c r="AC97" s="63"/>
      <c r="AD97" s="63"/>
      <c r="AE97" s="63"/>
      <c r="AF97" s="63"/>
    </row>
    <row r="98" hidden="1">
      <c r="A98" s="69"/>
      <c r="B98" s="70" t="s">
        <v>96</v>
      </c>
      <c r="C98" s="78"/>
      <c r="D98" s="71"/>
      <c r="E98" s="71"/>
      <c r="F98" s="72">
        <v>0.6875</v>
      </c>
      <c r="G98" s="71"/>
      <c r="H98" s="71"/>
      <c r="I98" s="71"/>
      <c r="J98" s="59"/>
      <c r="K98" s="59"/>
      <c r="L98" s="63" t="str">
        <f>VLOOKUP(D98,'Hedef Liste'!A:I,8,false)</f>
        <v>#N/A</v>
      </c>
      <c r="M98" s="63" t="b">
        <v>0</v>
      </c>
      <c r="N98" s="63" t="b">
        <v>0</v>
      </c>
      <c r="O98" s="63"/>
      <c r="P98" s="63"/>
      <c r="Q98" s="63"/>
      <c r="R98" s="63"/>
      <c r="S98" s="63"/>
      <c r="T98" s="63"/>
      <c r="U98" s="63"/>
      <c r="V98" s="63"/>
      <c r="W98" s="63"/>
      <c r="X98" s="63"/>
      <c r="Y98" s="63"/>
      <c r="Z98" s="63"/>
      <c r="AA98" s="63"/>
      <c r="AB98" s="63"/>
      <c r="AC98" s="63"/>
      <c r="AD98" s="63"/>
      <c r="AE98" s="63"/>
      <c r="AF98" s="63"/>
    </row>
    <row r="99" hidden="1">
      <c r="A99" s="79"/>
      <c r="B99" s="59"/>
      <c r="C99" s="59"/>
      <c r="D99" s="76"/>
      <c r="E99" s="76"/>
      <c r="F99" s="94"/>
      <c r="G99" s="76"/>
      <c r="H99" s="76"/>
      <c r="I99" s="76"/>
      <c r="J99" s="76"/>
      <c r="K99" s="76"/>
      <c r="L99" s="63"/>
      <c r="M99" s="63" t="b">
        <v>0</v>
      </c>
      <c r="N99" s="63" t="b">
        <v>0</v>
      </c>
      <c r="O99" s="63"/>
      <c r="P99" s="63"/>
      <c r="Q99" s="63"/>
      <c r="R99" s="63"/>
      <c r="S99" s="63"/>
      <c r="T99" s="63"/>
      <c r="U99" s="63"/>
      <c r="V99" s="63"/>
      <c r="W99" s="63"/>
      <c r="X99" s="63"/>
      <c r="Y99" s="63"/>
      <c r="Z99" s="63"/>
      <c r="AA99" s="63"/>
      <c r="AB99" s="63"/>
      <c r="AC99" s="63"/>
      <c r="AD99" s="63"/>
      <c r="AE99" s="63"/>
      <c r="AF99" s="63"/>
    </row>
    <row r="100" hidden="1">
      <c r="A100" s="58"/>
      <c r="B100" s="58">
        <v>44302.0</v>
      </c>
      <c r="C100" s="59"/>
      <c r="D100" s="60"/>
      <c r="E100" s="61"/>
      <c r="F100" s="61"/>
      <c r="G100" s="61"/>
      <c r="H100" s="61"/>
      <c r="I100" s="61"/>
      <c r="J100" s="61"/>
      <c r="K100" s="62"/>
      <c r="L100" s="63"/>
      <c r="M100" s="63"/>
      <c r="N100" s="63"/>
      <c r="O100" s="63"/>
      <c r="P100" s="63"/>
      <c r="Q100" s="63"/>
      <c r="R100" s="63"/>
      <c r="S100" s="63"/>
      <c r="T100" s="63"/>
      <c r="U100" s="63"/>
      <c r="V100" s="63"/>
      <c r="W100" s="63"/>
      <c r="X100" s="63"/>
      <c r="Y100" s="63"/>
      <c r="Z100" s="63"/>
      <c r="AA100" s="63"/>
      <c r="AB100" s="63"/>
      <c r="AC100" s="63"/>
      <c r="AD100" s="63"/>
      <c r="AE100" s="63"/>
      <c r="AF100" s="63"/>
    </row>
    <row r="101" hidden="1">
      <c r="A101" s="64" t="s">
        <v>47</v>
      </c>
      <c r="B101" s="59"/>
      <c r="C101" s="65"/>
      <c r="D101" s="66"/>
      <c r="E101" s="66"/>
      <c r="F101" s="67"/>
      <c r="G101" s="68"/>
      <c r="H101" s="66"/>
      <c r="I101" s="66"/>
      <c r="J101" s="59"/>
      <c r="K101" s="59"/>
      <c r="L101" s="63"/>
      <c r="M101" s="63" t="b">
        <v>0</v>
      </c>
      <c r="N101" s="63" t="b">
        <v>0</v>
      </c>
      <c r="O101" s="63"/>
      <c r="P101" s="63"/>
      <c r="Q101" s="63"/>
      <c r="R101" s="63"/>
      <c r="S101" s="63"/>
      <c r="T101" s="63"/>
      <c r="U101" s="63"/>
      <c r="V101" s="63"/>
      <c r="W101" s="63"/>
      <c r="X101" s="63"/>
      <c r="Y101" s="63"/>
      <c r="Z101" s="63"/>
      <c r="AA101" s="63"/>
      <c r="AB101" s="63"/>
      <c r="AC101" s="63"/>
      <c r="AD101" s="63"/>
      <c r="AE101" s="63"/>
      <c r="AF101" s="63"/>
    </row>
    <row r="102" hidden="1">
      <c r="A102" s="69"/>
      <c r="B102" s="70" t="s">
        <v>569</v>
      </c>
      <c r="C102" s="124" t="s">
        <v>95</v>
      </c>
      <c r="D102" s="125" t="s">
        <v>858</v>
      </c>
      <c r="E102" s="125" t="s">
        <v>859</v>
      </c>
      <c r="F102" s="126">
        <v>0.4166666666666667</v>
      </c>
      <c r="G102" s="125" t="s">
        <v>3086</v>
      </c>
      <c r="H102" s="125" t="s">
        <v>3087</v>
      </c>
      <c r="I102" s="125" t="s">
        <v>860</v>
      </c>
      <c r="J102" s="125" t="s">
        <v>860</v>
      </c>
      <c r="K102" s="127"/>
      <c r="L102" s="63">
        <f>VLOOKUP(D102,'Hedef Liste'!A:I,8,false)</f>
        <v>37</v>
      </c>
      <c r="M102" s="63" t="b">
        <v>0</v>
      </c>
      <c r="N102" s="63" t="b">
        <v>0</v>
      </c>
      <c r="O102" s="63"/>
      <c r="P102" s="63"/>
      <c r="Q102" s="63"/>
      <c r="R102" s="63"/>
      <c r="S102" s="63"/>
      <c r="T102" s="63"/>
      <c r="U102" s="63"/>
      <c r="V102" s="63"/>
      <c r="W102" s="63"/>
      <c r="X102" s="63"/>
      <c r="Y102" s="63"/>
      <c r="Z102" s="63"/>
      <c r="AA102" s="63"/>
      <c r="AB102" s="63"/>
      <c r="AC102" s="63"/>
      <c r="AD102" s="63"/>
      <c r="AE102" s="63"/>
      <c r="AF102" s="63"/>
    </row>
    <row r="103" hidden="1">
      <c r="A103" s="69"/>
      <c r="B103" s="70" t="s">
        <v>569</v>
      </c>
      <c r="C103" s="65" t="s">
        <v>352</v>
      </c>
      <c r="D103" s="71" t="s">
        <v>3088</v>
      </c>
      <c r="E103" s="74" t="s">
        <v>3089</v>
      </c>
      <c r="F103" s="128">
        <v>0.5</v>
      </c>
      <c r="G103" s="71" t="s">
        <v>3090</v>
      </c>
      <c r="H103" s="71" t="s">
        <v>3091</v>
      </c>
      <c r="I103" s="74" t="s">
        <v>3092</v>
      </c>
      <c r="J103" s="59"/>
      <c r="K103" s="59"/>
      <c r="L103" s="63" t="str">
        <f>VLOOKUP(D103,'Hedef Liste'!A:I,8,false)</f>
        <v>#N/A</v>
      </c>
      <c r="M103" s="63" t="b">
        <v>0</v>
      </c>
      <c r="N103" s="63" t="b">
        <v>0</v>
      </c>
      <c r="O103" s="63"/>
      <c r="P103" s="63"/>
      <c r="Q103" s="63"/>
      <c r="R103" s="63"/>
      <c r="S103" s="63"/>
      <c r="T103" s="63"/>
      <c r="U103" s="63"/>
      <c r="V103" s="63"/>
      <c r="W103" s="63"/>
      <c r="X103" s="63"/>
      <c r="Y103" s="63"/>
      <c r="Z103" s="63"/>
      <c r="AA103" s="63"/>
      <c r="AB103" s="63"/>
      <c r="AC103" s="63"/>
      <c r="AD103" s="63"/>
      <c r="AE103" s="63"/>
      <c r="AF103" s="63"/>
    </row>
    <row r="104" hidden="1">
      <c r="A104" s="69"/>
      <c r="B104" s="70" t="s">
        <v>569</v>
      </c>
      <c r="C104" s="100" t="s">
        <v>181</v>
      </c>
      <c r="D104" s="87" t="s">
        <v>3052</v>
      </c>
      <c r="E104" s="87" t="s">
        <v>3053</v>
      </c>
      <c r="F104" s="129">
        <v>0.6041666666666666</v>
      </c>
      <c r="G104" s="98" t="s">
        <v>3054</v>
      </c>
      <c r="H104" s="99" t="s">
        <v>3055</v>
      </c>
      <c r="I104" s="87" t="s">
        <v>1871</v>
      </c>
      <c r="J104" s="65" t="s">
        <v>3093</v>
      </c>
      <c r="K104" s="59"/>
      <c r="L104" s="63" t="str">
        <f>VLOOKUP(D104,'Hedef Liste'!A:I,8,false)</f>
        <v>#N/A</v>
      </c>
      <c r="M104" s="63" t="b">
        <v>0</v>
      </c>
      <c r="N104" s="63" t="b">
        <v>0</v>
      </c>
      <c r="O104" s="63"/>
      <c r="P104" s="63"/>
      <c r="Q104" s="63"/>
      <c r="R104" s="63"/>
      <c r="S104" s="63"/>
      <c r="T104" s="63"/>
      <c r="U104" s="63"/>
      <c r="V104" s="63"/>
      <c r="W104" s="63"/>
      <c r="X104" s="63"/>
      <c r="Y104" s="63"/>
      <c r="Z104" s="63"/>
      <c r="AA104" s="63"/>
      <c r="AB104" s="63"/>
      <c r="AC104" s="63"/>
      <c r="AD104" s="63"/>
      <c r="AE104" s="63"/>
      <c r="AF104" s="63"/>
    </row>
    <row r="105" hidden="1">
      <c r="A105" s="69"/>
      <c r="B105" s="70" t="s">
        <v>569</v>
      </c>
      <c r="C105" s="65" t="s">
        <v>95</v>
      </c>
      <c r="D105" s="71" t="s">
        <v>1168</v>
      </c>
      <c r="E105" s="71" t="s">
        <v>1169</v>
      </c>
      <c r="F105" s="77" t="s">
        <v>3068</v>
      </c>
      <c r="G105" s="73" t="s">
        <v>3094</v>
      </c>
      <c r="H105" s="74" t="s">
        <v>3036</v>
      </c>
      <c r="I105" s="74" t="s">
        <v>1170</v>
      </c>
      <c r="J105" s="59"/>
      <c r="K105" s="59"/>
      <c r="L105" s="63" t="str">
        <f>VLOOKUP(#REF!,'Hedef Liste'!A:I,8,false)</f>
        <v>#REF!</v>
      </c>
      <c r="M105" s="63" t="b">
        <v>0</v>
      </c>
      <c r="N105" s="63" t="b">
        <v>0</v>
      </c>
      <c r="O105" s="63"/>
      <c r="P105" s="63"/>
      <c r="Q105" s="63"/>
      <c r="R105" s="63"/>
      <c r="S105" s="63"/>
      <c r="T105" s="63"/>
      <c r="U105" s="63"/>
      <c r="V105" s="63"/>
      <c r="W105" s="63"/>
      <c r="X105" s="63"/>
      <c r="Y105" s="63"/>
      <c r="Z105" s="63"/>
      <c r="AA105" s="63"/>
      <c r="AB105" s="63"/>
      <c r="AC105" s="63"/>
      <c r="AD105" s="63"/>
      <c r="AE105" s="63"/>
      <c r="AF105" s="63"/>
    </row>
    <row r="106" hidden="1">
      <c r="A106" s="79"/>
      <c r="B106" s="59"/>
      <c r="C106" s="65"/>
      <c r="D106" s="66"/>
      <c r="E106" s="66"/>
      <c r="F106" s="72"/>
      <c r="G106" s="68"/>
      <c r="H106" s="66"/>
      <c r="I106" s="66"/>
      <c r="J106" s="76"/>
      <c r="K106" s="76"/>
      <c r="L106" s="63"/>
      <c r="M106" s="63" t="b">
        <v>0</v>
      </c>
      <c r="N106" s="63" t="b">
        <v>0</v>
      </c>
      <c r="O106" s="63"/>
      <c r="P106" s="63"/>
      <c r="Q106" s="63"/>
      <c r="R106" s="63"/>
      <c r="S106" s="63"/>
      <c r="T106" s="63"/>
      <c r="U106" s="63"/>
      <c r="V106" s="63"/>
      <c r="W106" s="63"/>
      <c r="X106" s="63"/>
      <c r="Y106" s="63"/>
      <c r="Z106" s="63"/>
      <c r="AA106" s="63"/>
      <c r="AB106" s="63"/>
      <c r="AC106" s="63"/>
      <c r="AD106" s="63"/>
      <c r="AE106" s="63"/>
      <c r="AF106" s="63"/>
    </row>
    <row r="107" hidden="1">
      <c r="A107" s="64" t="s">
        <v>47</v>
      </c>
      <c r="B107" s="59"/>
      <c r="C107" s="65"/>
      <c r="D107" s="66"/>
      <c r="E107" s="66"/>
      <c r="F107" s="67"/>
      <c r="G107" s="68"/>
      <c r="H107" s="66"/>
      <c r="I107" s="66"/>
      <c r="J107" s="59"/>
      <c r="K107" s="59"/>
      <c r="L107" s="63"/>
      <c r="M107" s="63" t="b">
        <v>0</v>
      </c>
      <c r="N107" s="63" t="b">
        <v>0</v>
      </c>
      <c r="O107" s="63"/>
      <c r="P107" s="63"/>
      <c r="Q107" s="63"/>
      <c r="R107" s="63"/>
      <c r="S107" s="63"/>
      <c r="T107" s="63"/>
      <c r="U107" s="63"/>
      <c r="V107" s="63"/>
      <c r="W107" s="63"/>
      <c r="X107" s="63"/>
      <c r="Y107" s="63"/>
      <c r="Z107" s="63"/>
      <c r="AA107" s="63"/>
      <c r="AB107" s="63"/>
      <c r="AC107" s="63"/>
      <c r="AD107" s="63"/>
      <c r="AE107" s="63"/>
      <c r="AF107" s="63"/>
    </row>
    <row r="108" hidden="1">
      <c r="A108" s="69"/>
      <c r="B108" s="70" t="s">
        <v>96</v>
      </c>
      <c r="C108" s="65"/>
      <c r="D108" s="66"/>
      <c r="E108" s="66"/>
      <c r="F108" s="128"/>
      <c r="G108" s="68"/>
      <c r="H108" s="66"/>
      <c r="I108" s="66"/>
      <c r="J108" s="59"/>
      <c r="K108" s="59"/>
      <c r="L108" s="63" t="str">
        <f>VLOOKUP(D108,'Hedef Liste'!A:I,8,false)</f>
        <v>#N/A</v>
      </c>
      <c r="M108" s="63" t="b">
        <v>0</v>
      </c>
      <c r="N108" s="63" t="b">
        <v>0</v>
      </c>
      <c r="O108" s="63"/>
      <c r="P108" s="63"/>
      <c r="Q108" s="63"/>
      <c r="R108" s="63"/>
      <c r="S108" s="63"/>
      <c r="T108" s="63"/>
      <c r="U108" s="63"/>
      <c r="V108" s="63"/>
      <c r="W108" s="63"/>
      <c r="X108" s="63"/>
      <c r="Y108" s="63"/>
      <c r="Z108" s="63"/>
      <c r="AA108" s="63"/>
      <c r="AB108" s="63"/>
      <c r="AC108" s="63"/>
      <c r="AD108" s="63"/>
      <c r="AE108" s="63"/>
      <c r="AF108" s="63"/>
    </row>
    <row r="109" hidden="1">
      <c r="A109" s="69"/>
      <c r="B109" s="70" t="s">
        <v>96</v>
      </c>
      <c r="C109" s="65" t="s">
        <v>352</v>
      </c>
      <c r="D109" s="71" t="s">
        <v>3095</v>
      </c>
      <c r="E109" s="71" t="s">
        <v>2193</v>
      </c>
      <c r="F109" s="128">
        <v>0.5</v>
      </c>
      <c r="G109" s="73" t="s">
        <v>3096</v>
      </c>
      <c r="H109" s="74" t="s">
        <v>3097</v>
      </c>
      <c r="I109" s="74" t="s">
        <v>3098</v>
      </c>
      <c r="J109" s="59"/>
      <c r="K109" s="59"/>
      <c r="L109" s="63" t="str">
        <f>VLOOKUP(D109,'Hedef Liste'!A:I,8,false)</f>
        <v>#N/A</v>
      </c>
      <c r="M109" s="63" t="b">
        <v>0</v>
      </c>
      <c r="N109" s="63" t="b">
        <v>0</v>
      </c>
      <c r="O109" s="63"/>
      <c r="P109" s="63"/>
      <c r="Q109" s="63"/>
      <c r="R109" s="63"/>
      <c r="S109" s="63"/>
      <c r="T109" s="63"/>
      <c r="U109" s="63"/>
      <c r="V109" s="63"/>
      <c r="W109" s="63"/>
      <c r="X109" s="63"/>
      <c r="Y109" s="63"/>
      <c r="Z109" s="63"/>
      <c r="AA109" s="63"/>
      <c r="AB109" s="63"/>
      <c r="AC109" s="63"/>
      <c r="AD109" s="63"/>
      <c r="AE109" s="63"/>
      <c r="AF109" s="63"/>
    </row>
    <row r="110" hidden="1">
      <c r="A110" s="69"/>
      <c r="B110" s="70" t="s">
        <v>96</v>
      </c>
      <c r="C110" s="74" t="s">
        <v>352</v>
      </c>
      <c r="D110" s="71" t="s">
        <v>651</v>
      </c>
      <c r="E110" s="71" t="s">
        <v>652</v>
      </c>
      <c r="F110" s="72">
        <v>0.5833333333333334</v>
      </c>
      <c r="G110" s="71" t="s">
        <v>3096</v>
      </c>
      <c r="H110" s="71" t="s">
        <v>3099</v>
      </c>
      <c r="I110" s="71" t="s">
        <v>655</v>
      </c>
      <c r="J110" s="59"/>
      <c r="K110" s="59"/>
      <c r="L110" s="63">
        <f>VLOOKUP(D105,'Hedef Liste'!A:I,8,false)</f>
        <v>32</v>
      </c>
      <c r="M110" s="63" t="b">
        <v>0</v>
      </c>
      <c r="N110" s="63" t="b">
        <v>0</v>
      </c>
      <c r="O110" s="63"/>
      <c r="P110" s="63"/>
      <c r="Q110" s="63"/>
      <c r="R110" s="63"/>
      <c r="S110" s="63"/>
      <c r="T110" s="63"/>
      <c r="U110" s="63"/>
      <c r="V110" s="63"/>
      <c r="W110" s="63"/>
      <c r="X110" s="63"/>
      <c r="Y110" s="63"/>
      <c r="Z110" s="63"/>
      <c r="AA110" s="63"/>
      <c r="AB110" s="63"/>
      <c r="AC110" s="63"/>
      <c r="AD110" s="63"/>
      <c r="AE110" s="63"/>
      <c r="AF110" s="63"/>
    </row>
    <row r="111" hidden="1">
      <c r="A111" s="69"/>
      <c r="B111" s="70" t="s">
        <v>96</v>
      </c>
      <c r="C111" s="65" t="s">
        <v>352</v>
      </c>
      <c r="D111" s="71" t="s">
        <v>3100</v>
      </c>
      <c r="E111" s="71" t="s">
        <v>3101</v>
      </c>
      <c r="F111" s="77" t="s">
        <v>3068</v>
      </c>
      <c r="G111" s="73" t="s">
        <v>3096</v>
      </c>
      <c r="H111" s="74" t="s">
        <v>3102</v>
      </c>
      <c r="I111" s="71" t="s">
        <v>3103</v>
      </c>
      <c r="J111" s="59"/>
      <c r="K111" s="59"/>
      <c r="L111" s="63" t="str">
        <f>VLOOKUP(#REF!,'Hedef Liste'!A:I,8,false)</f>
        <v>#REF!</v>
      </c>
      <c r="M111" s="63" t="b">
        <v>0</v>
      </c>
      <c r="N111" s="63" t="b">
        <v>0</v>
      </c>
      <c r="O111" s="63"/>
      <c r="P111" s="63"/>
      <c r="Q111" s="63"/>
      <c r="R111" s="63"/>
      <c r="S111" s="63"/>
      <c r="T111" s="63"/>
      <c r="U111" s="63"/>
      <c r="V111" s="63"/>
      <c r="W111" s="63"/>
      <c r="X111" s="63"/>
      <c r="Y111" s="63"/>
      <c r="Z111" s="63"/>
      <c r="AA111" s="63"/>
      <c r="AB111" s="63"/>
      <c r="AC111" s="63"/>
      <c r="AD111" s="63"/>
      <c r="AE111" s="63"/>
      <c r="AF111" s="63"/>
    </row>
    <row r="112" hidden="1">
      <c r="A112" s="79"/>
      <c r="B112" s="65" t="s">
        <v>96</v>
      </c>
      <c r="C112" s="65" t="s">
        <v>352</v>
      </c>
      <c r="D112" s="74" t="s">
        <v>3104</v>
      </c>
      <c r="E112" s="71" t="s">
        <v>3105</v>
      </c>
      <c r="F112" s="72">
        <v>0.7291666666666666</v>
      </c>
      <c r="G112" s="73" t="s">
        <v>3106</v>
      </c>
      <c r="H112" s="74" t="s">
        <v>3107</v>
      </c>
      <c r="I112" s="74" t="s">
        <v>3108</v>
      </c>
      <c r="J112" s="76" t="s">
        <v>3109</v>
      </c>
      <c r="K112" s="76"/>
      <c r="L112" s="63"/>
      <c r="M112" s="63" t="b">
        <v>0</v>
      </c>
      <c r="N112" s="63" t="b">
        <v>0</v>
      </c>
      <c r="O112" s="63"/>
      <c r="P112" s="63"/>
      <c r="Q112" s="63"/>
      <c r="R112" s="63"/>
      <c r="S112" s="63"/>
      <c r="T112" s="63"/>
      <c r="U112" s="63"/>
      <c r="V112" s="63"/>
      <c r="W112" s="63"/>
      <c r="X112" s="63"/>
      <c r="Y112" s="63"/>
      <c r="Z112" s="63"/>
      <c r="AA112" s="63"/>
      <c r="AB112" s="63"/>
      <c r="AC112" s="63"/>
      <c r="AD112" s="63"/>
      <c r="AE112" s="63"/>
      <c r="AF112" s="63"/>
    </row>
    <row r="113" hidden="1">
      <c r="A113" s="58"/>
      <c r="B113" s="58">
        <v>44305.0</v>
      </c>
      <c r="C113" s="59"/>
      <c r="D113" s="60"/>
      <c r="E113" s="61"/>
      <c r="F113" s="61"/>
      <c r="G113" s="61"/>
      <c r="H113" s="61"/>
      <c r="I113" s="61"/>
      <c r="J113" s="61"/>
      <c r="K113" s="62"/>
      <c r="L113" s="63"/>
      <c r="M113" s="63"/>
      <c r="N113" s="63"/>
      <c r="O113" s="63"/>
      <c r="P113" s="63"/>
      <c r="Q113" s="63"/>
      <c r="R113" s="63"/>
      <c r="S113" s="63"/>
      <c r="T113" s="63"/>
      <c r="U113" s="63"/>
      <c r="V113" s="63"/>
      <c r="W113" s="63"/>
      <c r="X113" s="63"/>
      <c r="Y113" s="63"/>
      <c r="Z113" s="63"/>
      <c r="AA113" s="63"/>
      <c r="AB113" s="63"/>
      <c r="AC113" s="63"/>
      <c r="AD113" s="63"/>
      <c r="AE113" s="63"/>
      <c r="AF113" s="63"/>
    </row>
    <row r="114" hidden="1">
      <c r="A114" s="64" t="s">
        <v>47</v>
      </c>
      <c r="B114" s="70" t="s">
        <v>569</v>
      </c>
      <c r="C114" s="65"/>
      <c r="D114" s="71"/>
      <c r="E114" s="71"/>
      <c r="F114" s="72"/>
      <c r="G114" s="75"/>
      <c r="H114" s="71"/>
      <c r="I114" s="71"/>
      <c r="J114" s="65"/>
      <c r="K114" s="59"/>
      <c r="L114" s="63"/>
      <c r="M114" s="63" t="b">
        <v>0</v>
      </c>
      <c r="N114" s="63" t="b">
        <v>0</v>
      </c>
      <c r="O114" s="63"/>
      <c r="P114" s="63"/>
      <c r="Q114" s="63"/>
      <c r="R114" s="63"/>
      <c r="S114" s="63"/>
      <c r="T114" s="63"/>
      <c r="U114" s="63"/>
      <c r="V114" s="63"/>
      <c r="W114" s="63"/>
      <c r="X114" s="63"/>
      <c r="Y114" s="63"/>
      <c r="Z114" s="63"/>
      <c r="AA114" s="63"/>
      <c r="AB114" s="63"/>
      <c r="AC114" s="63"/>
      <c r="AD114" s="63"/>
      <c r="AE114" s="63"/>
      <c r="AF114" s="63"/>
    </row>
    <row r="115" hidden="1">
      <c r="A115" s="69"/>
      <c r="B115" s="70" t="s">
        <v>569</v>
      </c>
      <c r="C115" s="80" t="s">
        <v>568</v>
      </c>
      <c r="D115" s="81" t="s">
        <v>2554</v>
      </c>
      <c r="E115" s="81" t="s">
        <v>2555</v>
      </c>
      <c r="F115" s="96">
        <v>0.4166666666666667</v>
      </c>
      <c r="G115" s="113" t="s">
        <v>3110</v>
      </c>
      <c r="H115" s="112" t="s">
        <v>3111</v>
      </c>
      <c r="I115" s="81" t="s">
        <v>2557</v>
      </c>
      <c r="J115" s="65" t="s">
        <v>3112</v>
      </c>
      <c r="K115" s="59"/>
      <c r="L115" s="63">
        <f>VLOOKUP(D115,'Hedef Liste'!A:I,8,false)</f>
        <v>18</v>
      </c>
      <c r="M115" s="63" t="b">
        <v>0</v>
      </c>
      <c r="N115" s="63" t="b">
        <v>0</v>
      </c>
      <c r="O115" s="63"/>
      <c r="P115" s="63"/>
      <c r="Q115" s="63"/>
      <c r="R115" s="63"/>
      <c r="S115" s="63"/>
      <c r="T115" s="63"/>
      <c r="U115" s="63"/>
      <c r="V115" s="63"/>
      <c r="W115" s="63"/>
      <c r="X115" s="63"/>
      <c r="Y115" s="63"/>
      <c r="Z115" s="63"/>
      <c r="AA115" s="63"/>
      <c r="AB115" s="63"/>
      <c r="AC115" s="63"/>
      <c r="AD115" s="63"/>
      <c r="AE115" s="63"/>
      <c r="AF115" s="63"/>
    </row>
    <row r="116" hidden="1">
      <c r="A116" s="69"/>
      <c r="B116" s="70" t="s">
        <v>569</v>
      </c>
      <c r="C116" s="65"/>
      <c r="D116" s="71"/>
      <c r="E116" s="71"/>
      <c r="F116" s="103"/>
      <c r="G116" s="104"/>
      <c r="H116" s="65"/>
      <c r="I116" s="65"/>
      <c r="J116" s="105"/>
      <c r="K116" s="59"/>
      <c r="L116" s="63" t="str">
        <f>VLOOKUP(D116,'Hedef Liste'!A:I,8,false)</f>
        <v>#N/A</v>
      </c>
      <c r="M116" s="63" t="b">
        <v>0</v>
      </c>
      <c r="N116" s="63" t="b">
        <v>0</v>
      </c>
      <c r="O116" s="63"/>
      <c r="P116" s="63"/>
      <c r="Q116" s="63"/>
      <c r="R116" s="63"/>
      <c r="S116" s="63"/>
      <c r="T116" s="63"/>
      <c r="U116" s="63"/>
      <c r="V116" s="63"/>
      <c r="W116" s="63"/>
      <c r="X116" s="63"/>
      <c r="Y116" s="63"/>
      <c r="Z116" s="63"/>
      <c r="AA116" s="63"/>
      <c r="AB116" s="63"/>
      <c r="AC116" s="63"/>
      <c r="AD116" s="63"/>
      <c r="AE116" s="63"/>
      <c r="AF116" s="63"/>
    </row>
    <row r="117" hidden="1">
      <c r="A117" s="69"/>
      <c r="B117" s="70" t="s">
        <v>569</v>
      </c>
      <c r="C117" s="80" t="s">
        <v>568</v>
      </c>
      <c r="D117" s="81" t="s">
        <v>2496</v>
      </c>
      <c r="E117" s="81" t="s">
        <v>2497</v>
      </c>
      <c r="F117" s="130" t="s">
        <v>3027</v>
      </c>
      <c r="G117" s="83" t="s">
        <v>3113</v>
      </c>
      <c r="H117" s="80" t="s">
        <v>3114</v>
      </c>
      <c r="I117" s="131" t="s">
        <v>2499</v>
      </c>
      <c r="J117" s="132" t="s">
        <v>3115</v>
      </c>
      <c r="K117" s="59"/>
      <c r="L117" s="63">
        <f>VLOOKUP(D117,'Hedef Liste'!A:I,8,false)</f>
        <v>8</v>
      </c>
      <c r="M117" s="63" t="b">
        <v>0</v>
      </c>
      <c r="N117" s="63" t="b">
        <v>0</v>
      </c>
      <c r="O117" s="63"/>
      <c r="P117" s="63"/>
      <c r="Q117" s="63"/>
      <c r="R117" s="63"/>
      <c r="S117" s="63"/>
      <c r="T117" s="63"/>
      <c r="U117" s="63"/>
      <c r="V117" s="63"/>
      <c r="W117" s="63"/>
      <c r="X117" s="63"/>
      <c r="Y117" s="63"/>
      <c r="Z117" s="63"/>
      <c r="AA117" s="63"/>
      <c r="AB117" s="63"/>
      <c r="AC117" s="63"/>
      <c r="AD117" s="63"/>
      <c r="AE117" s="63"/>
      <c r="AF117" s="63"/>
    </row>
    <row r="118" hidden="1">
      <c r="A118" s="69"/>
      <c r="B118" s="70" t="s">
        <v>569</v>
      </c>
      <c r="C118" s="16"/>
      <c r="D118" s="71"/>
      <c r="E118" s="71"/>
      <c r="F118" s="118"/>
      <c r="G118" s="71"/>
      <c r="H118" s="71"/>
      <c r="I118" s="71"/>
      <c r="J118" s="66"/>
      <c r="K118" s="66"/>
      <c r="L118" s="66"/>
      <c r="M118" s="63" t="b">
        <v>0</v>
      </c>
      <c r="N118" s="63" t="b">
        <v>0</v>
      </c>
      <c r="O118" s="63"/>
      <c r="P118" s="63"/>
      <c r="Q118" s="63"/>
      <c r="R118" s="63"/>
      <c r="S118" s="63"/>
      <c r="T118" s="63"/>
      <c r="U118" s="63"/>
      <c r="V118" s="63"/>
      <c r="W118" s="63"/>
      <c r="X118" s="63"/>
      <c r="Y118" s="63"/>
      <c r="Z118" s="63"/>
      <c r="AA118" s="63"/>
      <c r="AB118" s="63"/>
      <c r="AC118" s="63"/>
      <c r="AD118" s="63"/>
      <c r="AE118" s="63"/>
      <c r="AF118" s="63"/>
    </row>
    <row r="119" hidden="1">
      <c r="A119" s="79"/>
      <c r="B119" s="59"/>
      <c r="C119" s="65"/>
      <c r="D119" s="71"/>
      <c r="E119" s="71"/>
      <c r="F119" s="114"/>
      <c r="G119" s="76"/>
      <c r="H119" s="76"/>
      <c r="I119" s="71"/>
      <c r="J119" s="76"/>
      <c r="K119" s="76"/>
      <c r="L119" s="63"/>
      <c r="M119" s="63" t="b">
        <v>0</v>
      </c>
      <c r="N119" s="63" t="b">
        <v>0</v>
      </c>
      <c r="O119" s="63"/>
      <c r="P119" s="63"/>
      <c r="Q119" s="63"/>
      <c r="R119" s="63"/>
      <c r="S119" s="63"/>
      <c r="T119" s="63"/>
      <c r="U119" s="63"/>
      <c r="V119" s="63"/>
      <c r="W119" s="63"/>
      <c r="X119" s="63"/>
      <c r="Y119" s="63"/>
      <c r="Z119" s="63"/>
      <c r="AA119" s="63"/>
      <c r="AB119" s="63"/>
      <c r="AC119" s="63"/>
      <c r="AD119" s="63"/>
      <c r="AE119" s="63"/>
      <c r="AF119" s="63"/>
    </row>
    <row r="120" hidden="1">
      <c r="A120" s="58"/>
      <c r="B120" s="58">
        <v>44306.0</v>
      </c>
      <c r="C120" s="59"/>
      <c r="D120" s="60"/>
      <c r="E120" s="61"/>
      <c r="F120" s="61"/>
      <c r="G120" s="61"/>
      <c r="H120" s="61"/>
      <c r="I120" s="61"/>
      <c r="J120" s="61"/>
      <c r="K120" s="62"/>
      <c r="L120" s="63"/>
      <c r="M120" s="63"/>
      <c r="N120" s="63"/>
      <c r="O120" s="63"/>
      <c r="P120" s="63"/>
      <c r="Q120" s="63"/>
      <c r="R120" s="63"/>
      <c r="S120" s="63"/>
      <c r="T120" s="63"/>
      <c r="U120" s="63"/>
      <c r="V120" s="63"/>
      <c r="W120" s="63"/>
      <c r="X120" s="63"/>
      <c r="Y120" s="63"/>
      <c r="Z120" s="63"/>
      <c r="AA120" s="63"/>
      <c r="AB120" s="63"/>
      <c r="AC120" s="63"/>
      <c r="AD120" s="63"/>
      <c r="AE120" s="63"/>
      <c r="AF120" s="63"/>
    </row>
    <row r="121" hidden="1">
      <c r="A121" s="64" t="s">
        <v>47</v>
      </c>
      <c r="B121" s="59"/>
      <c r="C121" s="65"/>
      <c r="D121" s="66"/>
      <c r="E121" s="71"/>
      <c r="F121" s="67"/>
      <c r="G121" s="68"/>
      <c r="H121" s="66"/>
      <c r="I121" s="66"/>
      <c r="J121" s="59"/>
      <c r="K121" s="59"/>
      <c r="L121" s="63"/>
      <c r="M121" s="63" t="b">
        <v>0</v>
      </c>
      <c r="N121" s="63" t="b">
        <v>0</v>
      </c>
      <c r="O121" s="63"/>
      <c r="P121" s="63"/>
      <c r="Q121" s="63"/>
      <c r="R121" s="63"/>
      <c r="S121" s="63"/>
      <c r="T121" s="63"/>
      <c r="U121" s="63"/>
      <c r="V121" s="63"/>
      <c r="W121" s="63"/>
      <c r="X121" s="63"/>
      <c r="Y121" s="63"/>
      <c r="Z121" s="63"/>
      <c r="AA121" s="63"/>
      <c r="AB121" s="63"/>
      <c r="AC121" s="63"/>
      <c r="AD121" s="63"/>
      <c r="AE121" s="63"/>
      <c r="AF121" s="63"/>
    </row>
    <row r="122" hidden="1">
      <c r="A122" s="69"/>
      <c r="B122" s="70" t="s">
        <v>96</v>
      </c>
      <c r="C122" s="133" t="s">
        <v>568</v>
      </c>
      <c r="D122" s="87" t="s">
        <v>1511</v>
      </c>
      <c r="E122" s="87" t="s">
        <v>1512</v>
      </c>
      <c r="F122" s="97">
        <v>0.4375</v>
      </c>
      <c r="G122" s="98" t="s">
        <v>3116</v>
      </c>
      <c r="H122" s="99" t="s">
        <v>3117</v>
      </c>
      <c r="I122" s="87" t="s">
        <v>3118</v>
      </c>
      <c r="J122" s="65" t="s">
        <v>3119</v>
      </c>
      <c r="K122" s="59"/>
      <c r="L122" s="63">
        <f>VLOOKUP(D122,'Hedef Liste'!A:I,8,false)</f>
        <v>21</v>
      </c>
      <c r="M122" s="63" t="b">
        <v>0</v>
      </c>
      <c r="N122" s="63" t="b">
        <v>0</v>
      </c>
      <c r="O122" s="63"/>
      <c r="P122" s="63"/>
      <c r="Q122" s="63"/>
      <c r="R122" s="63"/>
      <c r="S122" s="63"/>
      <c r="T122" s="63"/>
      <c r="U122" s="63"/>
      <c r="V122" s="63"/>
      <c r="W122" s="63"/>
      <c r="X122" s="63"/>
      <c r="Y122" s="63"/>
      <c r="Z122" s="63"/>
      <c r="AA122" s="63"/>
      <c r="AB122" s="63"/>
      <c r="AC122" s="63"/>
      <c r="AD122" s="63"/>
      <c r="AE122" s="63"/>
      <c r="AF122" s="63"/>
    </row>
    <row r="123" hidden="1">
      <c r="A123" s="69"/>
      <c r="B123" s="70" t="s">
        <v>96</v>
      </c>
      <c r="C123" s="100" t="s">
        <v>352</v>
      </c>
      <c r="D123" s="87" t="s">
        <v>2701</v>
      </c>
      <c r="E123" s="87" t="s">
        <v>2702</v>
      </c>
      <c r="F123" s="88" t="s">
        <v>3120</v>
      </c>
      <c r="G123" s="89" t="s">
        <v>3116</v>
      </c>
      <c r="H123" s="100" t="s">
        <v>3121</v>
      </c>
      <c r="I123" s="87" t="s">
        <v>1698</v>
      </c>
      <c r="J123" s="65" t="s">
        <v>3122</v>
      </c>
      <c r="K123" s="59"/>
      <c r="L123" s="63">
        <f>VLOOKUP(D123,'Hedef Liste'!A:I,8,false)</f>
        <v>153</v>
      </c>
      <c r="M123" s="63" t="b">
        <v>0</v>
      </c>
      <c r="N123" s="63" t="b">
        <v>0</v>
      </c>
      <c r="O123" s="63"/>
      <c r="P123" s="63"/>
      <c r="Q123" s="63"/>
      <c r="R123" s="63"/>
      <c r="S123" s="63"/>
      <c r="T123" s="63"/>
      <c r="U123" s="63"/>
      <c r="V123" s="63"/>
      <c r="W123" s="63"/>
      <c r="X123" s="63"/>
      <c r="Y123" s="63"/>
      <c r="Z123" s="63"/>
      <c r="AA123" s="63"/>
      <c r="AB123" s="63"/>
      <c r="AC123" s="63"/>
      <c r="AD123" s="63"/>
      <c r="AE123" s="63"/>
      <c r="AF123" s="63"/>
    </row>
    <row r="124" hidden="1">
      <c r="A124" s="69"/>
      <c r="B124" s="70" t="s">
        <v>96</v>
      </c>
      <c r="C124" s="65" t="s">
        <v>352</v>
      </c>
      <c r="D124" s="71" t="s">
        <v>3123</v>
      </c>
      <c r="E124" s="71" t="s">
        <v>3124</v>
      </c>
      <c r="F124" s="134" t="s">
        <v>3044</v>
      </c>
      <c r="G124" s="71" t="s">
        <v>3125</v>
      </c>
      <c r="H124" s="71" t="s">
        <v>3126</v>
      </c>
      <c r="I124" s="71" t="s">
        <v>754</v>
      </c>
      <c r="J124" s="59"/>
      <c r="K124" s="59"/>
      <c r="L124" s="63" t="str">
        <f>VLOOKUP(D124,'Hedef Liste'!A:I,8,false)</f>
        <v>#N/A</v>
      </c>
      <c r="M124" s="63" t="b">
        <v>0</v>
      </c>
      <c r="N124" s="63" t="b">
        <v>0</v>
      </c>
      <c r="O124" s="63"/>
      <c r="P124" s="63"/>
      <c r="Q124" s="63"/>
      <c r="R124" s="63"/>
      <c r="S124" s="63"/>
      <c r="T124" s="63"/>
      <c r="U124" s="63"/>
      <c r="V124" s="63"/>
      <c r="W124" s="63"/>
      <c r="X124" s="63"/>
      <c r="Y124" s="63"/>
      <c r="Z124" s="63"/>
      <c r="AA124" s="63"/>
      <c r="AB124" s="63"/>
      <c r="AC124" s="63"/>
      <c r="AD124" s="63"/>
      <c r="AE124" s="63"/>
      <c r="AF124" s="63"/>
    </row>
    <row r="125" hidden="1">
      <c r="A125" s="69"/>
      <c r="B125" s="70" t="s">
        <v>96</v>
      </c>
      <c r="C125" s="65" t="s">
        <v>352</v>
      </c>
      <c r="D125" s="71" t="s">
        <v>550</v>
      </c>
      <c r="E125" s="71" t="s">
        <v>551</v>
      </c>
      <c r="F125" s="72">
        <v>0.6666666666666666</v>
      </c>
      <c r="G125" s="71" t="s">
        <v>3127</v>
      </c>
      <c r="H125" s="71" t="s">
        <v>3128</v>
      </c>
      <c r="I125" s="71" t="s">
        <v>553</v>
      </c>
      <c r="J125" s="59"/>
      <c r="K125" s="59"/>
      <c r="L125" s="63">
        <f>VLOOKUP(D125,'Hedef Liste'!A:I,8,false)</f>
        <v>1</v>
      </c>
      <c r="M125" s="63" t="b">
        <v>0</v>
      </c>
      <c r="N125" s="63" t="b">
        <v>0</v>
      </c>
      <c r="O125" s="63"/>
      <c r="P125" s="63"/>
      <c r="Q125" s="63"/>
      <c r="R125" s="63"/>
      <c r="S125" s="63"/>
      <c r="T125" s="63"/>
      <c r="U125" s="63"/>
      <c r="V125" s="63"/>
      <c r="W125" s="63"/>
      <c r="X125" s="63"/>
      <c r="Y125" s="63"/>
      <c r="Z125" s="63"/>
      <c r="AA125" s="63"/>
      <c r="AB125" s="63"/>
      <c r="AC125" s="63"/>
      <c r="AD125" s="63"/>
      <c r="AE125" s="63"/>
      <c r="AF125" s="63"/>
    </row>
    <row r="126" hidden="1">
      <c r="A126" s="79"/>
      <c r="B126" s="59"/>
      <c r="C126" s="59"/>
      <c r="D126" s="76"/>
      <c r="E126" s="76"/>
      <c r="F126" s="94"/>
      <c r="G126" s="76"/>
      <c r="H126" s="76"/>
      <c r="I126" s="76"/>
      <c r="J126" s="76"/>
      <c r="K126" s="76"/>
      <c r="L126" s="63"/>
      <c r="M126" s="63" t="b">
        <v>0</v>
      </c>
      <c r="N126" s="63" t="b">
        <v>0</v>
      </c>
      <c r="O126" s="63"/>
      <c r="P126" s="63"/>
      <c r="Q126" s="63"/>
      <c r="R126" s="63"/>
      <c r="S126" s="63"/>
      <c r="T126" s="63"/>
      <c r="U126" s="63"/>
      <c r="V126" s="63"/>
      <c r="W126" s="63"/>
      <c r="X126" s="63"/>
      <c r="Y126" s="63"/>
      <c r="Z126" s="63"/>
      <c r="AA126" s="63"/>
      <c r="AB126" s="63"/>
      <c r="AC126" s="63"/>
      <c r="AD126" s="63"/>
      <c r="AE126" s="63"/>
      <c r="AF126" s="63"/>
    </row>
    <row r="127" hidden="1">
      <c r="A127" s="58"/>
      <c r="B127" s="58">
        <v>44307.0</v>
      </c>
      <c r="C127" s="59"/>
      <c r="D127" s="60"/>
      <c r="E127" s="61"/>
      <c r="F127" s="61"/>
      <c r="G127" s="61"/>
      <c r="H127" s="61"/>
      <c r="I127" s="61"/>
      <c r="J127" s="61"/>
      <c r="K127" s="62"/>
      <c r="L127" s="63"/>
      <c r="M127" s="63"/>
      <c r="N127" s="63"/>
      <c r="O127" s="63"/>
      <c r="P127" s="63"/>
      <c r="Q127" s="63"/>
      <c r="R127" s="63"/>
      <c r="S127" s="63"/>
      <c r="T127" s="63"/>
      <c r="U127" s="63"/>
      <c r="V127" s="63"/>
      <c r="W127" s="63"/>
      <c r="X127" s="63"/>
      <c r="Y127" s="63"/>
      <c r="Z127" s="63"/>
      <c r="AA127" s="63"/>
      <c r="AB127" s="63"/>
      <c r="AC127" s="63"/>
      <c r="AD127" s="63"/>
      <c r="AE127" s="63"/>
      <c r="AF127" s="63"/>
    </row>
    <row r="128" hidden="1">
      <c r="A128" s="64" t="s">
        <v>47</v>
      </c>
      <c r="B128" s="59"/>
      <c r="C128" s="65"/>
      <c r="D128" s="66"/>
      <c r="E128" s="66"/>
      <c r="F128" s="67"/>
      <c r="G128" s="68"/>
      <c r="H128" s="66"/>
      <c r="I128" s="66"/>
      <c r="J128" s="59"/>
      <c r="K128" s="59"/>
      <c r="L128" s="63"/>
      <c r="M128" s="63" t="b">
        <v>0</v>
      </c>
      <c r="N128" s="63" t="b">
        <v>0</v>
      </c>
      <c r="O128" s="63"/>
      <c r="P128" s="63"/>
      <c r="Q128" s="63"/>
      <c r="R128" s="63"/>
      <c r="S128" s="63"/>
      <c r="T128" s="63"/>
      <c r="U128" s="63"/>
      <c r="V128" s="63"/>
      <c r="W128" s="63"/>
      <c r="X128" s="63"/>
      <c r="Y128" s="63"/>
      <c r="Z128" s="63"/>
      <c r="AA128" s="63"/>
      <c r="AB128" s="63"/>
      <c r="AC128" s="63"/>
      <c r="AD128" s="63"/>
      <c r="AE128" s="63"/>
      <c r="AF128" s="63"/>
    </row>
    <row r="129" hidden="1">
      <c r="A129" s="69"/>
      <c r="B129" s="70" t="s">
        <v>569</v>
      </c>
      <c r="C129" s="65"/>
      <c r="D129" s="71"/>
      <c r="E129" s="71"/>
      <c r="F129" s="72"/>
      <c r="G129" s="73"/>
      <c r="H129" s="74"/>
      <c r="I129" s="71"/>
      <c r="J129" s="65"/>
      <c r="K129" s="59"/>
      <c r="L129" s="63" t="str">
        <f>VLOOKUP(D129,'Hedef Liste'!A:I,8,false)</f>
        <v>#N/A</v>
      </c>
      <c r="M129" s="63" t="b">
        <v>0</v>
      </c>
      <c r="N129" s="63" t="b">
        <v>0</v>
      </c>
      <c r="O129" s="63"/>
      <c r="P129" s="63"/>
      <c r="Q129" s="63"/>
      <c r="R129" s="63"/>
      <c r="S129" s="63"/>
      <c r="T129" s="63"/>
      <c r="U129" s="63"/>
      <c r="V129" s="63"/>
      <c r="W129" s="63"/>
      <c r="X129" s="63"/>
      <c r="Y129" s="63"/>
      <c r="Z129" s="63"/>
      <c r="AA129" s="63"/>
      <c r="AB129" s="63"/>
      <c r="AC129" s="63"/>
      <c r="AD129" s="63"/>
      <c r="AE129" s="63"/>
      <c r="AF129" s="63"/>
    </row>
    <row r="130" hidden="1">
      <c r="A130" s="69"/>
      <c r="B130" s="70" t="s">
        <v>569</v>
      </c>
      <c r="C130" s="65" t="s">
        <v>568</v>
      </c>
      <c r="D130" s="71" t="s">
        <v>3129</v>
      </c>
      <c r="E130" s="71" t="s">
        <v>3130</v>
      </c>
      <c r="F130" s="72">
        <v>0.5</v>
      </c>
      <c r="G130" s="104" t="s">
        <v>3113</v>
      </c>
      <c r="H130" s="65" t="s">
        <v>3131</v>
      </c>
      <c r="I130" s="71" t="s">
        <v>3132</v>
      </c>
      <c r="J130" s="65" t="s">
        <v>3133</v>
      </c>
      <c r="K130" s="59"/>
      <c r="L130" s="63" t="str">
        <f>VLOOKUP(D130,'Hedef Liste'!A:I,8,false)</f>
        <v>#N/A</v>
      </c>
      <c r="M130" s="63" t="b">
        <v>0</v>
      </c>
      <c r="N130" s="63" t="b">
        <v>0</v>
      </c>
      <c r="O130" s="63"/>
      <c r="P130" s="63"/>
      <c r="Q130" s="63"/>
      <c r="R130" s="63"/>
      <c r="S130" s="63"/>
      <c r="T130" s="63"/>
      <c r="U130" s="63"/>
      <c r="V130" s="63"/>
      <c r="W130" s="63"/>
      <c r="X130" s="63"/>
      <c r="Y130" s="63"/>
      <c r="Z130" s="63"/>
      <c r="AA130" s="63"/>
      <c r="AB130" s="63"/>
      <c r="AC130" s="63"/>
      <c r="AD130" s="63"/>
      <c r="AE130" s="63"/>
      <c r="AF130" s="63"/>
    </row>
    <row r="131" hidden="1">
      <c r="A131" s="69"/>
      <c r="B131" s="70" t="s">
        <v>569</v>
      </c>
      <c r="C131" s="65" t="s">
        <v>95</v>
      </c>
      <c r="D131" s="71" t="s">
        <v>3134</v>
      </c>
      <c r="E131" s="71" t="s">
        <v>3135</v>
      </c>
      <c r="F131" s="77" t="s">
        <v>3027</v>
      </c>
      <c r="G131" s="75" t="s">
        <v>3136</v>
      </c>
      <c r="H131" s="65" t="s">
        <v>3137</v>
      </c>
      <c r="I131" s="71" t="s">
        <v>3138</v>
      </c>
      <c r="J131" s="65" t="s">
        <v>3133</v>
      </c>
      <c r="K131" s="59"/>
      <c r="L131" s="63" t="str">
        <f>VLOOKUP(D131,'Hedef Liste'!A:I,8,false)</f>
        <v>#N/A</v>
      </c>
      <c r="M131" s="63" t="b">
        <v>0</v>
      </c>
      <c r="N131" s="63" t="b">
        <v>0</v>
      </c>
      <c r="O131" s="63"/>
      <c r="P131" s="63"/>
      <c r="Q131" s="63"/>
      <c r="R131" s="63"/>
      <c r="S131" s="63"/>
      <c r="T131" s="63"/>
      <c r="U131" s="63"/>
      <c r="V131" s="63"/>
      <c r="W131" s="63"/>
      <c r="X131" s="63"/>
      <c r="Y131" s="63"/>
      <c r="Z131" s="63"/>
      <c r="AA131" s="63"/>
      <c r="AB131" s="63"/>
      <c r="AC131" s="63"/>
      <c r="AD131" s="63"/>
      <c r="AE131" s="63"/>
      <c r="AF131" s="63"/>
    </row>
    <row r="132" hidden="1">
      <c r="A132" s="69"/>
      <c r="B132" s="70" t="s">
        <v>569</v>
      </c>
      <c r="C132" s="65" t="s">
        <v>352</v>
      </c>
      <c r="D132" s="71" t="s">
        <v>2010</v>
      </c>
      <c r="E132" s="71" t="s">
        <v>2011</v>
      </c>
      <c r="F132" s="77" t="s">
        <v>3068</v>
      </c>
      <c r="G132" s="75" t="s">
        <v>3106</v>
      </c>
      <c r="H132" s="76" t="s">
        <v>3139</v>
      </c>
      <c r="I132" s="71" t="s">
        <v>2013</v>
      </c>
      <c r="J132" s="65" t="s">
        <v>3133</v>
      </c>
      <c r="K132" s="59"/>
      <c r="L132" s="63">
        <f>VLOOKUP(D132,'Hedef Liste'!A:I,8,false)</f>
        <v>15</v>
      </c>
      <c r="M132" s="63" t="b">
        <v>0</v>
      </c>
      <c r="N132" s="63" t="b">
        <v>0</v>
      </c>
      <c r="O132" s="63"/>
      <c r="P132" s="63"/>
      <c r="Q132" s="63"/>
      <c r="R132" s="63"/>
      <c r="S132" s="63"/>
      <c r="T132" s="63"/>
      <c r="U132" s="63"/>
      <c r="V132" s="63"/>
      <c r="W132" s="63"/>
      <c r="X132" s="63"/>
      <c r="Y132" s="63"/>
      <c r="Z132" s="63"/>
      <c r="AA132" s="63"/>
      <c r="AB132" s="63"/>
      <c r="AC132" s="63"/>
      <c r="AD132" s="63"/>
      <c r="AE132" s="63"/>
      <c r="AF132" s="63"/>
    </row>
    <row r="133" hidden="1">
      <c r="A133" s="79"/>
      <c r="B133" s="70" t="s">
        <v>569</v>
      </c>
      <c r="C133" s="65" t="s">
        <v>568</v>
      </c>
      <c r="D133" s="71" t="s">
        <v>3140</v>
      </c>
      <c r="E133" s="71" t="s">
        <v>1288</v>
      </c>
      <c r="F133" s="94" t="s">
        <v>3141</v>
      </c>
      <c r="G133" s="76" t="s">
        <v>3113</v>
      </c>
      <c r="H133" s="76" t="s">
        <v>3142</v>
      </c>
      <c r="I133" s="71" t="s">
        <v>3143</v>
      </c>
      <c r="J133" s="76" t="s">
        <v>3133</v>
      </c>
      <c r="K133" s="76"/>
      <c r="L133" s="63"/>
      <c r="M133" s="63" t="b">
        <v>0</v>
      </c>
      <c r="N133" s="63" t="b">
        <v>0</v>
      </c>
      <c r="O133" s="63"/>
      <c r="P133" s="63"/>
      <c r="Q133" s="63"/>
      <c r="R133" s="63"/>
      <c r="S133" s="63"/>
      <c r="T133" s="63"/>
      <c r="U133" s="63"/>
      <c r="V133" s="63"/>
      <c r="W133" s="63"/>
      <c r="X133" s="63"/>
      <c r="Y133" s="63"/>
      <c r="Z133" s="63"/>
      <c r="AA133" s="63"/>
      <c r="AB133" s="63"/>
      <c r="AC133" s="63"/>
      <c r="AD133" s="63"/>
      <c r="AE133" s="63"/>
      <c r="AF133" s="63"/>
    </row>
    <row r="134" hidden="1">
      <c r="A134" s="135"/>
      <c r="B134" s="59"/>
      <c r="C134" s="65"/>
      <c r="D134" s="71"/>
      <c r="E134" s="71"/>
      <c r="F134" s="72"/>
      <c r="G134" s="73"/>
      <c r="H134" s="74"/>
      <c r="I134" s="74"/>
      <c r="J134" s="59"/>
      <c r="K134" s="59"/>
      <c r="L134" s="63"/>
      <c r="M134" s="63" t="b">
        <v>0</v>
      </c>
      <c r="N134" s="63" t="b">
        <v>0</v>
      </c>
      <c r="O134" s="63"/>
      <c r="P134" s="63"/>
      <c r="Q134" s="63"/>
      <c r="R134" s="63"/>
      <c r="S134" s="63"/>
      <c r="T134" s="63"/>
      <c r="U134" s="63"/>
      <c r="V134" s="63"/>
      <c r="W134" s="63"/>
      <c r="X134" s="63"/>
      <c r="Y134" s="63"/>
      <c r="Z134" s="63"/>
      <c r="AA134" s="63"/>
      <c r="AB134" s="63"/>
      <c r="AC134" s="63"/>
      <c r="AD134" s="63"/>
      <c r="AE134" s="63"/>
      <c r="AF134" s="63"/>
    </row>
    <row r="135" hidden="1">
      <c r="A135" s="64" t="s">
        <v>47</v>
      </c>
      <c r="B135" s="59"/>
      <c r="C135" s="100" t="s">
        <v>568</v>
      </c>
      <c r="D135" s="87" t="s">
        <v>3144</v>
      </c>
      <c r="E135" s="87" t="s">
        <v>3145</v>
      </c>
      <c r="F135" s="97">
        <v>0.4166666666666667</v>
      </c>
      <c r="G135" s="98" t="s">
        <v>3113</v>
      </c>
      <c r="H135" s="99" t="s">
        <v>3146</v>
      </c>
      <c r="I135" s="99" t="s">
        <v>3147</v>
      </c>
      <c r="J135" s="65" t="s">
        <v>3148</v>
      </c>
      <c r="K135" s="59"/>
      <c r="L135" s="63"/>
      <c r="M135" s="63" t="b">
        <v>0</v>
      </c>
      <c r="N135" s="63" t="b">
        <v>0</v>
      </c>
      <c r="O135" s="63"/>
      <c r="P135" s="63"/>
      <c r="Q135" s="63"/>
      <c r="R135" s="63"/>
      <c r="S135" s="63"/>
      <c r="T135" s="63"/>
      <c r="U135" s="63"/>
      <c r="V135" s="63"/>
      <c r="W135" s="63"/>
      <c r="X135" s="63"/>
      <c r="Y135" s="63"/>
      <c r="Z135" s="63"/>
      <c r="AA135" s="63"/>
      <c r="AB135" s="63"/>
      <c r="AC135" s="63"/>
      <c r="AD135" s="63"/>
      <c r="AE135" s="63"/>
      <c r="AF135" s="63"/>
    </row>
    <row r="136" hidden="1">
      <c r="A136" s="69"/>
      <c r="B136" s="70" t="s">
        <v>96</v>
      </c>
      <c r="C136" s="65" t="s">
        <v>352</v>
      </c>
      <c r="D136" s="71" t="s">
        <v>348</v>
      </c>
      <c r="E136" s="71" t="s">
        <v>349</v>
      </c>
      <c r="F136" s="136">
        <v>0.5</v>
      </c>
      <c r="G136" s="73" t="s">
        <v>3106</v>
      </c>
      <c r="H136" s="74" t="s">
        <v>3149</v>
      </c>
      <c r="I136" s="71" t="s">
        <v>351</v>
      </c>
      <c r="J136" s="65"/>
      <c r="K136" s="59"/>
      <c r="L136" s="63">
        <f>VLOOKUP(D136,'Hedef Liste'!A:I,8,false)</f>
        <v>14</v>
      </c>
      <c r="M136" s="63" t="b">
        <v>0</v>
      </c>
      <c r="N136" s="63" t="b">
        <v>0</v>
      </c>
      <c r="O136" s="63"/>
      <c r="P136" s="63"/>
      <c r="Q136" s="63"/>
      <c r="R136" s="63"/>
      <c r="S136" s="63"/>
      <c r="T136" s="63"/>
      <c r="U136" s="63"/>
      <c r="V136" s="63"/>
      <c r="W136" s="63"/>
      <c r="X136" s="63"/>
      <c r="Y136" s="63"/>
      <c r="Z136" s="63"/>
      <c r="AA136" s="63"/>
      <c r="AB136" s="63"/>
      <c r="AC136" s="63"/>
      <c r="AD136" s="63"/>
      <c r="AE136" s="63"/>
      <c r="AF136" s="63"/>
    </row>
    <row r="137" hidden="1">
      <c r="A137" s="69"/>
      <c r="B137" s="70" t="s">
        <v>96</v>
      </c>
      <c r="C137" s="65" t="s">
        <v>352</v>
      </c>
      <c r="D137" s="137" t="s">
        <v>3150</v>
      </c>
      <c r="E137" s="71" t="s">
        <v>3151</v>
      </c>
      <c r="F137" s="77" t="s">
        <v>3027</v>
      </c>
      <c r="G137" s="75" t="s">
        <v>3116</v>
      </c>
      <c r="H137" s="71" t="s">
        <v>3152</v>
      </c>
      <c r="I137" s="138" t="s">
        <v>3153</v>
      </c>
      <c r="J137" s="29" t="s">
        <v>3154</v>
      </c>
      <c r="K137" s="107"/>
      <c r="L137" s="63" t="str">
        <f>VLOOKUP(D137,'Hedef Liste'!A:I,8,false)</f>
        <v>#N/A</v>
      </c>
      <c r="M137" s="63" t="b">
        <v>0</v>
      </c>
      <c r="N137" s="63" t="b">
        <v>0</v>
      </c>
      <c r="O137" s="63"/>
      <c r="P137" s="63"/>
      <c r="Q137" s="63"/>
      <c r="R137" s="63"/>
      <c r="S137" s="63"/>
      <c r="T137" s="63"/>
      <c r="U137" s="63"/>
      <c r="V137" s="63"/>
      <c r="W137" s="63"/>
      <c r="X137" s="63"/>
      <c r="Y137" s="63"/>
      <c r="Z137" s="63"/>
      <c r="AA137" s="63"/>
      <c r="AB137" s="63"/>
      <c r="AC137" s="63"/>
      <c r="AD137" s="63"/>
      <c r="AE137" s="63"/>
      <c r="AF137" s="63"/>
    </row>
    <row r="138" hidden="1">
      <c r="A138" s="69"/>
      <c r="B138" s="70" t="s">
        <v>96</v>
      </c>
      <c r="C138" s="100" t="s">
        <v>352</v>
      </c>
      <c r="D138" s="87" t="s">
        <v>904</v>
      </c>
      <c r="E138" s="87" t="s">
        <v>905</v>
      </c>
      <c r="F138" s="88" t="s">
        <v>3068</v>
      </c>
      <c r="G138" s="87" t="s">
        <v>3155</v>
      </c>
      <c r="H138" s="87" t="s">
        <v>3156</v>
      </c>
      <c r="I138" s="87" t="s">
        <v>907</v>
      </c>
      <c r="J138" s="65" t="s">
        <v>3157</v>
      </c>
      <c r="K138" s="59"/>
      <c r="L138" s="63">
        <f>VLOOKUP(D138,'Hedef Liste'!A:I,8,false)</f>
        <v>69</v>
      </c>
      <c r="M138" s="63" t="b">
        <v>0</v>
      </c>
      <c r="N138" s="63" t="b">
        <v>0</v>
      </c>
      <c r="O138" s="63"/>
      <c r="P138" s="63"/>
      <c r="Q138" s="63"/>
      <c r="R138" s="63"/>
      <c r="S138" s="63"/>
      <c r="T138" s="63"/>
      <c r="U138" s="63"/>
      <c r="V138" s="63"/>
      <c r="W138" s="63"/>
      <c r="X138" s="63"/>
      <c r="Y138" s="63"/>
      <c r="Z138" s="63"/>
      <c r="AA138" s="63"/>
      <c r="AB138" s="63"/>
      <c r="AC138" s="63"/>
      <c r="AD138" s="63"/>
      <c r="AE138" s="63"/>
      <c r="AF138" s="63"/>
    </row>
    <row r="139" hidden="1">
      <c r="A139" s="69"/>
      <c r="B139" s="70" t="s">
        <v>96</v>
      </c>
      <c r="C139" s="100" t="s">
        <v>95</v>
      </c>
      <c r="D139" s="87" t="s">
        <v>1063</v>
      </c>
      <c r="E139" s="87" t="s">
        <v>1064</v>
      </c>
      <c r="F139" s="88" t="s">
        <v>3158</v>
      </c>
      <c r="G139" s="87" t="s">
        <v>3159</v>
      </c>
      <c r="H139" s="87" t="s">
        <v>3160</v>
      </c>
      <c r="I139" s="87" t="s">
        <v>1066</v>
      </c>
      <c r="J139" s="65" t="s">
        <v>3161</v>
      </c>
      <c r="K139" s="59"/>
      <c r="L139" s="63"/>
      <c r="M139" s="63" t="b">
        <v>0</v>
      </c>
      <c r="N139" s="63" t="b">
        <v>0</v>
      </c>
      <c r="O139" s="63"/>
      <c r="P139" s="63"/>
      <c r="Q139" s="63"/>
      <c r="R139" s="63"/>
      <c r="S139" s="63"/>
      <c r="T139" s="63"/>
      <c r="U139" s="63"/>
      <c r="V139" s="63"/>
      <c r="W139" s="63"/>
      <c r="X139" s="63"/>
      <c r="Y139" s="63"/>
      <c r="Z139" s="63"/>
      <c r="AA139" s="63"/>
      <c r="AB139" s="63"/>
      <c r="AC139" s="63"/>
      <c r="AD139" s="63"/>
      <c r="AE139" s="63"/>
      <c r="AF139" s="63"/>
    </row>
    <row r="140" hidden="1">
      <c r="A140" s="69"/>
      <c r="B140" s="66"/>
      <c r="C140" s="65"/>
      <c r="D140" s="71"/>
      <c r="E140" s="71"/>
      <c r="F140" s="123"/>
      <c r="G140" s="71"/>
      <c r="H140" s="71"/>
      <c r="I140" s="71"/>
      <c r="J140" s="59"/>
      <c r="K140" s="59"/>
      <c r="L140" s="63" t="str">
        <f>VLOOKUP(D140,'Hedef Liste'!A:I,8,false)</f>
        <v>#N/A</v>
      </c>
      <c r="M140" s="63" t="b">
        <v>0</v>
      </c>
      <c r="N140" s="63" t="b">
        <v>0</v>
      </c>
      <c r="O140" s="63"/>
      <c r="P140" s="63"/>
      <c r="Q140" s="63"/>
      <c r="R140" s="63"/>
      <c r="S140" s="63"/>
      <c r="T140" s="63"/>
      <c r="U140" s="63"/>
      <c r="V140" s="63"/>
      <c r="W140" s="63"/>
      <c r="X140" s="63"/>
      <c r="Y140" s="63"/>
      <c r="Z140" s="63"/>
      <c r="AA140" s="63"/>
      <c r="AB140" s="63"/>
      <c r="AC140" s="63"/>
      <c r="AD140" s="63"/>
      <c r="AE140" s="63"/>
      <c r="AF140" s="63"/>
    </row>
    <row r="141" hidden="1">
      <c r="A141" s="79"/>
      <c r="B141" s="59"/>
      <c r="C141" s="65"/>
      <c r="D141" s="71"/>
      <c r="E141" s="71"/>
      <c r="F141" s="114"/>
      <c r="G141" s="76"/>
      <c r="H141" s="76"/>
      <c r="I141" s="76"/>
      <c r="J141" s="76"/>
      <c r="K141" s="76"/>
      <c r="L141" s="63"/>
      <c r="M141" s="63" t="b">
        <v>0</v>
      </c>
      <c r="N141" s="63" t="b">
        <v>0</v>
      </c>
      <c r="O141" s="63"/>
      <c r="P141" s="63"/>
      <c r="Q141" s="63"/>
      <c r="R141" s="63"/>
      <c r="S141" s="63"/>
      <c r="T141" s="63"/>
      <c r="U141" s="63"/>
      <c r="V141" s="63"/>
      <c r="W141" s="63"/>
      <c r="X141" s="63"/>
      <c r="Y141" s="63"/>
      <c r="Z141" s="63"/>
      <c r="AA141" s="63"/>
      <c r="AB141" s="63"/>
      <c r="AC141" s="63"/>
      <c r="AD141" s="63"/>
      <c r="AE141" s="63"/>
      <c r="AF141" s="63"/>
    </row>
    <row r="142" hidden="1">
      <c r="A142" s="58"/>
      <c r="B142" s="58">
        <v>44308.0</v>
      </c>
      <c r="C142" s="59"/>
      <c r="D142" s="60"/>
      <c r="E142" s="61"/>
      <c r="F142" s="61"/>
      <c r="G142" s="61"/>
      <c r="H142" s="61"/>
      <c r="I142" s="61"/>
      <c r="J142" s="61"/>
      <c r="K142" s="62"/>
      <c r="L142" s="63"/>
      <c r="M142" s="63"/>
      <c r="N142" s="63"/>
      <c r="O142" s="63"/>
      <c r="P142" s="63"/>
      <c r="Q142" s="63"/>
      <c r="R142" s="63"/>
      <c r="S142" s="63"/>
      <c r="T142" s="63"/>
      <c r="U142" s="63"/>
      <c r="V142" s="63"/>
      <c r="W142" s="63"/>
      <c r="X142" s="63"/>
      <c r="Y142" s="63"/>
      <c r="Z142" s="63"/>
      <c r="AA142" s="63"/>
      <c r="AB142" s="63"/>
      <c r="AC142" s="63"/>
      <c r="AD142" s="63"/>
      <c r="AE142" s="63"/>
      <c r="AF142" s="63"/>
    </row>
    <row r="143" hidden="1">
      <c r="A143" s="64" t="s">
        <v>47</v>
      </c>
      <c r="B143" s="59"/>
      <c r="C143" s="65"/>
      <c r="D143" s="66"/>
      <c r="E143" s="139" t="s">
        <v>2959</v>
      </c>
      <c r="F143" s="67"/>
      <c r="G143" s="68"/>
      <c r="H143" s="66"/>
      <c r="I143" s="66"/>
      <c r="J143" s="59"/>
      <c r="K143" s="59"/>
      <c r="L143" s="63"/>
      <c r="M143" s="63" t="b">
        <v>0</v>
      </c>
      <c r="N143" s="63" t="b">
        <v>0</v>
      </c>
      <c r="O143" s="63"/>
      <c r="P143" s="63"/>
      <c r="Q143" s="63"/>
      <c r="R143" s="63"/>
      <c r="S143" s="63"/>
      <c r="T143" s="63"/>
      <c r="U143" s="63"/>
      <c r="V143" s="63"/>
      <c r="W143" s="63"/>
      <c r="X143" s="63"/>
      <c r="Y143" s="63"/>
      <c r="Z143" s="63"/>
      <c r="AA143" s="63"/>
      <c r="AB143" s="63"/>
      <c r="AC143" s="63"/>
      <c r="AD143" s="63"/>
      <c r="AE143" s="63"/>
      <c r="AF143" s="63"/>
    </row>
    <row r="144" hidden="1">
      <c r="A144" s="69"/>
      <c r="B144" s="70" t="s">
        <v>96</v>
      </c>
      <c r="C144" s="65" t="s">
        <v>95</v>
      </c>
      <c r="D144" s="71" t="s">
        <v>1511</v>
      </c>
      <c r="E144" s="71" t="s">
        <v>1512</v>
      </c>
      <c r="F144" s="72">
        <v>0.5416666666666666</v>
      </c>
      <c r="G144" s="73" t="s">
        <v>3116</v>
      </c>
      <c r="H144" s="74" t="s">
        <v>3117</v>
      </c>
      <c r="I144" s="71" t="s">
        <v>3118</v>
      </c>
      <c r="J144" s="59"/>
      <c r="K144" s="59"/>
      <c r="L144" s="63">
        <f>VLOOKUP(D144,'Hedef Liste'!A:I,8,false)</f>
        <v>21</v>
      </c>
      <c r="M144" s="63" t="b">
        <v>0</v>
      </c>
      <c r="N144" s="63" t="b">
        <v>0</v>
      </c>
      <c r="O144" s="63"/>
      <c r="P144" s="63"/>
      <c r="Q144" s="63"/>
      <c r="R144" s="63"/>
      <c r="S144" s="63"/>
      <c r="T144" s="63"/>
      <c r="U144" s="63"/>
      <c r="V144" s="63"/>
      <c r="W144" s="63"/>
      <c r="X144" s="63"/>
      <c r="Y144" s="63"/>
      <c r="Z144" s="63"/>
      <c r="AA144" s="63"/>
      <c r="AB144" s="63"/>
      <c r="AC144" s="63"/>
      <c r="AD144" s="63"/>
      <c r="AE144" s="63"/>
      <c r="AF144" s="63"/>
    </row>
    <row r="145" hidden="1">
      <c r="A145" s="69"/>
      <c r="B145" s="70" t="s">
        <v>96</v>
      </c>
      <c r="C145" s="65" t="s">
        <v>352</v>
      </c>
      <c r="D145" s="71" t="s">
        <v>886</v>
      </c>
      <c r="E145" s="71" t="s">
        <v>887</v>
      </c>
      <c r="F145" s="77" t="s">
        <v>3162</v>
      </c>
      <c r="G145" s="75" t="s">
        <v>3159</v>
      </c>
      <c r="H145" s="71" t="s">
        <v>557</v>
      </c>
      <c r="I145" s="71" t="s">
        <v>558</v>
      </c>
      <c r="J145" s="59"/>
      <c r="K145" s="59"/>
      <c r="L145" s="63">
        <f>VLOOKUP(D145,'Hedef Liste'!A:I,8,false)</f>
        <v>18</v>
      </c>
      <c r="M145" s="63" t="b">
        <v>0</v>
      </c>
      <c r="N145" s="63" t="b">
        <v>0</v>
      </c>
      <c r="O145" s="63"/>
      <c r="P145" s="63"/>
      <c r="Q145" s="63"/>
      <c r="R145" s="63"/>
      <c r="S145" s="63"/>
      <c r="T145" s="63"/>
      <c r="U145" s="63"/>
      <c r="V145" s="63"/>
      <c r="W145" s="63"/>
      <c r="X145" s="63"/>
      <c r="Y145" s="63"/>
      <c r="Z145" s="63"/>
      <c r="AA145" s="63"/>
      <c r="AB145" s="63"/>
      <c r="AC145" s="63"/>
      <c r="AD145" s="63"/>
      <c r="AE145" s="63"/>
      <c r="AF145" s="63"/>
    </row>
    <row r="146" hidden="1">
      <c r="A146" s="69"/>
      <c r="B146" s="70" t="s">
        <v>96</v>
      </c>
      <c r="C146" s="65" t="s">
        <v>568</v>
      </c>
      <c r="D146" s="71" t="s">
        <v>1731</v>
      </c>
      <c r="E146" s="71" t="s">
        <v>1732</v>
      </c>
      <c r="F146" s="72">
        <v>0.6666666666666666</v>
      </c>
      <c r="G146" s="71" t="s">
        <v>3113</v>
      </c>
      <c r="H146" s="71" t="s">
        <v>3163</v>
      </c>
      <c r="I146" s="71" t="s">
        <v>1734</v>
      </c>
      <c r="J146" s="65"/>
      <c r="K146" s="59"/>
      <c r="L146" s="63" t="str">
        <f>VLOOKUP(D111,'Hedef Liste'!A:I,8,false)</f>
        <v>#N/A</v>
      </c>
      <c r="M146" s="63" t="b">
        <v>0</v>
      </c>
      <c r="N146" s="63" t="b">
        <v>0</v>
      </c>
      <c r="O146" s="63"/>
      <c r="P146" s="63"/>
      <c r="Q146" s="63"/>
      <c r="R146" s="63"/>
      <c r="S146" s="63"/>
      <c r="T146" s="63"/>
      <c r="U146" s="63"/>
      <c r="V146" s="63"/>
      <c r="W146" s="63"/>
      <c r="X146" s="63"/>
      <c r="Y146" s="63"/>
      <c r="Z146" s="63"/>
      <c r="AA146" s="63"/>
      <c r="AB146" s="63"/>
      <c r="AC146" s="63"/>
      <c r="AD146" s="63"/>
      <c r="AE146" s="63"/>
      <c r="AF146" s="63"/>
    </row>
    <row r="147" hidden="1">
      <c r="A147" s="69"/>
      <c r="B147" s="70" t="s">
        <v>96</v>
      </c>
      <c r="C147" s="65" t="s">
        <v>95</v>
      </c>
      <c r="D147" s="71" t="s">
        <v>1098</v>
      </c>
      <c r="E147" s="71" t="s">
        <v>1099</v>
      </c>
      <c r="F147" s="72">
        <v>0.7291666666666666</v>
      </c>
      <c r="G147" s="71" t="s">
        <v>3159</v>
      </c>
      <c r="H147" s="71" t="s">
        <v>3164</v>
      </c>
      <c r="I147" s="71" t="s">
        <v>1101</v>
      </c>
      <c r="J147" s="59"/>
      <c r="K147" s="59"/>
      <c r="L147" s="63">
        <f>VLOOKUP(D147,'Hedef Liste'!A:I,8,false)</f>
        <v>7</v>
      </c>
      <c r="M147" s="63" t="b">
        <v>0</v>
      </c>
      <c r="N147" s="63" t="b">
        <v>0</v>
      </c>
      <c r="O147" s="63"/>
      <c r="P147" s="63"/>
      <c r="Q147" s="63"/>
      <c r="R147" s="63"/>
      <c r="S147" s="63"/>
      <c r="T147" s="63"/>
      <c r="U147" s="63"/>
      <c r="V147" s="63"/>
      <c r="W147" s="63"/>
      <c r="X147" s="63"/>
      <c r="Y147" s="63"/>
      <c r="Z147" s="63"/>
      <c r="AA147" s="63"/>
      <c r="AB147" s="63"/>
      <c r="AC147" s="63"/>
      <c r="AD147" s="63"/>
      <c r="AE147" s="63"/>
      <c r="AF147" s="63"/>
    </row>
    <row r="148" hidden="1">
      <c r="A148" s="79"/>
      <c r="B148" s="59"/>
      <c r="C148" s="59"/>
      <c r="D148" s="76"/>
      <c r="E148" s="76"/>
      <c r="F148" s="94"/>
      <c r="G148" s="76"/>
      <c r="H148" s="76"/>
      <c r="I148" s="76"/>
      <c r="J148" s="76"/>
      <c r="K148" s="76"/>
      <c r="L148" s="63"/>
      <c r="M148" s="63" t="b">
        <v>0</v>
      </c>
      <c r="N148" s="63" t="b">
        <v>0</v>
      </c>
      <c r="O148" s="63"/>
      <c r="P148" s="63"/>
      <c r="Q148" s="63"/>
      <c r="R148" s="63"/>
      <c r="S148" s="63"/>
      <c r="T148" s="63"/>
      <c r="U148" s="63"/>
      <c r="V148" s="63"/>
      <c r="W148" s="63"/>
      <c r="X148" s="63"/>
      <c r="Y148" s="63"/>
      <c r="Z148" s="63"/>
      <c r="AA148" s="63"/>
      <c r="AB148" s="63"/>
      <c r="AC148" s="63"/>
      <c r="AD148" s="63"/>
      <c r="AE148" s="63"/>
      <c r="AF148" s="63"/>
    </row>
    <row r="149" hidden="1">
      <c r="A149" s="58"/>
      <c r="B149" s="58">
        <v>44309.0</v>
      </c>
      <c r="C149" s="59"/>
      <c r="D149" s="60"/>
      <c r="E149" s="61"/>
      <c r="F149" s="61"/>
      <c r="G149" s="61"/>
      <c r="H149" s="61"/>
      <c r="I149" s="61"/>
      <c r="J149" s="61"/>
      <c r="K149" s="62"/>
      <c r="L149" s="63"/>
      <c r="M149" s="63"/>
      <c r="N149" s="63"/>
      <c r="O149" s="63"/>
      <c r="P149" s="63"/>
      <c r="Q149" s="63"/>
      <c r="R149" s="63"/>
      <c r="S149" s="63"/>
      <c r="T149" s="63"/>
      <c r="U149" s="63"/>
      <c r="V149" s="63"/>
      <c r="W149" s="63"/>
      <c r="X149" s="63"/>
      <c r="Y149" s="63"/>
      <c r="Z149" s="63"/>
      <c r="AA149" s="63"/>
      <c r="AB149" s="63"/>
      <c r="AC149" s="63"/>
      <c r="AD149" s="63"/>
      <c r="AE149" s="63"/>
      <c r="AF149" s="63"/>
    </row>
    <row r="150" hidden="1">
      <c r="A150" s="64" t="s">
        <v>47</v>
      </c>
      <c r="B150" s="59"/>
      <c r="C150" s="65"/>
      <c r="D150" s="140" t="s">
        <v>3165</v>
      </c>
      <c r="E150" s="141"/>
      <c r="F150" s="67"/>
      <c r="G150" s="68"/>
      <c r="H150" s="66"/>
      <c r="I150" s="66"/>
      <c r="J150" s="59"/>
      <c r="K150" s="59"/>
      <c r="L150" s="63"/>
      <c r="M150" s="63" t="b">
        <v>0</v>
      </c>
      <c r="N150" s="63" t="b">
        <v>0</v>
      </c>
      <c r="O150" s="63"/>
      <c r="P150" s="63"/>
      <c r="Q150" s="63"/>
      <c r="R150" s="63"/>
      <c r="S150" s="63"/>
      <c r="T150" s="63"/>
      <c r="U150" s="63"/>
      <c r="V150" s="63"/>
      <c r="W150" s="63"/>
      <c r="X150" s="63"/>
      <c r="Y150" s="63"/>
      <c r="Z150" s="63"/>
      <c r="AA150" s="63"/>
      <c r="AB150" s="63"/>
      <c r="AC150" s="63"/>
      <c r="AD150" s="63"/>
      <c r="AE150" s="63"/>
      <c r="AF150" s="63"/>
    </row>
    <row r="151" hidden="1">
      <c r="A151" s="69"/>
      <c r="B151" s="70" t="s">
        <v>569</v>
      </c>
      <c r="C151" s="65"/>
      <c r="D151" s="142"/>
      <c r="E151" s="143"/>
      <c r="F151" s="136"/>
      <c r="G151" s="73"/>
      <c r="H151" s="74"/>
      <c r="I151" s="74"/>
      <c r="J151" s="71"/>
      <c r="K151" s="59"/>
      <c r="L151" s="63" t="str">
        <f>VLOOKUP(#REF!,'Hedef Liste'!A:I,8,false)</f>
        <v>#REF!</v>
      </c>
      <c r="M151" s="63" t="b">
        <v>0</v>
      </c>
      <c r="N151" s="63" t="b">
        <v>0</v>
      </c>
      <c r="O151" s="63"/>
      <c r="P151" s="63"/>
      <c r="Q151" s="63"/>
      <c r="R151" s="63"/>
      <c r="S151" s="63"/>
      <c r="T151" s="63"/>
      <c r="U151" s="63"/>
      <c r="V151" s="63"/>
      <c r="W151" s="63"/>
      <c r="X151" s="63"/>
      <c r="Y151" s="63"/>
      <c r="Z151" s="63"/>
      <c r="AA151" s="63"/>
      <c r="AB151" s="63"/>
      <c r="AC151" s="63"/>
      <c r="AD151" s="63"/>
      <c r="AE151" s="63"/>
      <c r="AF151" s="63"/>
    </row>
    <row r="152" hidden="1">
      <c r="A152" s="69"/>
      <c r="B152" s="70" t="s">
        <v>569</v>
      </c>
      <c r="C152" s="65"/>
      <c r="D152" s="142"/>
      <c r="E152" s="143"/>
      <c r="F152" s="136"/>
      <c r="G152" s="73"/>
      <c r="H152" s="74"/>
      <c r="I152" s="71"/>
      <c r="J152" s="59"/>
      <c r="K152" s="59"/>
      <c r="L152" s="63" t="str">
        <f>VLOOKUP(D151,'Hedef Liste'!A:I,8,false)</f>
        <v>#N/A</v>
      </c>
      <c r="M152" s="63" t="b">
        <v>0</v>
      </c>
      <c r="N152" s="63" t="b">
        <v>0</v>
      </c>
      <c r="O152" s="63"/>
      <c r="P152" s="63"/>
      <c r="Q152" s="63"/>
      <c r="R152" s="63"/>
      <c r="S152" s="63"/>
      <c r="T152" s="63"/>
      <c r="U152" s="63"/>
      <c r="V152" s="63"/>
      <c r="W152" s="63"/>
      <c r="X152" s="63"/>
      <c r="Y152" s="63"/>
      <c r="Z152" s="63"/>
      <c r="AA152" s="63"/>
      <c r="AB152" s="63"/>
      <c r="AC152" s="63"/>
      <c r="AD152" s="63"/>
      <c r="AE152" s="63"/>
      <c r="AF152" s="63"/>
    </row>
    <row r="153" hidden="1">
      <c r="A153" s="69"/>
      <c r="B153" s="70" t="s">
        <v>569</v>
      </c>
      <c r="C153" s="16"/>
      <c r="D153" s="142"/>
      <c r="E153" s="143"/>
      <c r="F153" s="118"/>
      <c r="G153" s="71"/>
      <c r="H153" s="71"/>
      <c r="I153" s="71"/>
      <c r="J153" s="59"/>
      <c r="K153" s="59"/>
      <c r="L153" s="63" t="str">
        <f>VLOOKUP(D152,'Hedef Liste'!A:I,8,false)</f>
        <v>#N/A</v>
      </c>
      <c r="M153" s="63" t="b">
        <v>0</v>
      </c>
      <c r="N153" s="63" t="b">
        <v>0</v>
      </c>
      <c r="O153" s="63"/>
      <c r="P153" s="63"/>
      <c r="Q153" s="63"/>
      <c r="R153" s="63"/>
      <c r="S153" s="63"/>
      <c r="T153" s="63"/>
      <c r="U153" s="63"/>
      <c r="V153" s="63"/>
      <c r="W153" s="63"/>
      <c r="X153" s="63"/>
      <c r="Y153" s="63"/>
      <c r="Z153" s="63"/>
      <c r="AA153" s="63"/>
      <c r="AB153" s="63"/>
      <c r="AC153" s="63"/>
      <c r="AD153" s="63"/>
      <c r="AE153" s="63"/>
      <c r="AF153" s="63"/>
    </row>
    <row r="154" hidden="1">
      <c r="A154" s="69"/>
      <c r="B154" s="70" t="s">
        <v>569</v>
      </c>
      <c r="C154" s="65"/>
      <c r="D154" s="144"/>
      <c r="E154" s="145"/>
      <c r="F154" s="72"/>
      <c r="G154" s="73"/>
      <c r="H154" s="74"/>
      <c r="I154" s="74"/>
      <c r="J154" s="59"/>
      <c r="K154" s="59"/>
      <c r="L154" s="63" t="str">
        <f>VLOOKUP(D153,'Hedef Liste'!A:I,8,false)</f>
        <v>#N/A</v>
      </c>
      <c r="M154" s="63" t="b">
        <v>0</v>
      </c>
      <c r="N154" s="63" t="b">
        <v>0</v>
      </c>
      <c r="O154" s="63"/>
      <c r="P154" s="63"/>
      <c r="Q154" s="63"/>
      <c r="R154" s="63"/>
      <c r="S154" s="63"/>
      <c r="T154" s="63"/>
      <c r="U154" s="63"/>
      <c r="V154" s="63"/>
      <c r="W154" s="63"/>
      <c r="X154" s="63"/>
      <c r="Y154" s="63"/>
      <c r="Z154" s="63"/>
      <c r="AA154" s="63"/>
      <c r="AB154" s="63"/>
      <c r="AC154" s="63"/>
      <c r="AD154" s="63"/>
      <c r="AE154" s="63"/>
      <c r="AF154" s="63"/>
    </row>
    <row r="155" hidden="1">
      <c r="A155" s="79"/>
      <c r="B155" s="59"/>
      <c r="C155" s="66"/>
      <c r="D155" s="66"/>
      <c r="E155" s="66"/>
      <c r="F155" s="67"/>
      <c r="G155" s="68"/>
      <c r="H155" s="66"/>
      <c r="I155" s="66"/>
      <c r="J155" s="76"/>
      <c r="K155" s="76"/>
      <c r="L155" s="63"/>
      <c r="M155" s="63" t="b">
        <v>0</v>
      </c>
      <c r="N155" s="63" t="b">
        <v>0</v>
      </c>
      <c r="O155" s="63"/>
      <c r="P155" s="63"/>
      <c r="Q155" s="63"/>
      <c r="R155" s="63"/>
      <c r="S155" s="63"/>
      <c r="T155" s="63"/>
      <c r="U155" s="63"/>
      <c r="V155" s="63"/>
      <c r="W155" s="63"/>
      <c r="X155" s="63"/>
      <c r="Y155" s="63"/>
      <c r="Z155" s="63"/>
      <c r="AA155" s="63"/>
      <c r="AB155" s="63"/>
      <c r="AC155" s="63"/>
      <c r="AD155" s="63"/>
      <c r="AE155" s="63"/>
      <c r="AF155" s="63"/>
    </row>
    <row r="156" hidden="1">
      <c r="A156" s="135"/>
      <c r="B156" s="59"/>
      <c r="C156" s="66"/>
      <c r="D156" s="66"/>
      <c r="E156" s="66"/>
      <c r="F156" s="67"/>
      <c r="G156" s="68"/>
      <c r="H156" s="66"/>
      <c r="I156" s="66"/>
      <c r="J156" s="76"/>
      <c r="K156" s="76"/>
      <c r="L156" s="63"/>
      <c r="M156" s="63" t="b">
        <v>0</v>
      </c>
      <c r="N156" s="63" t="b">
        <v>0</v>
      </c>
      <c r="O156" s="63"/>
      <c r="P156" s="63"/>
      <c r="Q156" s="63"/>
      <c r="R156" s="63"/>
      <c r="S156" s="63"/>
      <c r="T156" s="63"/>
      <c r="U156" s="63"/>
      <c r="V156" s="63"/>
      <c r="W156" s="63"/>
      <c r="X156" s="63"/>
      <c r="Y156" s="63"/>
      <c r="Z156" s="63"/>
      <c r="AA156" s="63"/>
      <c r="AB156" s="63"/>
      <c r="AC156" s="63"/>
      <c r="AD156" s="63"/>
      <c r="AE156" s="63"/>
      <c r="AF156" s="63"/>
    </row>
    <row r="157" hidden="1">
      <c r="A157" s="64" t="s">
        <v>47</v>
      </c>
      <c r="B157" s="59"/>
      <c r="C157" s="65"/>
      <c r="D157" s="71"/>
      <c r="E157" s="71"/>
      <c r="F157" s="72"/>
      <c r="G157" s="73"/>
      <c r="H157" s="74"/>
      <c r="I157" s="74"/>
      <c r="J157" s="59"/>
      <c r="K157" s="59"/>
      <c r="L157" s="63"/>
      <c r="M157" s="63" t="b">
        <v>0</v>
      </c>
      <c r="N157" s="63" t="b">
        <v>0</v>
      </c>
      <c r="O157" s="63"/>
      <c r="P157" s="63"/>
      <c r="Q157" s="63"/>
      <c r="R157" s="63"/>
      <c r="S157" s="63"/>
      <c r="T157" s="63"/>
      <c r="U157" s="63"/>
      <c r="V157" s="63"/>
      <c r="W157" s="63"/>
      <c r="X157" s="63"/>
      <c r="Y157" s="63"/>
      <c r="Z157" s="63"/>
      <c r="AA157" s="63"/>
      <c r="AB157" s="63"/>
      <c r="AC157" s="63"/>
      <c r="AD157" s="63"/>
      <c r="AE157" s="63"/>
      <c r="AF157" s="63"/>
    </row>
    <row r="158" hidden="1">
      <c r="A158" s="69"/>
      <c r="B158" s="70" t="s">
        <v>96</v>
      </c>
      <c r="C158" s="65"/>
      <c r="D158" s="71"/>
      <c r="E158" s="71"/>
      <c r="F158" s="136"/>
      <c r="G158" s="73"/>
      <c r="H158" s="74"/>
      <c r="I158" s="74"/>
      <c r="J158" s="59"/>
      <c r="K158" s="59"/>
      <c r="L158" s="63" t="str">
        <f>VLOOKUP(D158,'Hedef Liste'!A:I,8,false)</f>
        <v>#N/A</v>
      </c>
      <c r="M158" s="63" t="b">
        <v>0</v>
      </c>
      <c r="N158" s="63" t="b">
        <v>0</v>
      </c>
      <c r="O158" s="63"/>
      <c r="P158" s="63"/>
      <c r="Q158" s="63"/>
      <c r="R158" s="63"/>
      <c r="S158" s="63"/>
      <c r="T158" s="63"/>
      <c r="U158" s="63"/>
      <c r="V158" s="63"/>
      <c r="W158" s="63"/>
      <c r="X158" s="63"/>
      <c r="Y158" s="63"/>
      <c r="Z158" s="63"/>
      <c r="AA158" s="63"/>
      <c r="AB158" s="63"/>
      <c r="AC158" s="63"/>
      <c r="AD158" s="63"/>
      <c r="AE158" s="63"/>
      <c r="AF158" s="63"/>
    </row>
    <row r="159" hidden="1">
      <c r="A159" s="69"/>
      <c r="B159" s="70" t="s">
        <v>96</v>
      </c>
      <c r="C159" s="65"/>
      <c r="D159" s="71"/>
      <c r="E159" s="71"/>
      <c r="F159" s="136"/>
      <c r="G159" s="73"/>
      <c r="H159" s="74"/>
      <c r="I159" s="74"/>
      <c r="J159" s="59"/>
      <c r="K159" s="59"/>
      <c r="L159" s="63" t="str">
        <f>VLOOKUP(D159,'Hedef Liste'!A:I,8,false)</f>
        <v>#N/A</v>
      </c>
      <c r="M159" s="63" t="b">
        <v>0</v>
      </c>
      <c r="N159" s="63" t="b">
        <v>0</v>
      </c>
      <c r="O159" s="63"/>
      <c r="P159" s="63"/>
      <c r="Q159" s="63"/>
      <c r="R159" s="63"/>
      <c r="S159" s="63"/>
      <c r="T159" s="63"/>
      <c r="U159" s="63"/>
      <c r="V159" s="63"/>
      <c r="W159" s="63"/>
      <c r="X159" s="63"/>
      <c r="Y159" s="63"/>
      <c r="Z159" s="63"/>
      <c r="AA159" s="63"/>
      <c r="AB159" s="63"/>
      <c r="AC159" s="63"/>
      <c r="AD159" s="63"/>
      <c r="AE159" s="63"/>
      <c r="AF159" s="63"/>
    </row>
    <row r="160" hidden="1">
      <c r="A160" s="69"/>
      <c r="B160" s="70" t="s">
        <v>96</v>
      </c>
      <c r="C160" s="80" t="s">
        <v>568</v>
      </c>
      <c r="D160" s="81" t="s">
        <v>2460</v>
      </c>
      <c r="E160" s="81" t="s">
        <v>2461</v>
      </c>
      <c r="F160" s="82" t="s">
        <v>2904</v>
      </c>
      <c r="G160" s="146" t="s">
        <v>3166</v>
      </c>
      <c r="H160" s="147" t="s">
        <v>3167</v>
      </c>
      <c r="I160" s="147" t="s">
        <v>2463</v>
      </c>
      <c r="J160" s="65" t="s">
        <v>3168</v>
      </c>
      <c r="K160" s="59"/>
      <c r="L160" s="63">
        <f>VLOOKUP(D160,'Hedef Liste'!A:I,8,false)</f>
        <v>47</v>
      </c>
      <c r="M160" s="63" t="b">
        <v>0</v>
      </c>
      <c r="N160" s="63" t="b">
        <v>0</v>
      </c>
      <c r="O160" s="63"/>
      <c r="P160" s="63"/>
      <c r="Q160" s="63"/>
      <c r="R160" s="63"/>
      <c r="S160" s="63"/>
      <c r="T160" s="63"/>
      <c r="U160" s="63"/>
      <c r="V160" s="63"/>
      <c r="W160" s="63"/>
      <c r="X160" s="63"/>
      <c r="Y160" s="63"/>
      <c r="Z160" s="63"/>
      <c r="AA160" s="63"/>
      <c r="AB160" s="63"/>
      <c r="AC160" s="63"/>
      <c r="AD160" s="63"/>
      <c r="AE160" s="63"/>
      <c r="AF160" s="63"/>
    </row>
    <row r="161" hidden="1">
      <c r="A161" s="69"/>
      <c r="B161" s="70" t="s">
        <v>96</v>
      </c>
      <c r="C161" s="80" t="s">
        <v>568</v>
      </c>
      <c r="D161" s="81" t="s">
        <v>3169</v>
      </c>
      <c r="E161" s="81" t="s">
        <v>3170</v>
      </c>
      <c r="F161" s="82" t="s">
        <v>3083</v>
      </c>
      <c r="G161" s="113" t="s">
        <v>3113</v>
      </c>
      <c r="H161" s="112" t="s">
        <v>3171</v>
      </c>
      <c r="I161" s="81" t="s">
        <v>3172</v>
      </c>
      <c r="J161" s="65" t="s">
        <v>3173</v>
      </c>
      <c r="K161" s="65"/>
      <c r="L161" s="63" t="str">
        <f>VLOOKUP(D161,'Hedef Liste'!A:I,8,false)</f>
        <v>#N/A</v>
      </c>
      <c r="M161" s="63" t="b">
        <v>0</v>
      </c>
      <c r="N161" s="63" t="b">
        <v>0</v>
      </c>
      <c r="O161" s="63"/>
      <c r="P161" s="63"/>
      <c r="Q161" s="63"/>
      <c r="R161" s="63"/>
      <c r="S161" s="63"/>
      <c r="T161" s="63"/>
      <c r="U161" s="63"/>
      <c r="V161" s="63"/>
      <c r="W161" s="63"/>
      <c r="X161" s="63"/>
      <c r="Y161" s="63"/>
      <c r="Z161" s="63"/>
      <c r="AA161" s="63"/>
      <c r="AB161" s="63"/>
      <c r="AC161" s="63"/>
      <c r="AD161" s="63"/>
      <c r="AE161" s="63"/>
      <c r="AF161" s="63"/>
    </row>
    <row r="162" hidden="1">
      <c r="A162" s="79"/>
      <c r="B162" s="59"/>
      <c r="C162" s="59"/>
      <c r="D162" s="66"/>
      <c r="E162" s="66"/>
      <c r="F162" s="72"/>
      <c r="G162" s="68"/>
      <c r="H162" s="66"/>
      <c r="I162" s="66"/>
      <c r="J162" s="76"/>
      <c r="K162" s="76"/>
      <c r="L162" s="63"/>
      <c r="M162" s="63" t="b">
        <v>0</v>
      </c>
      <c r="N162" s="63" t="b">
        <v>0</v>
      </c>
      <c r="O162" s="63"/>
      <c r="P162" s="63"/>
      <c r="Q162" s="63"/>
      <c r="R162" s="63"/>
      <c r="S162" s="63"/>
      <c r="T162" s="63"/>
      <c r="U162" s="63"/>
      <c r="V162" s="63"/>
      <c r="W162" s="63"/>
      <c r="X162" s="63"/>
      <c r="Y162" s="63"/>
      <c r="Z162" s="63"/>
      <c r="AA162" s="63"/>
      <c r="AB162" s="63"/>
      <c r="AC162" s="63"/>
      <c r="AD162" s="63"/>
      <c r="AE162" s="63"/>
      <c r="AF162" s="63"/>
    </row>
    <row r="163" hidden="1">
      <c r="A163" s="58"/>
      <c r="B163" s="58">
        <v>44312.0</v>
      </c>
      <c r="C163" s="59"/>
      <c r="D163" s="60"/>
      <c r="E163" s="61"/>
      <c r="F163" s="61"/>
      <c r="G163" s="61"/>
      <c r="H163" s="61"/>
      <c r="I163" s="61"/>
      <c r="J163" s="61"/>
      <c r="K163" s="62"/>
      <c r="L163" s="63"/>
      <c r="M163" s="63"/>
      <c r="N163" s="63"/>
      <c r="O163" s="63"/>
      <c r="P163" s="63"/>
      <c r="Q163" s="63"/>
      <c r="R163" s="63"/>
      <c r="S163" s="63"/>
      <c r="T163" s="63"/>
      <c r="U163" s="63"/>
      <c r="V163" s="63"/>
      <c r="W163" s="63"/>
      <c r="X163" s="63"/>
      <c r="Y163" s="63"/>
      <c r="Z163" s="63"/>
      <c r="AA163" s="63"/>
      <c r="AB163" s="63"/>
      <c r="AC163" s="63"/>
      <c r="AD163" s="63"/>
      <c r="AE163" s="63"/>
      <c r="AF163" s="63"/>
    </row>
    <row r="164" hidden="1">
      <c r="A164" s="64" t="s">
        <v>47</v>
      </c>
      <c r="B164" s="70" t="s">
        <v>569</v>
      </c>
      <c r="C164" s="100" t="s">
        <v>95</v>
      </c>
      <c r="D164" s="87" t="s">
        <v>3144</v>
      </c>
      <c r="E164" s="87" t="s">
        <v>3145</v>
      </c>
      <c r="F164" s="97">
        <v>0.4166666666666667</v>
      </c>
      <c r="G164" s="98" t="s">
        <v>3113</v>
      </c>
      <c r="H164" s="99" t="s">
        <v>3174</v>
      </c>
      <c r="I164" s="99" t="s">
        <v>3147</v>
      </c>
      <c r="J164" s="65"/>
      <c r="K164" s="59"/>
      <c r="L164" s="63"/>
      <c r="M164" s="63" t="b">
        <v>0</v>
      </c>
      <c r="N164" s="63" t="b">
        <v>0</v>
      </c>
      <c r="O164" s="63"/>
      <c r="P164" s="63"/>
      <c r="Q164" s="63"/>
      <c r="R164" s="63"/>
      <c r="S164" s="63"/>
      <c r="T164" s="63"/>
      <c r="U164" s="63"/>
      <c r="V164" s="63"/>
      <c r="W164" s="63"/>
      <c r="X164" s="63"/>
      <c r="Y164" s="63"/>
      <c r="Z164" s="63"/>
      <c r="AA164" s="63"/>
      <c r="AB164" s="63"/>
      <c r="AC164" s="63"/>
      <c r="AD164" s="63"/>
      <c r="AE164" s="63"/>
      <c r="AF164" s="63"/>
    </row>
    <row r="165" hidden="1">
      <c r="A165" s="69"/>
      <c r="B165" s="70" t="s">
        <v>569</v>
      </c>
      <c r="C165" s="80" t="s">
        <v>95</v>
      </c>
      <c r="D165" s="81" t="s">
        <v>3175</v>
      </c>
      <c r="E165" s="81" t="s">
        <v>3176</v>
      </c>
      <c r="F165" s="148">
        <v>0.5</v>
      </c>
      <c r="G165" s="113" t="s">
        <v>3106</v>
      </c>
      <c r="H165" s="112" t="s">
        <v>3177</v>
      </c>
      <c r="I165" s="112" t="s">
        <v>1720</v>
      </c>
      <c r="J165" s="65"/>
      <c r="K165" s="59"/>
      <c r="L165" s="63" t="str">
        <f>VLOOKUP(D165,'Hedef Liste'!A:I,8,false)</f>
        <v>#N/A</v>
      </c>
      <c r="M165" s="63" t="b">
        <v>0</v>
      </c>
      <c r="N165" s="63" t="b">
        <v>0</v>
      </c>
      <c r="O165" s="63"/>
      <c r="P165" s="63"/>
      <c r="Q165" s="63"/>
      <c r="R165" s="63"/>
      <c r="S165" s="63"/>
      <c r="T165" s="63"/>
      <c r="U165" s="63"/>
      <c r="V165" s="63"/>
      <c r="W165" s="63"/>
      <c r="X165" s="63"/>
      <c r="Y165" s="63"/>
      <c r="Z165" s="63"/>
      <c r="AA165" s="63"/>
      <c r="AB165" s="63"/>
      <c r="AC165" s="63"/>
      <c r="AD165" s="63"/>
      <c r="AE165" s="63"/>
      <c r="AF165" s="63"/>
    </row>
    <row r="166" hidden="1">
      <c r="A166" s="69"/>
      <c r="B166" s="70" t="s">
        <v>569</v>
      </c>
      <c r="C166" s="100" t="s">
        <v>95</v>
      </c>
      <c r="D166" s="87" t="s">
        <v>564</v>
      </c>
      <c r="E166" s="87" t="s">
        <v>565</v>
      </c>
      <c r="F166" s="129">
        <v>0.5833333333333334</v>
      </c>
      <c r="G166" s="98" t="s">
        <v>3113</v>
      </c>
      <c r="H166" s="99" t="s">
        <v>3178</v>
      </c>
      <c r="I166" s="87" t="s">
        <v>567</v>
      </c>
      <c r="J166" s="71" t="s">
        <v>3179</v>
      </c>
      <c r="K166" s="59"/>
      <c r="L166" s="63">
        <f>VLOOKUP(D166,'Hedef Liste'!A:I,8,false)</f>
        <v>16</v>
      </c>
      <c r="M166" s="63" t="b">
        <v>0</v>
      </c>
      <c r="N166" s="63" t="b">
        <v>0</v>
      </c>
      <c r="O166" s="63"/>
      <c r="P166" s="63"/>
      <c r="Q166" s="63"/>
      <c r="R166" s="63"/>
      <c r="S166" s="63"/>
      <c r="T166" s="63"/>
      <c r="U166" s="63"/>
      <c r="V166" s="63"/>
      <c r="W166" s="63"/>
      <c r="X166" s="63"/>
      <c r="Y166" s="63"/>
      <c r="Z166" s="63"/>
      <c r="AA166" s="63"/>
      <c r="AB166" s="63"/>
      <c r="AC166" s="63"/>
      <c r="AD166" s="63"/>
      <c r="AE166" s="63"/>
      <c r="AF166" s="63"/>
    </row>
    <row r="167" hidden="1">
      <c r="A167" s="69"/>
      <c r="B167" s="70" t="s">
        <v>569</v>
      </c>
      <c r="C167" s="100" t="s">
        <v>95</v>
      </c>
      <c r="D167" s="149" t="s">
        <v>3180</v>
      </c>
      <c r="E167" s="149" t="s">
        <v>3181</v>
      </c>
      <c r="F167" s="97">
        <v>0.7291666666666666</v>
      </c>
      <c r="G167" s="98" t="s">
        <v>3113</v>
      </c>
      <c r="H167" s="99" t="s">
        <v>3182</v>
      </c>
      <c r="I167" s="99" t="s">
        <v>3183</v>
      </c>
      <c r="J167" s="74" t="s">
        <v>3184</v>
      </c>
      <c r="K167" s="66"/>
      <c r="L167" s="66"/>
      <c r="M167" s="63" t="b">
        <v>0</v>
      </c>
      <c r="N167" s="63" t="b">
        <v>0</v>
      </c>
      <c r="O167" s="63"/>
      <c r="P167" s="63"/>
      <c r="Q167" s="63"/>
      <c r="R167" s="63"/>
      <c r="S167" s="63"/>
      <c r="T167" s="63"/>
      <c r="U167" s="63"/>
      <c r="V167" s="63"/>
      <c r="W167" s="63"/>
      <c r="X167" s="63"/>
      <c r="Y167" s="63"/>
      <c r="Z167" s="63"/>
      <c r="AA167" s="63"/>
      <c r="AB167" s="63"/>
      <c r="AC167" s="63"/>
      <c r="AD167" s="63"/>
      <c r="AE167" s="63"/>
      <c r="AF167" s="63"/>
    </row>
    <row r="168" hidden="1">
      <c r="A168" s="79"/>
      <c r="B168" s="59"/>
      <c r="C168" s="65"/>
      <c r="D168" s="71"/>
      <c r="E168" s="71"/>
      <c r="F168" s="114"/>
      <c r="G168" s="76"/>
      <c r="H168" s="76"/>
      <c r="I168" s="71"/>
      <c r="J168" s="76"/>
      <c r="K168" s="76"/>
      <c r="L168" s="63"/>
      <c r="M168" s="63" t="b">
        <v>0</v>
      </c>
      <c r="N168" s="63" t="b">
        <v>0</v>
      </c>
      <c r="O168" s="63"/>
      <c r="P168" s="63"/>
      <c r="Q168" s="63"/>
      <c r="R168" s="63"/>
      <c r="S168" s="63"/>
      <c r="T168" s="63"/>
      <c r="U168" s="63"/>
      <c r="V168" s="63"/>
      <c r="W168" s="63"/>
      <c r="X168" s="63"/>
      <c r="Y168" s="63"/>
      <c r="Z168" s="63"/>
      <c r="AA168" s="63"/>
      <c r="AB168" s="63"/>
      <c r="AC168" s="63"/>
      <c r="AD168" s="63"/>
      <c r="AE168" s="63"/>
      <c r="AF168" s="63"/>
    </row>
    <row r="169" hidden="1">
      <c r="A169" s="58"/>
      <c r="B169" s="58">
        <v>44313.0</v>
      </c>
      <c r="C169" s="59"/>
      <c r="D169" s="60"/>
      <c r="E169" s="61"/>
      <c r="F169" s="61"/>
      <c r="G169" s="61"/>
      <c r="H169" s="61"/>
      <c r="I169" s="61"/>
      <c r="J169" s="61"/>
      <c r="K169" s="62"/>
      <c r="L169" s="63"/>
      <c r="M169" s="63"/>
      <c r="N169" s="63"/>
      <c r="O169" s="63"/>
      <c r="P169" s="63"/>
      <c r="Q169" s="63"/>
      <c r="R169" s="63"/>
      <c r="S169" s="63"/>
      <c r="T169" s="63"/>
      <c r="U169" s="63"/>
      <c r="V169" s="63"/>
      <c r="W169" s="63"/>
      <c r="X169" s="63"/>
      <c r="Y169" s="63"/>
      <c r="Z169" s="63"/>
      <c r="AA169" s="63"/>
      <c r="AB169" s="63"/>
      <c r="AC169" s="63"/>
      <c r="AD169" s="63"/>
      <c r="AE169" s="63"/>
      <c r="AF169" s="63"/>
    </row>
    <row r="170" hidden="1">
      <c r="A170" s="64" t="s">
        <v>47</v>
      </c>
      <c r="B170" s="66"/>
      <c r="C170" s="65"/>
      <c r="D170" s="66"/>
      <c r="E170" s="71"/>
      <c r="F170" s="67"/>
      <c r="G170" s="68"/>
      <c r="H170" s="66"/>
      <c r="I170" s="66"/>
      <c r="J170" s="59"/>
      <c r="K170" s="59"/>
      <c r="L170" s="63"/>
      <c r="M170" s="63" t="b">
        <v>0</v>
      </c>
      <c r="N170" s="63" t="b">
        <v>0</v>
      </c>
      <c r="O170" s="63"/>
      <c r="P170" s="63"/>
      <c r="Q170" s="63"/>
      <c r="R170" s="63"/>
      <c r="S170" s="63"/>
      <c r="T170" s="63"/>
      <c r="U170" s="63"/>
      <c r="V170" s="63"/>
      <c r="W170" s="63"/>
      <c r="X170" s="63"/>
      <c r="Y170" s="63"/>
      <c r="Z170" s="63"/>
      <c r="AA170" s="63"/>
      <c r="AB170" s="63"/>
      <c r="AC170" s="63"/>
      <c r="AD170" s="63"/>
      <c r="AE170" s="63"/>
      <c r="AF170" s="63"/>
    </row>
    <row r="171" hidden="1">
      <c r="A171" s="79"/>
      <c r="B171" s="70" t="s">
        <v>96</v>
      </c>
      <c r="C171" s="65" t="s">
        <v>95</v>
      </c>
      <c r="D171" s="71" t="s">
        <v>428</v>
      </c>
      <c r="E171" s="71" t="s">
        <v>429</v>
      </c>
      <c r="F171" s="114">
        <v>0.5416666666666666</v>
      </c>
      <c r="G171" s="76" t="s">
        <v>3185</v>
      </c>
      <c r="H171" s="76" t="s">
        <v>3186</v>
      </c>
      <c r="I171" s="71" t="s">
        <v>431</v>
      </c>
      <c r="J171" s="76"/>
      <c r="K171" s="76"/>
      <c r="L171" s="63"/>
      <c r="M171" s="63" t="b">
        <v>0</v>
      </c>
      <c r="N171" s="63" t="b">
        <v>0</v>
      </c>
      <c r="O171" s="63"/>
      <c r="P171" s="63"/>
      <c r="Q171" s="63"/>
      <c r="R171" s="63"/>
      <c r="S171" s="63"/>
      <c r="T171" s="63"/>
      <c r="U171" s="63"/>
      <c r="V171" s="63"/>
      <c r="W171" s="63"/>
      <c r="X171" s="63"/>
      <c r="Y171" s="63"/>
      <c r="Z171" s="63"/>
      <c r="AA171" s="63"/>
      <c r="AB171" s="63"/>
      <c r="AC171" s="63"/>
      <c r="AD171" s="63"/>
      <c r="AE171" s="63"/>
      <c r="AF171" s="63"/>
    </row>
    <row r="172" hidden="1">
      <c r="A172" s="135"/>
      <c r="B172" s="70" t="s">
        <v>96</v>
      </c>
      <c r="C172" s="65" t="s">
        <v>95</v>
      </c>
      <c r="D172" s="71" t="s">
        <v>1511</v>
      </c>
      <c r="E172" s="71" t="s">
        <v>1512</v>
      </c>
      <c r="F172" s="114">
        <v>0.625</v>
      </c>
      <c r="G172" s="73" t="s">
        <v>3116</v>
      </c>
      <c r="H172" s="74" t="s">
        <v>3187</v>
      </c>
      <c r="I172" s="71" t="s">
        <v>3118</v>
      </c>
      <c r="J172" s="76"/>
      <c r="K172" s="76"/>
      <c r="L172" s="63"/>
      <c r="M172" s="63" t="b">
        <v>0</v>
      </c>
      <c r="N172" s="63" t="b">
        <v>0</v>
      </c>
      <c r="O172" s="63"/>
      <c r="P172" s="63"/>
      <c r="Q172" s="63"/>
      <c r="R172" s="63"/>
      <c r="S172" s="63"/>
      <c r="T172" s="63"/>
      <c r="U172" s="63"/>
      <c r="V172" s="63"/>
      <c r="W172" s="63"/>
      <c r="X172" s="63"/>
      <c r="Y172" s="63"/>
      <c r="Z172" s="63"/>
      <c r="AA172" s="63"/>
      <c r="AB172" s="63"/>
      <c r="AC172" s="63"/>
      <c r="AD172" s="63"/>
      <c r="AE172" s="63"/>
      <c r="AF172" s="63"/>
    </row>
    <row r="173" hidden="1">
      <c r="A173" s="135"/>
      <c r="B173" s="70" t="s">
        <v>96</v>
      </c>
      <c r="C173" s="80" t="s">
        <v>95</v>
      </c>
      <c r="D173" s="81" t="s">
        <v>3188</v>
      </c>
      <c r="E173" s="81" t="s">
        <v>3189</v>
      </c>
      <c r="F173" s="150">
        <v>0.6875</v>
      </c>
      <c r="G173" s="84" t="s">
        <v>3190</v>
      </c>
      <c r="H173" s="84" t="s">
        <v>3191</v>
      </c>
      <c r="I173" s="81" t="s">
        <v>375</v>
      </c>
      <c r="J173" s="84" t="s">
        <v>3192</v>
      </c>
      <c r="K173" s="76"/>
      <c r="L173" s="63"/>
      <c r="M173" s="63" t="b">
        <v>0</v>
      </c>
      <c r="N173" s="63" t="b">
        <v>0</v>
      </c>
      <c r="O173" s="63"/>
      <c r="P173" s="63"/>
      <c r="Q173" s="63"/>
      <c r="R173" s="63"/>
      <c r="S173" s="63"/>
      <c r="T173" s="63"/>
      <c r="U173" s="63"/>
      <c r="V173" s="63"/>
      <c r="W173" s="63"/>
      <c r="X173" s="63"/>
      <c r="Y173" s="63"/>
      <c r="Z173" s="63"/>
      <c r="AA173" s="63"/>
      <c r="AB173" s="63"/>
      <c r="AC173" s="63"/>
      <c r="AD173" s="63"/>
      <c r="AE173" s="63"/>
      <c r="AF173" s="63"/>
    </row>
    <row r="174" hidden="1">
      <c r="A174" s="135"/>
      <c r="B174" s="59"/>
      <c r="C174" s="59"/>
      <c r="D174" s="76"/>
      <c r="E174" s="76"/>
      <c r="F174" s="94"/>
      <c r="G174" s="76"/>
      <c r="H174" s="76"/>
      <c r="I174" s="76"/>
      <c r="J174" s="76"/>
      <c r="K174" s="76"/>
      <c r="L174" s="63"/>
      <c r="M174" s="63" t="b">
        <v>0</v>
      </c>
      <c r="N174" s="63" t="b">
        <v>0</v>
      </c>
      <c r="O174" s="63"/>
      <c r="P174" s="63"/>
      <c r="Q174" s="63"/>
      <c r="R174" s="63"/>
      <c r="S174" s="63"/>
      <c r="T174" s="63"/>
      <c r="U174" s="63"/>
      <c r="V174" s="63"/>
      <c r="W174" s="63"/>
      <c r="X174" s="63"/>
      <c r="Y174" s="63"/>
      <c r="Z174" s="63"/>
      <c r="AA174" s="63"/>
      <c r="AB174" s="63"/>
      <c r="AC174" s="63"/>
      <c r="AD174" s="63"/>
      <c r="AE174" s="63"/>
      <c r="AF174" s="63"/>
    </row>
    <row r="175" hidden="1">
      <c r="A175" s="58"/>
      <c r="B175" s="58">
        <v>44314.0</v>
      </c>
      <c r="C175" s="59"/>
      <c r="D175" s="60"/>
      <c r="E175" s="61"/>
      <c r="F175" s="61"/>
      <c r="G175" s="61"/>
      <c r="H175" s="61"/>
      <c r="I175" s="61"/>
      <c r="J175" s="61"/>
      <c r="K175" s="62"/>
      <c r="L175" s="63"/>
      <c r="M175" s="63"/>
      <c r="N175" s="63"/>
      <c r="O175" s="63"/>
      <c r="P175" s="63"/>
      <c r="Q175" s="63"/>
      <c r="R175" s="63"/>
      <c r="S175" s="63"/>
      <c r="T175" s="63"/>
      <c r="U175" s="63"/>
      <c r="V175" s="63"/>
      <c r="W175" s="63"/>
      <c r="X175" s="63"/>
      <c r="Y175" s="63"/>
      <c r="Z175" s="63"/>
      <c r="AA175" s="63"/>
      <c r="AB175" s="63"/>
      <c r="AC175" s="63"/>
      <c r="AD175" s="63"/>
      <c r="AE175" s="63"/>
      <c r="AF175" s="63"/>
    </row>
    <row r="176" hidden="1">
      <c r="A176" s="64" t="s">
        <v>47</v>
      </c>
      <c r="B176" s="59"/>
      <c r="C176" s="65"/>
      <c r="D176" s="66"/>
      <c r="E176" s="66"/>
      <c r="F176" s="67"/>
      <c r="G176" s="68"/>
      <c r="H176" s="66"/>
      <c r="I176" s="66"/>
      <c r="J176" s="59"/>
      <c r="K176" s="59"/>
      <c r="L176" s="63"/>
      <c r="M176" s="63" t="b">
        <v>0</v>
      </c>
      <c r="N176" s="63" t="b">
        <v>0</v>
      </c>
      <c r="O176" s="63"/>
      <c r="P176" s="63"/>
      <c r="Q176" s="63"/>
      <c r="R176" s="63"/>
      <c r="S176" s="63"/>
      <c r="T176" s="63"/>
      <c r="U176" s="63"/>
      <c r="V176" s="63"/>
      <c r="W176" s="63"/>
      <c r="X176" s="63"/>
      <c r="Y176" s="63"/>
      <c r="Z176" s="63"/>
      <c r="AA176" s="63"/>
      <c r="AB176" s="63"/>
      <c r="AC176" s="63"/>
      <c r="AD176" s="63"/>
      <c r="AE176" s="63"/>
      <c r="AF176" s="63"/>
    </row>
    <row r="177" hidden="1">
      <c r="A177" s="69"/>
      <c r="B177" s="70" t="s">
        <v>569</v>
      </c>
      <c r="C177" s="80" t="s">
        <v>95</v>
      </c>
      <c r="D177" s="81" t="s">
        <v>3193</v>
      </c>
      <c r="E177" s="81" t="s">
        <v>3194</v>
      </c>
      <c r="F177" s="151" t="s">
        <v>3034</v>
      </c>
      <c r="G177" s="81" t="s">
        <v>3113</v>
      </c>
      <c r="H177" s="81" t="s">
        <v>3195</v>
      </c>
      <c r="I177" s="81" t="s">
        <v>3196</v>
      </c>
      <c r="J177" s="65"/>
      <c r="K177" s="59"/>
      <c r="L177" s="63" t="str">
        <f>VLOOKUP(D177,'Hedef Liste'!A:I,8,false)</f>
        <v>#N/A</v>
      </c>
      <c r="M177" s="63" t="b">
        <v>0</v>
      </c>
      <c r="N177" s="63" t="b">
        <v>0</v>
      </c>
      <c r="O177" s="63"/>
      <c r="P177" s="63"/>
      <c r="Q177" s="63"/>
      <c r="R177" s="63"/>
      <c r="S177" s="63"/>
      <c r="T177" s="63"/>
      <c r="U177" s="63"/>
      <c r="V177" s="63"/>
      <c r="W177" s="63"/>
      <c r="X177" s="63"/>
      <c r="Y177" s="63"/>
      <c r="Z177" s="63"/>
      <c r="AA177" s="63"/>
      <c r="AB177" s="63"/>
      <c r="AC177" s="63"/>
      <c r="AD177" s="63"/>
      <c r="AE177" s="63"/>
      <c r="AF177" s="63"/>
    </row>
    <row r="178" hidden="1">
      <c r="A178" s="69"/>
      <c r="B178" s="70" t="s">
        <v>569</v>
      </c>
      <c r="C178" s="80" t="s">
        <v>95</v>
      </c>
      <c r="D178" s="81" t="s">
        <v>3197</v>
      </c>
      <c r="E178" s="81" t="s">
        <v>688</v>
      </c>
      <c r="F178" s="119" t="s">
        <v>3057</v>
      </c>
      <c r="G178" s="83" t="s">
        <v>3090</v>
      </c>
      <c r="H178" s="80" t="s">
        <v>3198</v>
      </c>
      <c r="I178" s="81" t="s">
        <v>690</v>
      </c>
      <c r="J178" s="65" t="s">
        <v>3199</v>
      </c>
      <c r="K178" s="59"/>
      <c r="L178" s="63" t="str">
        <f>VLOOKUP(D178,'Hedef Liste'!A:I,8,false)</f>
        <v>#N/A</v>
      </c>
      <c r="M178" s="63" t="b">
        <v>0</v>
      </c>
      <c r="N178" s="63" t="b">
        <v>0</v>
      </c>
      <c r="O178" s="63"/>
      <c r="P178" s="63"/>
      <c r="Q178" s="63"/>
      <c r="R178" s="63"/>
      <c r="S178" s="63"/>
      <c r="T178" s="63"/>
      <c r="U178" s="63"/>
      <c r="V178" s="63"/>
      <c r="W178" s="63"/>
      <c r="X178" s="63"/>
      <c r="Y178" s="63"/>
      <c r="Z178" s="63"/>
      <c r="AA178" s="63"/>
      <c r="AB178" s="63"/>
      <c r="AC178" s="63"/>
      <c r="AD178" s="63"/>
      <c r="AE178" s="63"/>
      <c r="AF178" s="63"/>
    </row>
    <row r="179" hidden="1">
      <c r="A179" s="69"/>
      <c r="B179" s="70" t="s">
        <v>569</v>
      </c>
      <c r="C179" s="80" t="s">
        <v>95</v>
      </c>
      <c r="D179" s="81" t="s">
        <v>2169</v>
      </c>
      <c r="E179" s="81" t="s">
        <v>2170</v>
      </c>
      <c r="F179" s="82" t="s">
        <v>3027</v>
      </c>
      <c r="G179" s="83" t="s">
        <v>3200</v>
      </c>
      <c r="H179" s="80" t="s">
        <v>3201</v>
      </c>
      <c r="I179" s="81" t="s">
        <v>2171</v>
      </c>
      <c r="J179" s="65" t="s">
        <v>3202</v>
      </c>
      <c r="K179" s="59"/>
      <c r="L179" s="63">
        <f>VLOOKUP(D179,'Hedef Liste'!A:I,8,false)</f>
        <v>21</v>
      </c>
      <c r="M179" s="63" t="b">
        <v>0</v>
      </c>
      <c r="N179" s="63" t="b">
        <v>0</v>
      </c>
      <c r="O179" s="63"/>
      <c r="P179" s="63"/>
      <c r="Q179" s="63"/>
      <c r="R179" s="63"/>
      <c r="S179" s="63"/>
      <c r="T179" s="63"/>
      <c r="U179" s="63"/>
      <c r="V179" s="63"/>
      <c r="W179" s="63"/>
      <c r="X179" s="63"/>
      <c r="Y179" s="63"/>
      <c r="Z179" s="63"/>
      <c r="AA179" s="63"/>
      <c r="AB179" s="63"/>
      <c r="AC179" s="63"/>
      <c r="AD179" s="63"/>
      <c r="AE179" s="63"/>
      <c r="AF179" s="63"/>
    </row>
    <row r="180" hidden="1">
      <c r="A180" s="69"/>
      <c r="B180" s="70" t="s">
        <v>569</v>
      </c>
      <c r="C180" s="80" t="s">
        <v>181</v>
      </c>
      <c r="D180" s="81" t="s">
        <v>927</v>
      </c>
      <c r="E180" s="81" t="s">
        <v>928</v>
      </c>
      <c r="F180" s="82" t="s">
        <v>3068</v>
      </c>
      <c r="G180" s="83" t="s">
        <v>3200</v>
      </c>
      <c r="H180" s="84" t="s">
        <v>3203</v>
      </c>
      <c r="I180" s="81" t="s">
        <v>930</v>
      </c>
      <c r="J180" s="59"/>
      <c r="K180" s="59"/>
      <c r="L180" s="63">
        <f>VLOOKUP(D180,'Hedef Liste'!A:I,8,false)</f>
        <v>9</v>
      </c>
      <c r="M180" s="63" t="b">
        <v>0</v>
      </c>
      <c r="N180" s="63" t="b">
        <v>0</v>
      </c>
      <c r="O180" s="63"/>
      <c r="P180" s="63"/>
      <c r="Q180" s="63"/>
      <c r="R180" s="63"/>
      <c r="S180" s="63"/>
      <c r="T180" s="63"/>
      <c r="U180" s="63"/>
      <c r="V180" s="63"/>
      <c r="W180" s="63"/>
      <c r="X180" s="63"/>
      <c r="Y180" s="63"/>
      <c r="Z180" s="63"/>
      <c r="AA180" s="63"/>
      <c r="AB180" s="63"/>
      <c r="AC180" s="63"/>
      <c r="AD180" s="63"/>
      <c r="AE180" s="63"/>
      <c r="AF180" s="63"/>
    </row>
    <row r="181" hidden="1">
      <c r="A181" s="79"/>
      <c r="B181" s="59"/>
      <c r="C181" s="65"/>
      <c r="D181" s="71"/>
      <c r="E181" s="71"/>
      <c r="F181" s="94"/>
      <c r="G181" s="76"/>
      <c r="H181" s="76"/>
      <c r="I181" s="71"/>
      <c r="J181" s="76"/>
      <c r="K181" s="76"/>
      <c r="L181" s="63"/>
      <c r="M181" s="63" t="b">
        <v>0</v>
      </c>
      <c r="N181" s="63" t="b">
        <v>0</v>
      </c>
      <c r="O181" s="63"/>
      <c r="P181" s="63"/>
      <c r="Q181" s="63"/>
      <c r="R181" s="63"/>
      <c r="S181" s="63"/>
      <c r="T181" s="63"/>
      <c r="U181" s="63"/>
      <c r="V181" s="63"/>
      <c r="W181" s="63"/>
      <c r="X181" s="63"/>
      <c r="Y181" s="63"/>
      <c r="Z181" s="63"/>
      <c r="AA181" s="63"/>
      <c r="AB181" s="63"/>
      <c r="AC181" s="63"/>
      <c r="AD181" s="63"/>
      <c r="AE181" s="63"/>
      <c r="AF181" s="63"/>
    </row>
    <row r="182" hidden="1">
      <c r="A182" s="135"/>
      <c r="B182" s="59"/>
      <c r="C182" s="65"/>
      <c r="D182" s="71"/>
      <c r="E182" s="71"/>
      <c r="F182" s="72"/>
      <c r="G182" s="73"/>
      <c r="H182" s="74"/>
      <c r="I182" s="74"/>
      <c r="J182" s="59"/>
      <c r="K182" s="59"/>
      <c r="L182" s="63"/>
      <c r="M182" s="63" t="b">
        <v>0</v>
      </c>
      <c r="N182" s="63" t="b">
        <v>0</v>
      </c>
      <c r="O182" s="63"/>
      <c r="P182" s="63"/>
      <c r="Q182" s="63"/>
      <c r="R182" s="63"/>
      <c r="S182" s="63"/>
      <c r="T182" s="63"/>
      <c r="U182" s="63"/>
      <c r="V182" s="63"/>
      <c r="W182" s="63"/>
      <c r="X182" s="63"/>
      <c r="Y182" s="63"/>
      <c r="Z182" s="63"/>
      <c r="AA182" s="63"/>
      <c r="AB182" s="63"/>
      <c r="AC182" s="63"/>
      <c r="AD182" s="63"/>
      <c r="AE182" s="63"/>
      <c r="AF182" s="63"/>
    </row>
    <row r="183" hidden="1">
      <c r="A183" s="64" t="s">
        <v>47</v>
      </c>
      <c r="B183" s="59"/>
      <c r="C183" s="65"/>
      <c r="D183" s="71"/>
      <c r="E183" s="71"/>
      <c r="F183" s="72"/>
      <c r="G183" s="73"/>
      <c r="H183" s="74"/>
      <c r="I183" s="74"/>
      <c r="J183" s="65"/>
      <c r="K183" s="59"/>
      <c r="L183" s="63"/>
      <c r="M183" s="63" t="b">
        <v>0</v>
      </c>
      <c r="N183" s="63" t="b">
        <v>0</v>
      </c>
      <c r="O183" s="63"/>
      <c r="P183" s="63"/>
      <c r="Q183" s="63"/>
      <c r="R183" s="63"/>
      <c r="S183" s="63"/>
      <c r="T183" s="63"/>
      <c r="U183" s="63"/>
      <c r="V183" s="63"/>
      <c r="W183" s="63"/>
      <c r="X183" s="63"/>
      <c r="Y183" s="63"/>
      <c r="Z183" s="63"/>
      <c r="AA183" s="63"/>
      <c r="AB183" s="63"/>
      <c r="AC183" s="63"/>
      <c r="AD183" s="63"/>
      <c r="AE183" s="63"/>
      <c r="AF183" s="63"/>
    </row>
    <row r="184" hidden="1">
      <c r="A184" s="69"/>
      <c r="B184" s="70" t="s">
        <v>96</v>
      </c>
      <c r="C184" s="65"/>
      <c r="D184" s="71"/>
      <c r="E184" s="71"/>
      <c r="F184" s="136"/>
      <c r="G184" s="73"/>
      <c r="H184" s="74"/>
      <c r="I184" s="71"/>
      <c r="J184" s="65"/>
      <c r="K184" s="59"/>
      <c r="L184" s="63" t="str">
        <f>VLOOKUP(D184,'Hedef Liste'!A:I,8,false)</f>
        <v>#N/A</v>
      </c>
      <c r="M184" s="63" t="b">
        <v>0</v>
      </c>
      <c r="N184" s="63" t="b">
        <v>0</v>
      </c>
      <c r="O184" s="63"/>
      <c r="P184" s="63"/>
      <c r="Q184" s="63"/>
      <c r="R184" s="63"/>
      <c r="S184" s="63"/>
      <c r="T184" s="63"/>
      <c r="U184" s="63"/>
      <c r="V184" s="63"/>
      <c r="W184" s="63"/>
      <c r="X184" s="63"/>
      <c r="Y184" s="63"/>
      <c r="Z184" s="63"/>
      <c r="AA184" s="63"/>
      <c r="AB184" s="63"/>
      <c r="AC184" s="63"/>
      <c r="AD184" s="63"/>
      <c r="AE184" s="63"/>
      <c r="AF184" s="63"/>
    </row>
    <row r="185" hidden="1">
      <c r="A185" s="69"/>
      <c r="B185" s="70" t="s">
        <v>96</v>
      </c>
      <c r="C185" s="65" t="s">
        <v>95</v>
      </c>
      <c r="D185" s="105" t="s">
        <v>1228</v>
      </c>
      <c r="E185" s="105" t="s">
        <v>1229</v>
      </c>
      <c r="F185" s="128">
        <v>0.4791666666666667</v>
      </c>
      <c r="G185" s="152" t="s">
        <v>3113</v>
      </c>
      <c r="H185" s="70" t="s">
        <v>3204</v>
      </c>
      <c r="I185" s="153" t="s">
        <v>1232</v>
      </c>
      <c r="J185" s="29"/>
      <c r="K185" s="107"/>
      <c r="L185" s="63">
        <f>VLOOKUP(D185,'Hedef Liste'!A:I,8,false)</f>
        <v>37</v>
      </c>
      <c r="M185" s="63" t="b">
        <v>0</v>
      </c>
      <c r="N185" s="63" t="b">
        <v>0</v>
      </c>
      <c r="O185" s="63"/>
      <c r="P185" s="63"/>
      <c r="Q185" s="63"/>
      <c r="R185" s="63"/>
      <c r="S185" s="63"/>
      <c r="T185" s="63"/>
      <c r="U185" s="63"/>
      <c r="V185" s="63"/>
      <c r="W185" s="63"/>
      <c r="X185" s="63"/>
      <c r="Y185" s="63"/>
      <c r="Z185" s="63"/>
      <c r="AA185" s="63"/>
      <c r="AB185" s="63"/>
      <c r="AC185" s="63"/>
      <c r="AD185" s="63"/>
      <c r="AE185" s="63"/>
      <c r="AF185" s="63"/>
    </row>
    <row r="186" hidden="1">
      <c r="A186" s="69"/>
      <c r="B186" s="70" t="s">
        <v>96</v>
      </c>
      <c r="C186" s="65" t="s">
        <v>95</v>
      </c>
      <c r="D186" s="71" t="s">
        <v>3205</v>
      </c>
      <c r="E186" s="71" t="s">
        <v>3206</v>
      </c>
      <c r="F186" s="136">
        <v>0.5416666666666666</v>
      </c>
      <c r="G186" s="73" t="s">
        <v>3207</v>
      </c>
      <c r="H186" s="74" t="s">
        <v>3208</v>
      </c>
      <c r="I186" s="74" t="s">
        <v>3209</v>
      </c>
      <c r="J186" s="65"/>
      <c r="K186" s="59"/>
      <c r="L186" s="63" t="str">
        <f>VLOOKUP(D186,'Hedef Liste'!A:I,8,false)</f>
        <v>#N/A</v>
      </c>
      <c r="M186" s="63" t="b">
        <v>0</v>
      </c>
      <c r="N186" s="63" t="b">
        <v>0</v>
      </c>
      <c r="O186" s="63"/>
      <c r="P186" s="63"/>
      <c r="Q186" s="63"/>
      <c r="R186" s="63"/>
      <c r="S186" s="63"/>
      <c r="T186" s="63"/>
      <c r="U186" s="63"/>
      <c r="V186" s="63"/>
      <c r="W186" s="63"/>
      <c r="X186" s="63"/>
      <c r="Y186" s="63"/>
      <c r="Z186" s="63"/>
      <c r="AA186" s="63"/>
      <c r="AB186" s="63"/>
      <c r="AC186" s="63"/>
      <c r="AD186" s="63"/>
      <c r="AE186" s="63"/>
      <c r="AF186" s="63"/>
    </row>
    <row r="187" hidden="1">
      <c r="A187" s="69"/>
      <c r="B187" s="70" t="s">
        <v>96</v>
      </c>
      <c r="C187" s="65" t="s">
        <v>95</v>
      </c>
      <c r="D187" s="71" t="s">
        <v>1272</v>
      </c>
      <c r="E187" s="71" t="s">
        <v>1273</v>
      </c>
      <c r="F187" s="77" t="s">
        <v>3014</v>
      </c>
      <c r="G187" s="73" t="s">
        <v>3207</v>
      </c>
      <c r="H187" s="71" t="s">
        <v>3210</v>
      </c>
      <c r="I187" s="71" t="s">
        <v>1275</v>
      </c>
      <c r="J187" s="65"/>
      <c r="K187" s="59"/>
      <c r="L187" s="63"/>
      <c r="M187" s="63" t="b">
        <v>0</v>
      </c>
      <c r="N187" s="63" t="b">
        <v>0</v>
      </c>
      <c r="O187" s="63"/>
      <c r="P187" s="63"/>
      <c r="Q187" s="63"/>
      <c r="R187" s="63"/>
      <c r="S187" s="63"/>
      <c r="T187" s="63"/>
      <c r="U187" s="63"/>
      <c r="V187" s="63"/>
      <c r="W187" s="63"/>
      <c r="X187" s="63"/>
      <c r="Y187" s="63"/>
      <c r="Z187" s="63"/>
      <c r="AA187" s="63"/>
      <c r="AB187" s="63"/>
      <c r="AC187" s="63"/>
      <c r="AD187" s="63"/>
      <c r="AE187" s="63"/>
      <c r="AF187" s="63"/>
    </row>
    <row r="188" hidden="1">
      <c r="A188" s="69"/>
      <c r="B188" s="70" t="s">
        <v>96</v>
      </c>
      <c r="C188" s="65" t="s">
        <v>95</v>
      </c>
      <c r="D188" s="71" t="s">
        <v>513</v>
      </c>
      <c r="E188" s="71" t="s">
        <v>514</v>
      </c>
      <c r="F188" s="77" t="s">
        <v>3211</v>
      </c>
      <c r="G188" s="71" t="s">
        <v>3212</v>
      </c>
      <c r="H188" s="71" t="s">
        <v>3213</v>
      </c>
      <c r="I188" s="71" t="s">
        <v>516</v>
      </c>
      <c r="J188" s="59"/>
      <c r="K188" s="59"/>
      <c r="L188" s="63">
        <f>VLOOKUP(D188,'Hedef Liste'!A:I,8,false)</f>
        <v>0</v>
      </c>
      <c r="M188" s="63" t="b">
        <v>0</v>
      </c>
      <c r="N188" s="63" t="b">
        <v>0</v>
      </c>
      <c r="O188" s="63"/>
      <c r="P188" s="63"/>
      <c r="Q188" s="63"/>
      <c r="R188" s="63"/>
      <c r="S188" s="63"/>
      <c r="T188" s="63"/>
      <c r="U188" s="63"/>
      <c r="V188" s="63"/>
      <c r="W188" s="63"/>
      <c r="X188" s="63"/>
      <c r="Y188" s="63"/>
      <c r="Z188" s="63"/>
      <c r="AA188" s="63"/>
      <c r="AB188" s="63"/>
      <c r="AC188" s="63"/>
      <c r="AD188" s="63"/>
      <c r="AE188" s="63"/>
      <c r="AF188" s="63"/>
    </row>
    <row r="189" hidden="1">
      <c r="A189" s="79"/>
      <c r="B189" s="59"/>
      <c r="C189" s="65"/>
      <c r="D189" s="71"/>
      <c r="E189" s="71"/>
      <c r="F189" s="114"/>
      <c r="G189" s="76"/>
      <c r="H189" s="71"/>
      <c r="I189" s="76"/>
      <c r="J189" s="76"/>
      <c r="K189" s="76"/>
      <c r="L189" s="63"/>
      <c r="M189" s="63" t="b">
        <v>0</v>
      </c>
      <c r="N189" s="63" t="b">
        <v>0</v>
      </c>
      <c r="O189" s="63"/>
      <c r="P189" s="63"/>
      <c r="Q189" s="63"/>
      <c r="R189" s="63"/>
      <c r="S189" s="63"/>
      <c r="T189" s="63"/>
      <c r="U189" s="63"/>
      <c r="V189" s="63"/>
      <c r="W189" s="63"/>
      <c r="X189" s="63"/>
      <c r="Y189" s="63"/>
      <c r="Z189" s="63"/>
      <c r="AA189" s="63"/>
      <c r="AB189" s="63"/>
      <c r="AC189" s="63"/>
      <c r="AD189" s="63"/>
      <c r="AE189" s="63"/>
      <c r="AF189" s="63"/>
    </row>
    <row r="190" hidden="1">
      <c r="A190" s="58"/>
      <c r="B190" s="58">
        <v>44315.0</v>
      </c>
      <c r="C190" s="59"/>
      <c r="D190" s="60"/>
      <c r="E190" s="61"/>
      <c r="F190" s="61"/>
      <c r="G190" s="61"/>
      <c r="H190" s="61"/>
      <c r="I190" s="61"/>
      <c r="J190" s="61"/>
      <c r="K190" s="62"/>
      <c r="L190" s="63"/>
      <c r="M190" s="63"/>
      <c r="N190" s="63"/>
      <c r="O190" s="63"/>
      <c r="P190" s="63"/>
      <c r="Q190" s="63"/>
      <c r="R190" s="63"/>
      <c r="S190" s="63"/>
      <c r="T190" s="63"/>
      <c r="U190" s="63"/>
      <c r="V190" s="63"/>
      <c r="W190" s="63"/>
      <c r="X190" s="63"/>
      <c r="Y190" s="63"/>
      <c r="Z190" s="63"/>
      <c r="AA190" s="63"/>
      <c r="AB190" s="63"/>
      <c r="AC190" s="63"/>
      <c r="AD190" s="63"/>
      <c r="AE190" s="63"/>
      <c r="AF190" s="63"/>
    </row>
    <row r="191" hidden="1">
      <c r="A191" s="64" t="s">
        <v>47</v>
      </c>
      <c r="B191" s="59"/>
      <c r="C191" s="65"/>
      <c r="D191" s="66"/>
      <c r="E191" s="139" t="s">
        <v>2959</v>
      </c>
      <c r="F191" s="67"/>
      <c r="G191" s="68"/>
      <c r="H191" s="66"/>
      <c r="I191" s="66"/>
      <c r="J191" s="59"/>
      <c r="K191" s="59"/>
      <c r="L191" s="63"/>
      <c r="M191" s="63" t="b">
        <v>0</v>
      </c>
      <c r="N191" s="63" t="b">
        <v>0</v>
      </c>
      <c r="O191" s="63"/>
      <c r="P191" s="63"/>
      <c r="Q191" s="63"/>
      <c r="R191" s="63"/>
      <c r="S191" s="63"/>
      <c r="T191" s="63"/>
      <c r="U191" s="63"/>
      <c r="V191" s="63"/>
      <c r="W191" s="63"/>
      <c r="X191" s="63"/>
      <c r="Y191" s="63"/>
      <c r="Z191" s="63"/>
      <c r="AA191" s="63"/>
      <c r="AB191" s="63"/>
      <c r="AC191" s="63"/>
      <c r="AD191" s="63"/>
      <c r="AE191" s="63"/>
      <c r="AF191" s="63"/>
    </row>
    <row r="192" hidden="1">
      <c r="A192" s="69"/>
      <c r="B192" s="70" t="s">
        <v>96</v>
      </c>
      <c r="C192" s="65" t="s">
        <v>95</v>
      </c>
      <c r="D192" s="71" t="s">
        <v>2815</v>
      </c>
      <c r="E192" s="71" t="s">
        <v>2816</v>
      </c>
      <c r="F192" s="95" t="s">
        <v>3011</v>
      </c>
      <c r="G192" s="73" t="s">
        <v>3214</v>
      </c>
      <c r="H192" s="74" t="s">
        <v>3215</v>
      </c>
      <c r="I192" s="71" t="s">
        <v>2818</v>
      </c>
      <c r="J192" s="59"/>
      <c r="K192" s="59"/>
      <c r="L192" s="63">
        <f>VLOOKUP(D192,'Hedef Liste'!A:I,8,false)</f>
        <v>25</v>
      </c>
      <c r="M192" s="63" t="b">
        <v>0</v>
      </c>
      <c r="N192" s="63" t="b">
        <v>0</v>
      </c>
      <c r="O192" s="63"/>
      <c r="P192" s="63"/>
      <c r="Q192" s="63"/>
      <c r="R192" s="63"/>
      <c r="S192" s="63"/>
      <c r="T192" s="63"/>
      <c r="U192" s="63"/>
      <c r="V192" s="63"/>
      <c r="W192" s="63"/>
      <c r="X192" s="63"/>
      <c r="Y192" s="63"/>
      <c r="Z192" s="63"/>
      <c r="AA192" s="63"/>
      <c r="AB192" s="63"/>
      <c r="AC192" s="63"/>
      <c r="AD192" s="63"/>
      <c r="AE192" s="63"/>
      <c r="AF192" s="63"/>
    </row>
    <row r="193" hidden="1">
      <c r="A193" s="69"/>
      <c r="B193" s="70" t="s">
        <v>96</v>
      </c>
      <c r="C193" s="65" t="s">
        <v>95</v>
      </c>
      <c r="D193" s="71" t="s">
        <v>712</v>
      </c>
      <c r="E193" s="71" t="s">
        <v>713</v>
      </c>
      <c r="F193" s="77" t="s">
        <v>2904</v>
      </c>
      <c r="G193" s="75" t="s">
        <v>3214</v>
      </c>
      <c r="H193" s="71" t="s">
        <v>3216</v>
      </c>
      <c r="I193" s="71" t="s">
        <v>715</v>
      </c>
      <c r="J193" s="59"/>
      <c r="K193" s="59"/>
      <c r="L193" s="63">
        <f>VLOOKUP(D193,'Hedef Liste'!A:I,8,false)</f>
        <v>23</v>
      </c>
      <c r="M193" s="63" t="b">
        <v>0</v>
      </c>
      <c r="N193" s="63" t="b">
        <v>0</v>
      </c>
      <c r="O193" s="63"/>
      <c r="P193" s="63"/>
      <c r="Q193" s="63"/>
      <c r="R193" s="63"/>
      <c r="S193" s="63"/>
      <c r="T193" s="63"/>
      <c r="U193" s="63"/>
      <c r="V193" s="63"/>
      <c r="W193" s="63"/>
      <c r="X193" s="63"/>
      <c r="Y193" s="63"/>
      <c r="Z193" s="63"/>
      <c r="AA193" s="63"/>
      <c r="AB193" s="63"/>
      <c r="AC193" s="63"/>
      <c r="AD193" s="63"/>
      <c r="AE193" s="63"/>
      <c r="AF193" s="63"/>
    </row>
    <row r="194" hidden="1">
      <c r="A194" s="69"/>
      <c r="B194" s="70" t="s">
        <v>96</v>
      </c>
      <c r="C194" s="65" t="s">
        <v>95</v>
      </c>
      <c r="D194" s="71" t="s">
        <v>433</v>
      </c>
      <c r="E194" s="71" t="s">
        <v>434</v>
      </c>
      <c r="F194" s="72">
        <v>0.6875</v>
      </c>
      <c r="G194" s="71" t="s">
        <v>3217</v>
      </c>
      <c r="H194" s="71" t="s">
        <v>3218</v>
      </c>
      <c r="I194" s="71" t="s">
        <v>436</v>
      </c>
      <c r="J194" s="65"/>
      <c r="K194" s="59"/>
      <c r="L194" s="63" t="str">
        <f>VLOOKUP(D161,'Hedef Liste'!A:I,8,false)</f>
        <v>#N/A</v>
      </c>
      <c r="M194" s="63" t="b">
        <v>0</v>
      </c>
      <c r="N194" s="63" t="b">
        <v>0</v>
      </c>
      <c r="O194" s="63"/>
      <c r="P194" s="63"/>
      <c r="Q194" s="63"/>
      <c r="R194" s="63"/>
      <c r="S194" s="63"/>
      <c r="T194" s="63"/>
      <c r="U194" s="63"/>
      <c r="V194" s="63"/>
      <c r="W194" s="63"/>
      <c r="X194" s="63"/>
      <c r="Y194" s="63"/>
      <c r="Z194" s="63"/>
      <c r="AA194" s="63"/>
      <c r="AB194" s="63"/>
      <c r="AC194" s="63"/>
      <c r="AD194" s="63"/>
      <c r="AE194" s="63"/>
      <c r="AF194" s="63"/>
    </row>
    <row r="195" hidden="1">
      <c r="A195" s="69"/>
      <c r="B195" s="70" t="s">
        <v>96</v>
      </c>
      <c r="C195" s="65"/>
      <c r="D195" s="71"/>
      <c r="E195" s="71"/>
      <c r="F195" s="72"/>
      <c r="G195" s="71"/>
      <c r="H195" s="71"/>
      <c r="I195" s="71"/>
      <c r="J195" s="59"/>
      <c r="K195" s="59"/>
      <c r="L195" s="63" t="str">
        <f>VLOOKUP(D195,'Hedef Liste'!A:I,8,false)</f>
        <v>#N/A</v>
      </c>
      <c r="M195" s="63" t="b">
        <v>0</v>
      </c>
      <c r="N195" s="63" t="b">
        <v>0</v>
      </c>
      <c r="O195" s="63"/>
      <c r="P195" s="63"/>
      <c r="Q195" s="63"/>
      <c r="R195" s="63"/>
      <c r="S195" s="63"/>
      <c r="T195" s="63"/>
      <c r="U195" s="63"/>
      <c r="V195" s="63"/>
      <c r="W195" s="63"/>
      <c r="X195" s="63"/>
      <c r="Y195" s="63"/>
      <c r="Z195" s="63"/>
      <c r="AA195" s="63"/>
      <c r="AB195" s="63"/>
      <c r="AC195" s="63"/>
      <c r="AD195" s="63"/>
      <c r="AE195" s="63"/>
      <c r="AF195" s="63"/>
    </row>
    <row r="196" hidden="1">
      <c r="A196" s="79"/>
      <c r="B196" s="59"/>
      <c r="C196" s="59"/>
      <c r="D196" s="76"/>
      <c r="E196" s="76"/>
      <c r="F196" s="94"/>
      <c r="G196" s="76"/>
      <c r="H196" s="76"/>
      <c r="I196" s="76"/>
      <c r="J196" s="76"/>
      <c r="K196" s="76"/>
      <c r="L196" s="63"/>
      <c r="M196" s="63" t="b">
        <v>0</v>
      </c>
      <c r="N196" s="63" t="b">
        <v>0</v>
      </c>
      <c r="O196" s="63"/>
      <c r="P196" s="63"/>
      <c r="Q196" s="63"/>
      <c r="R196" s="63"/>
      <c r="S196" s="63"/>
      <c r="T196" s="63"/>
      <c r="U196" s="63"/>
      <c r="V196" s="63"/>
      <c r="W196" s="63"/>
      <c r="X196" s="63"/>
      <c r="Y196" s="63"/>
      <c r="Z196" s="63"/>
      <c r="AA196" s="63"/>
      <c r="AB196" s="63"/>
      <c r="AC196" s="63"/>
      <c r="AD196" s="63"/>
      <c r="AE196" s="63"/>
      <c r="AF196" s="63"/>
    </row>
    <row r="197" hidden="1">
      <c r="A197" s="58"/>
      <c r="B197" s="58">
        <v>44316.0</v>
      </c>
      <c r="C197" s="59"/>
      <c r="D197" s="60"/>
      <c r="E197" s="61"/>
      <c r="F197" s="61"/>
      <c r="G197" s="61"/>
      <c r="H197" s="61"/>
      <c r="I197" s="61"/>
      <c r="J197" s="61"/>
      <c r="K197" s="62"/>
      <c r="L197" s="63"/>
      <c r="M197" s="63"/>
      <c r="N197" s="63"/>
      <c r="O197" s="63"/>
      <c r="P197" s="63"/>
      <c r="Q197" s="63"/>
      <c r="R197" s="63"/>
      <c r="S197" s="63"/>
      <c r="T197" s="63"/>
      <c r="U197" s="63"/>
      <c r="V197" s="63"/>
      <c r="W197" s="63"/>
      <c r="X197" s="63"/>
      <c r="Y197" s="63"/>
      <c r="Z197" s="63"/>
      <c r="AA197" s="63"/>
      <c r="AB197" s="63"/>
      <c r="AC197" s="63"/>
      <c r="AD197" s="63"/>
      <c r="AE197" s="63"/>
      <c r="AF197" s="63"/>
    </row>
    <row r="198" hidden="1">
      <c r="A198" s="64" t="s">
        <v>47</v>
      </c>
      <c r="B198" s="59"/>
      <c r="C198" s="65"/>
      <c r="D198" s="66"/>
      <c r="E198" s="66"/>
      <c r="F198" s="67"/>
      <c r="G198" s="68"/>
      <c r="H198" s="66"/>
      <c r="I198" s="66"/>
      <c r="J198" s="59"/>
      <c r="K198" s="59"/>
      <c r="L198" s="63"/>
      <c r="M198" s="63" t="b">
        <v>0</v>
      </c>
      <c r="N198" s="63" t="b">
        <v>0</v>
      </c>
      <c r="O198" s="63"/>
      <c r="P198" s="63"/>
      <c r="Q198" s="63"/>
      <c r="R198" s="63"/>
      <c r="S198" s="63"/>
      <c r="T198" s="63"/>
      <c r="U198" s="63"/>
      <c r="V198" s="63"/>
      <c r="W198" s="63"/>
      <c r="X198" s="63"/>
      <c r="Y198" s="63"/>
      <c r="Z198" s="63"/>
      <c r="AA198" s="63"/>
      <c r="AB198" s="63"/>
      <c r="AC198" s="63"/>
      <c r="AD198" s="63"/>
      <c r="AE198" s="63"/>
      <c r="AF198" s="63"/>
    </row>
    <row r="199" hidden="1">
      <c r="A199" s="69"/>
      <c r="B199" s="70" t="s">
        <v>569</v>
      </c>
      <c r="C199" s="65" t="s">
        <v>95</v>
      </c>
      <c r="D199" s="71" t="s">
        <v>3129</v>
      </c>
      <c r="E199" s="71" t="s">
        <v>3130</v>
      </c>
      <c r="F199" s="95" t="s">
        <v>3219</v>
      </c>
      <c r="G199" s="104" t="s">
        <v>3113</v>
      </c>
      <c r="H199" s="65" t="s">
        <v>3131</v>
      </c>
      <c r="I199" s="71" t="s">
        <v>3132</v>
      </c>
      <c r="J199" s="71" t="s">
        <v>3220</v>
      </c>
      <c r="K199" s="59"/>
      <c r="L199" s="63" t="str">
        <f>VLOOKUP(#REF!,'Hedef Liste'!A:I,8,false)</f>
        <v>#REF!</v>
      </c>
      <c r="M199" s="63" t="b">
        <v>0</v>
      </c>
      <c r="N199" s="63" t="b">
        <v>0</v>
      </c>
      <c r="O199" s="63"/>
      <c r="P199" s="63"/>
      <c r="Q199" s="63"/>
      <c r="R199" s="63"/>
      <c r="S199" s="63"/>
      <c r="T199" s="63"/>
      <c r="U199" s="63"/>
      <c r="V199" s="63"/>
      <c r="W199" s="63"/>
      <c r="X199" s="63"/>
      <c r="Y199" s="63"/>
      <c r="Z199" s="63"/>
      <c r="AA199" s="63"/>
      <c r="AB199" s="63"/>
      <c r="AC199" s="63"/>
      <c r="AD199" s="63"/>
      <c r="AE199" s="63"/>
      <c r="AF199" s="63"/>
    </row>
    <row r="200" hidden="1">
      <c r="A200" s="69"/>
      <c r="B200" s="70" t="s">
        <v>569</v>
      </c>
      <c r="C200" s="65"/>
      <c r="D200" s="66"/>
      <c r="E200" s="66"/>
      <c r="F200" s="72">
        <v>0.5208333333333334</v>
      </c>
      <c r="G200" s="68"/>
      <c r="H200" s="66"/>
      <c r="I200" s="66"/>
      <c r="J200" s="59"/>
      <c r="K200" s="59"/>
      <c r="L200" s="63" t="str">
        <f>VLOOKUP(D199,'Hedef Liste'!A:I,8,false)</f>
        <v>#N/A</v>
      </c>
      <c r="M200" s="63" t="b">
        <v>0</v>
      </c>
      <c r="N200" s="63" t="b">
        <v>0</v>
      </c>
      <c r="O200" s="63"/>
      <c r="P200" s="63"/>
      <c r="Q200" s="63"/>
      <c r="R200" s="63"/>
      <c r="S200" s="63"/>
      <c r="T200" s="63"/>
      <c r="U200" s="63"/>
      <c r="V200" s="63"/>
      <c r="W200" s="63"/>
      <c r="X200" s="63"/>
      <c r="Y200" s="63"/>
      <c r="Z200" s="63"/>
      <c r="AA200" s="63"/>
      <c r="AB200" s="63"/>
      <c r="AC200" s="63"/>
      <c r="AD200" s="63"/>
      <c r="AE200" s="63"/>
      <c r="AF200" s="63"/>
    </row>
    <row r="201" hidden="1">
      <c r="A201" s="69"/>
      <c r="B201" s="70" t="s">
        <v>569</v>
      </c>
      <c r="C201" s="16" t="s">
        <v>95</v>
      </c>
      <c r="D201" s="71" t="s">
        <v>2010</v>
      </c>
      <c r="E201" s="71" t="s">
        <v>2011</v>
      </c>
      <c r="F201" s="77" t="s">
        <v>3044</v>
      </c>
      <c r="G201" s="75" t="s">
        <v>3106</v>
      </c>
      <c r="H201" s="76" t="s">
        <v>3139</v>
      </c>
      <c r="I201" s="71" t="s">
        <v>2013</v>
      </c>
      <c r="J201" s="65" t="s">
        <v>3220</v>
      </c>
      <c r="K201" s="59"/>
      <c r="L201" s="63" t="str">
        <f>VLOOKUP(D206,'Hedef Liste'!A:I,8,false)</f>
        <v>#N/A</v>
      </c>
      <c r="M201" s="63" t="b">
        <v>0</v>
      </c>
      <c r="N201" s="63" t="b">
        <v>0</v>
      </c>
      <c r="O201" s="63"/>
      <c r="P201" s="63"/>
      <c r="Q201" s="63"/>
      <c r="R201" s="63"/>
      <c r="S201" s="63"/>
      <c r="T201" s="63"/>
      <c r="U201" s="63"/>
      <c r="V201" s="63"/>
      <c r="W201" s="63"/>
      <c r="X201" s="63"/>
      <c r="Y201" s="63"/>
      <c r="Z201" s="63"/>
      <c r="AA201" s="63"/>
      <c r="AB201" s="63"/>
      <c r="AC201" s="63"/>
      <c r="AD201" s="63"/>
      <c r="AE201" s="63"/>
      <c r="AF201" s="63"/>
    </row>
    <row r="202" hidden="1">
      <c r="A202" s="69"/>
      <c r="B202" s="70" t="s">
        <v>569</v>
      </c>
      <c r="C202" s="65" t="s">
        <v>95</v>
      </c>
      <c r="D202" s="71" t="s">
        <v>3140</v>
      </c>
      <c r="E202" s="71" t="s">
        <v>1288</v>
      </c>
      <c r="F202" s="72">
        <v>0.6666666666666666</v>
      </c>
      <c r="G202" s="76" t="s">
        <v>3113</v>
      </c>
      <c r="H202" s="76" t="s">
        <v>3142</v>
      </c>
      <c r="I202" s="71" t="s">
        <v>3143</v>
      </c>
      <c r="J202" s="65" t="s">
        <v>3221</v>
      </c>
      <c r="K202" s="59"/>
      <c r="L202" s="63">
        <f>VLOOKUP(D201,'Hedef Liste'!A:I,8,false)</f>
        <v>15</v>
      </c>
      <c r="M202" s="63" t="b">
        <v>0</v>
      </c>
      <c r="N202" s="63" t="b">
        <v>0</v>
      </c>
      <c r="O202" s="63"/>
      <c r="P202" s="63"/>
      <c r="Q202" s="63"/>
      <c r="R202" s="63"/>
      <c r="S202" s="63"/>
      <c r="T202" s="63"/>
      <c r="U202" s="63"/>
      <c r="V202" s="63"/>
      <c r="W202" s="63"/>
      <c r="X202" s="63"/>
      <c r="Y202" s="63"/>
      <c r="Z202" s="63"/>
      <c r="AA202" s="63"/>
      <c r="AB202" s="63"/>
      <c r="AC202" s="63"/>
      <c r="AD202" s="63"/>
      <c r="AE202" s="63"/>
      <c r="AF202" s="63"/>
    </row>
    <row r="203" hidden="1">
      <c r="A203" s="79"/>
      <c r="B203" s="59"/>
      <c r="C203" s="66"/>
      <c r="D203" s="66"/>
      <c r="E203" s="66"/>
      <c r="F203" s="67"/>
      <c r="G203" s="68"/>
      <c r="H203" s="66"/>
      <c r="I203" s="66"/>
      <c r="J203" s="76"/>
      <c r="K203" s="76"/>
      <c r="L203" s="63"/>
      <c r="M203" s="63" t="b">
        <v>0</v>
      </c>
      <c r="N203" s="63" t="b">
        <v>0</v>
      </c>
      <c r="O203" s="63"/>
      <c r="P203" s="63"/>
      <c r="Q203" s="63"/>
      <c r="R203" s="63"/>
      <c r="S203" s="63"/>
      <c r="T203" s="63"/>
      <c r="U203" s="63"/>
      <c r="V203" s="63"/>
      <c r="W203" s="63"/>
      <c r="X203" s="63"/>
      <c r="Y203" s="63"/>
      <c r="Z203" s="63"/>
      <c r="AA203" s="63"/>
      <c r="AB203" s="63"/>
      <c r="AC203" s="63"/>
      <c r="AD203" s="63"/>
      <c r="AE203" s="63"/>
      <c r="AF203" s="63"/>
    </row>
    <row r="204" hidden="1">
      <c r="A204" s="64" t="s">
        <v>47</v>
      </c>
      <c r="B204" s="59"/>
      <c r="C204" s="65"/>
      <c r="D204" s="71"/>
      <c r="E204" s="71"/>
      <c r="F204" s="72"/>
      <c r="G204" s="73"/>
      <c r="H204" s="74"/>
      <c r="I204" s="74"/>
      <c r="J204" s="59"/>
      <c r="K204" s="59"/>
      <c r="L204" s="63"/>
      <c r="M204" s="63" t="b">
        <v>0</v>
      </c>
      <c r="N204" s="63" t="b">
        <v>0</v>
      </c>
      <c r="O204" s="63"/>
      <c r="P204" s="63"/>
      <c r="Q204" s="63"/>
      <c r="R204" s="63"/>
      <c r="S204" s="63"/>
      <c r="T204" s="63"/>
      <c r="U204" s="63"/>
      <c r="V204" s="63"/>
      <c r="W204" s="63"/>
      <c r="X204" s="63"/>
      <c r="Y204" s="63"/>
      <c r="Z204" s="63"/>
      <c r="AA204" s="63"/>
      <c r="AB204" s="63"/>
      <c r="AC204" s="63"/>
      <c r="AD204" s="63"/>
      <c r="AE204" s="63"/>
      <c r="AF204" s="63"/>
    </row>
    <row r="205" hidden="1">
      <c r="A205" s="69"/>
      <c r="B205" s="70" t="s">
        <v>96</v>
      </c>
      <c r="C205" s="65"/>
      <c r="D205" s="71"/>
      <c r="E205" s="71"/>
      <c r="F205" s="136">
        <v>0.4166666666666667</v>
      </c>
      <c r="G205" s="73"/>
      <c r="H205" s="74"/>
      <c r="I205" s="74"/>
      <c r="J205" s="59"/>
      <c r="K205" s="59"/>
      <c r="L205" s="63" t="str">
        <f>VLOOKUP(D205,'Hedef Liste'!A:I,8,false)</f>
        <v>#N/A</v>
      </c>
      <c r="M205" s="63" t="b">
        <v>0</v>
      </c>
      <c r="N205" s="63" t="b">
        <v>0</v>
      </c>
      <c r="O205" s="63"/>
      <c r="P205" s="63"/>
      <c r="Q205" s="63"/>
      <c r="R205" s="63"/>
      <c r="S205" s="63"/>
      <c r="T205" s="63"/>
      <c r="U205" s="63"/>
      <c r="V205" s="63"/>
      <c r="W205" s="63"/>
      <c r="X205" s="63"/>
      <c r="Y205" s="63"/>
      <c r="Z205" s="63"/>
      <c r="AA205" s="63"/>
      <c r="AB205" s="63"/>
      <c r="AC205" s="63"/>
      <c r="AD205" s="63"/>
      <c r="AE205" s="63"/>
      <c r="AF205" s="63"/>
    </row>
    <row r="206" hidden="1">
      <c r="A206" s="69"/>
      <c r="B206" s="70" t="s">
        <v>96</v>
      </c>
      <c r="C206" s="65" t="s">
        <v>95</v>
      </c>
      <c r="D206" s="71" t="s">
        <v>3134</v>
      </c>
      <c r="E206" s="71" t="s">
        <v>3135</v>
      </c>
      <c r="F206" s="154" t="s">
        <v>3222</v>
      </c>
      <c r="G206" s="75" t="s">
        <v>3136</v>
      </c>
      <c r="H206" s="65" t="s">
        <v>3137</v>
      </c>
      <c r="I206" s="71" t="s">
        <v>3138</v>
      </c>
      <c r="J206" s="65" t="s">
        <v>3220</v>
      </c>
      <c r="K206" s="59"/>
      <c r="L206" s="63" t="str">
        <f>VLOOKUP(#REF!,'Hedef Liste'!A:I,8,false)</f>
        <v>#REF!</v>
      </c>
      <c r="M206" s="63" t="b">
        <v>0</v>
      </c>
      <c r="N206" s="63" t="b">
        <v>0</v>
      </c>
      <c r="O206" s="63"/>
      <c r="P206" s="63"/>
      <c r="Q206" s="63"/>
      <c r="R206" s="63"/>
      <c r="S206" s="63"/>
      <c r="T206" s="63"/>
      <c r="U206" s="63"/>
      <c r="V206" s="63"/>
      <c r="W206" s="63"/>
      <c r="X206" s="63"/>
      <c r="Y206" s="63"/>
      <c r="Z206" s="63"/>
      <c r="AA206" s="63"/>
      <c r="AB206" s="63"/>
      <c r="AC206" s="63"/>
      <c r="AD206" s="63"/>
      <c r="AE206" s="63"/>
      <c r="AF206" s="63"/>
    </row>
    <row r="207" hidden="1">
      <c r="A207" s="69"/>
      <c r="B207" s="70" t="s">
        <v>96</v>
      </c>
      <c r="C207" s="65"/>
      <c r="D207" s="71"/>
      <c r="E207" s="71"/>
      <c r="F207" s="77" t="s">
        <v>3027</v>
      </c>
      <c r="G207" s="73"/>
      <c r="H207" s="74"/>
      <c r="I207" s="74"/>
      <c r="J207" s="59"/>
      <c r="K207" s="59"/>
      <c r="L207" s="63" t="str">
        <f>VLOOKUP(D207,'Hedef Liste'!A:I,8,false)</f>
        <v>#N/A</v>
      </c>
      <c r="M207" s="63" t="b">
        <v>0</v>
      </c>
      <c r="N207" s="63" t="b">
        <v>0</v>
      </c>
      <c r="O207" s="63"/>
      <c r="P207" s="63"/>
      <c r="Q207" s="63"/>
      <c r="R207" s="63"/>
      <c r="S207" s="63"/>
      <c r="T207" s="63"/>
      <c r="U207" s="63"/>
      <c r="V207" s="63"/>
      <c r="W207" s="63"/>
      <c r="X207" s="63"/>
      <c r="Y207" s="63"/>
      <c r="Z207" s="63"/>
      <c r="AA207" s="63"/>
      <c r="AB207" s="63"/>
      <c r="AC207" s="63"/>
      <c r="AD207" s="63"/>
      <c r="AE207" s="63"/>
      <c r="AF207" s="63"/>
    </row>
    <row r="208" hidden="1">
      <c r="A208" s="69"/>
      <c r="B208" s="70" t="s">
        <v>96</v>
      </c>
      <c r="C208" s="65"/>
      <c r="D208" s="71"/>
      <c r="E208" s="71"/>
      <c r="F208" s="77" t="s">
        <v>3068</v>
      </c>
      <c r="G208" s="73"/>
      <c r="H208" s="74"/>
      <c r="I208" s="71"/>
      <c r="J208" s="59"/>
      <c r="K208" s="59"/>
      <c r="L208" s="63" t="str">
        <f>VLOOKUP(D208,'Hedef Liste'!A:I,8,false)</f>
        <v>#N/A</v>
      </c>
      <c r="M208" s="63" t="b">
        <v>0</v>
      </c>
      <c r="N208" s="63" t="b">
        <v>0</v>
      </c>
      <c r="O208" s="63"/>
      <c r="P208" s="63"/>
      <c r="Q208" s="63"/>
      <c r="R208" s="63"/>
      <c r="S208" s="63"/>
      <c r="T208" s="63"/>
      <c r="U208" s="63"/>
      <c r="V208" s="63"/>
      <c r="W208" s="63"/>
      <c r="X208" s="63"/>
      <c r="Y208" s="63"/>
      <c r="Z208" s="63"/>
      <c r="AA208" s="63"/>
      <c r="AB208" s="63"/>
      <c r="AC208" s="63"/>
      <c r="AD208" s="63"/>
      <c r="AE208" s="63"/>
      <c r="AF208" s="63"/>
    </row>
    <row r="209" hidden="1">
      <c r="A209" s="79"/>
      <c r="B209" s="59"/>
      <c r="C209" s="59"/>
      <c r="D209" s="66"/>
      <c r="E209" s="66"/>
      <c r="F209" s="72"/>
      <c r="G209" s="68"/>
      <c r="H209" s="66"/>
      <c r="I209" s="66"/>
      <c r="J209" s="76"/>
      <c r="K209" s="76"/>
      <c r="L209" s="63"/>
      <c r="M209" s="63" t="b">
        <v>0</v>
      </c>
      <c r="N209" s="63" t="b">
        <v>0</v>
      </c>
      <c r="O209" s="63"/>
      <c r="P209" s="63"/>
      <c r="Q209" s="63"/>
      <c r="R209" s="63"/>
      <c r="S209" s="63"/>
      <c r="T209" s="63"/>
      <c r="U209" s="63"/>
      <c r="V209" s="63"/>
      <c r="W209" s="63"/>
      <c r="X209" s="63"/>
      <c r="Y209" s="63"/>
      <c r="Z209" s="63"/>
      <c r="AA209" s="63"/>
      <c r="AB209" s="63"/>
      <c r="AC209" s="63"/>
      <c r="AD209" s="63"/>
      <c r="AE209" s="63"/>
      <c r="AF209" s="63"/>
    </row>
    <row r="210" hidden="1">
      <c r="A210" s="58"/>
      <c r="B210" s="58">
        <v>44333.0</v>
      </c>
      <c r="C210" s="59"/>
      <c r="D210" s="60"/>
      <c r="E210" s="61"/>
      <c r="F210" s="61"/>
      <c r="G210" s="61"/>
      <c r="H210" s="61"/>
      <c r="I210" s="61"/>
      <c r="J210" s="61"/>
      <c r="K210" s="62"/>
      <c r="L210" s="63"/>
      <c r="M210" s="63"/>
      <c r="N210" s="63"/>
      <c r="O210" s="63"/>
      <c r="P210" s="63"/>
      <c r="Q210" s="63"/>
      <c r="R210" s="63"/>
      <c r="S210" s="63"/>
      <c r="T210" s="63"/>
      <c r="U210" s="63"/>
      <c r="V210" s="63"/>
      <c r="W210" s="63"/>
      <c r="X210" s="63"/>
      <c r="Y210" s="63"/>
      <c r="Z210" s="63"/>
      <c r="AA210" s="63"/>
      <c r="AB210" s="63"/>
      <c r="AC210" s="63"/>
      <c r="AD210" s="63"/>
      <c r="AE210" s="63"/>
      <c r="AF210" s="63"/>
    </row>
    <row r="211" hidden="1">
      <c r="A211" s="64" t="s">
        <v>47</v>
      </c>
      <c r="B211" s="59"/>
      <c r="C211" s="63"/>
      <c r="D211" s="63"/>
      <c r="E211" s="63"/>
      <c r="F211" s="155"/>
      <c r="G211" s="156"/>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idden="1">
      <c r="A212" s="69"/>
      <c r="B212" s="70" t="s">
        <v>96</v>
      </c>
      <c r="C212" s="147" t="s">
        <v>95</v>
      </c>
      <c r="D212" s="81" t="s">
        <v>1423</v>
      </c>
      <c r="E212" s="81" t="s">
        <v>1424</v>
      </c>
      <c r="F212" s="157">
        <v>0.4166666666666667</v>
      </c>
      <c r="G212" s="81" t="s">
        <v>3223</v>
      </c>
      <c r="H212" s="147" t="s">
        <v>3224</v>
      </c>
      <c r="I212" s="81" t="s">
        <v>1427</v>
      </c>
      <c r="J212" s="102" t="s">
        <v>3225</v>
      </c>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idden="1">
      <c r="A213" s="69"/>
      <c r="B213" s="70" t="s">
        <v>96</v>
      </c>
      <c r="C213" s="147" t="s">
        <v>95</v>
      </c>
      <c r="D213" s="81" t="s">
        <v>2651</v>
      </c>
      <c r="E213" s="147" t="s">
        <v>2652</v>
      </c>
      <c r="F213" s="157">
        <v>0.5</v>
      </c>
      <c r="G213" s="146" t="s">
        <v>3226</v>
      </c>
      <c r="H213" s="147" t="s">
        <v>3227</v>
      </c>
      <c r="I213" s="81" t="s">
        <v>2654</v>
      </c>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idden="1">
      <c r="A214" s="69"/>
      <c r="B214" s="70" t="s">
        <v>96</v>
      </c>
      <c r="C214" s="147" t="s">
        <v>95</v>
      </c>
      <c r="D214" s="81" t="s">
        <v>866</v>
      </c>
      <c r="E214" s="147" t="s">
        <v>867</v>
      </c>
      <c r="F214" s="157">
        <v>0.5833333333333334</v>
      </c>
      <c r="G214" s="146" t="s">
        <v>2941</v>
      </c>
      <c r="H214" s="147" t="s">
        <v>3228</v>
      </c>
      <c r="I214" s="81" t="s">
        <v>869</v>
      </c>
      <c r="J214" s="102" t="s">
        <v>3229</v>
      </c>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idden="1">
      <c r="A215" s="69"/>
      <c r="B215" s="70" t="s">
        <v>96</v>
      </c>
      <c r="C215" s="147" t="s">
        <v>95</v>
      </c>
      <c r="D215" s="81" t="s">
        <v>2537</v>
      </c>
      <c r="E215" s="147" t="s">
        <v>2538</v>
      </c>
      <c r="F215" s="157">
        <v>0.6666666666666666</v>
      </c>
      <c r="G215" s="146" t="s">
        <v>2941</v>
      </c>
      <c r="H215" s="147" t="s">
        <v>3230</v>
      </c>
      <c r="I215" s="81" t="s">
        <v>2540</v>
      </c>
      <c r="J215" s="102" t="s">
        <v>3231</v>
      </c>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idden="1">
      <c r="A216" s="79"/>
      <c r="B216" s="59"/>
      <c r="C216" s="63"/>
      <c r="D216" s="63"/>
      <c r="E216" s="63"/>
      <c r="F216" s="155"/>
      <c r="G216" s="156"/>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idden="1">
      <c r="A217" s="58"/>
      <c r="B217" s="58">
        <v>44334.0</v>
      </c>
      <c r="C217" s="59"/>
      <c r="D217" s="60"/>
      <c r="E217" s="61"/>
      <c r="F217" s="61"/>
      <c r="G217" s="61"/>
      <c r="H217" s="61"/>
      <c r="I217" s="61"/>
      <c r="J217" s="61"/>
      <c r="K217" s="62"/>
      <c r="L217" s="63"/>
      <c r="M217" s="63"/>
      <c r="N217" s="63"/>
      <c r="O217" s="63"/>
      <c r="P217" s="63"/>
      <c r="Q217" s="63"/>
      <c r="R217" s="63"/>
      <c r="S217" s="63"/>
      <c r="T217" s="63"/>
      <c r="U217" s="63"/>
      <c r="V217" s="63"/>
      <c r="W217" s="63"/>
      <c r="X217" s="63"/>
      <c r="Y217" s="63"/>
      <c r="Z217" s="63"/>
      <c r="AA217" s="63"/>
      <c r="AB217" s="63"/>
      <c r="AC217" s="63"/>
      <c r="AD217" s="63"/>
      <c r="AE217" s="63"/>
      <c r="AF217" s="63"/>
    </row>
    <row r="218" hidden="1">
      <c r="A218" s="64" t="s">
        <v>47</v>
      </c>
      <c r="B218" s="59"/>
      <c r="C218" s="63"/>
      <c r="D218" s="63"/>
      <c r="E218" s="63"/>
      <c r="F218" s="155"/>
      <c r="G218" s="156"/>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idden="1">
      <c r="A219" s="69"/>
      <c r="B219" s="70"/>
      <c r="C219" s="102"/>
      <c r="D219" s="71"/>
      <c r="E219" s="102"/>
      <c r="F219" s="158"/>
      <c r="G219" s="159"/>
      <c r="H219" s="102"/>
      <c r="I219" s="71"/>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idden="1">
      <c r="A220" s="69"/>
      <c r="B220" s="70" t="s">
        <v>96</v>
      </c>
      <c r="C220" s="147" t="s">
        <v>95</v>
      </c>
      <c r="D220" s="81" t="s">
        <v>3232</v>
      </c>
      <c r="E220" s="147" t="s">
        <v>3233</v>
      </c>
      <c r="F220" s="157">
        <v>0.5</v>
      </c>
      <c r="G220" s="146" t="s">
        <v>3234</v>
      </c>
      <c r="H220" s="147" t="s">
        <v>3235</v>
      </c>
      <c r="I220" s="81" t="s">
        <v>3236</v>
      </c>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idden="1">
      <c r="A221" s="69"/>
      <c r="B221" s="70" t="s">
        <v>96</v>
      </c>
      <c r="C221" s="147" t="s">
        <v>95</v>
      </c>
      <c r="D221" s="81" t="s">
        <v>3237</v>
      </c>
      <c r="E221" s="147" t="s">
        <v>3238</v>
      </c>
      <c r="F221" s="160" t="s">
        <v>3044</v>
      </c>
      <c r="G221" s="146" t="s">
        <v>3239</v>
      </c>
      <c r="H221" s="147" t="s">
        <v>3240</v>
      </c>
      <c r="I221" s="81" t="s">
        <v>1988</v>
      </c>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idden="1">
      <c r="A222" s="69"/>
      <c r="B222" s="70" t="s">
        <v>96</v>
      </c>
      <c r="C222" s="147" t="s">
        <v>95</v>
      </c>
      <c r="D222" s="81" t="s">
        <v>398</v>
      </c>
      <c r="E222" s="147" t="s">
        <v>399</v>
      </c>
      <c r="F222" s="160" t="s">
        <v>3049</v>
      </c>
      <c r="G222" s="146" t="s">
        <v>3241</v>
      </c>
      <c r="H222" s="147" t="s">
        <v>3242</v>
      </c>
      <c r="I222" s="81" t="s">
        <v>402</v>
      </c>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idden="1">
      <c r="A223" s="79"/>
      <c r="B223" s="70" t="s">
        <v>96</v>
      </c>
      <c r="C223" s="147" t="s">
        <v>95</v>
      </c>
      <c r="D223" s="81" t="s">
        <v>3243</v>
      </c>
      <c r="E223" s="147" t="s">
        <v>3244</v>
      </c>
      <c r="F223" s="157">
        <v>0.7291666666666666</v>
      </c>
      <c r="G223" s="146" t="s">
        <v>3245</v>
      </c>
      <c r="H223" s="147" t="s">
        <v>3246</v>
      </c>
      <c r="I223" s="81" t="s">
        <v>3247</v>
      </c>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idden="1">
      <c r="A224" s="58"/>
      <c r="B224" s="58">
        <v>44347.0</v>
      </c>
      <c r="C224" s="63"/>
      <c r="D224" s="63"/>
      <c r="E224" s="63"/>
      <c r="F224" s="155"/>
      <c r="G224" s="156"/>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idden="1">
      <c r="A225" s="64" t="s">
        <v>61</v>
      </c>
      <c r="B225" s="59"/>
      <c r="C225" s="63"/>
      <c r="D225" s="63"/>
      <c r="E225" s="63"/>
      <c r="F225" s="155"/>
      <c r="G225" s="156"/>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idden="1">
      <c r="A226" s="69"/>
      <c r="B226" s="70"/>
      <c r="C226" s="63"/>
      <c r="D226" s="63"/>
      <c r="E226" s="63"/>
      <c r="F226" s="155"/>
      <c r="G226" s="156"/>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idden="1">
      <c r="A227" s="69"/>
      <c r="B227" s="35" t="s">
        <v>96</v>
      </c>
      <c r="C227" s="102"/>
      <c r="D227" s="161" t="s">
        <v>3248</v>
      </c>
      <c r="E227" s="141"/>
      <c r="F227" s="158"/>
      <c r="G227" s="159"/>
      <c r="H227" s="71"/>
      <c r="I227" s="71"/>
      <c r="J227" s="102"/>
      <c r="K227" s="63"/>
      <c r="L227" s="102">
        <v>2.0</v>
      </c>
      <c r="M227" s="63"/>
      <c r="N227" s="63"/>
      <c r="O227" s="63"/>
      <c r="P227" s="63"/>
      <c r="Q227" s="63"/>
      <c r="R227" s="63"/>
      <c r="S227" s="63"/>
      <c r="T227" s="63"/>
      <c r="U227" s="63"/>
      <c r="V227" s="63"/>
      <c r="W227" s="63"/>
      <c r="X227" s="63"/>
      <c r="Y227" s="63"/>
      <c r="Z227" s="63"/>
      <c r="AA227" s="63"/>
      <c r="AB227" s="63"/>
      <c r="AC227" s="63"/>
      <c r="AD227" s="63"/>
      <c r="AE227" s="63"/>
      <c r="AF227" s="63"/>
    </row>
    <row r="228" hidden="1">
      <c r="A228" s="69"/>
      <c r="B228" s="35" t="s">
        <v>96</v>
      </c>
      <c r="C228" s="102"/>
      <c r="D228" s="142"/>
      <c r="E228" s="143"/>
      <c r="F228" s="158"/>
      <c r="G228" s="159"/>
      <c r="H228" s="102"/>
      <c r="I228" s="102"/>
      <c r="J228" s="102"/>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idden="1">
      <c r="A229" s="69"/>
      <c r="B229" s="35" t="s">
        <v>96</v>
      </c>
      <c r="C229" s="102"/>
      <c r="D229" s="144"/>
      <c r="E229" s="145"/>
      <c r="F229" s="158"/>
      <c r="G229" s="159"/>
      <c r="H229" s="102"/>
      <c r="I229" s="102"/>
      <c r="J229" s="102"/>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idden="1">
      <c r="A230" s="79"/>
      <c r="B230" s="35" t="s">
        <v>96</v>
      </c>
      <c r="C230" s="102"/>
      <c r="D230" s="71"/>
      <c r="E230" s="71"/>
      <c r="F230" s="158"/>
      <c r="G230" s="159"/>
      <c r="H230" s="71"/>
      <c r="I230" s="71"/>
      <c r="J230" s="102" t="s">
        <v>3249</v>
      </c>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idden="1">
      <c r="A231" s="64" t="s">
        <v>47</v>
      </c>
      <c r="B231" s="59"/>
      <c r="C231" s="63"/>
      <c r="D231" s="63"/>
      <c r="E231" s="63"/>
      <c r="F231" s="155"/>
      <c r="G231" s="156"/>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idden="1">
      <c r="A232" s="69"/>
      <c r="B232" s="70"/>
      <c r="C232" s="63"/>
      <c r="D232" s="63"/>
      <c r="E232" s="63"/>
      <c r="F232" s="155"/>
      <c r="G232" s="156"/>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idden="1">
      <c r="A233" s="69"/>
      <c r="B233" s="38" t="s">
        <v>3250</v>
      </c>
      <c r="C233" s="66"/>
      <c r="D233" s="66"/>
      <c r="E233" s="66"/>
      <c r="F233" s="66"/>
      <c r="G233" s="68"/>
      <c r="H233" s="66"/>
      <c r="I233" s="66"/>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idden="1">
      <c r="A234" s="69"/>
      <c r="B234" s="38" t="s">
        <v>3250</v>
      </c>
      <c r="C234" s="102" t="s">
        <v>95</v>
      </c>
      <c r="D234" s="71" t="s">
        <v>3251</v>
      </c>
      <c r="E234" s="71" t="s">
        <v>2613</v>
      </c>
      <c r="F234" s="158">
        <v>0.5833333333333334</v>
      </c>
      <c r="G234" s="159" t="s">
        <v>3078</v>
      </c>
      <c r="H234" s="71" t="s">
        <v>3252</v>
      </c>
      <c r="I234" s="71" t="s">
        <v>2615</v>
      </c>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idden="1">
      <c r="A235" s="69"/>
      <c r="B235" s="38" t="s">
        <v>3250</v>
      </c>
      <c r="C235" s="66"/>
      <c r="D235" s="66"/>
      <c r="E235" s="66"/>
      <c r="F235" s="66"/>
      <c r="G235" s="68"/>
      <c r="H235" s="66"/>
      <c r="I235" s="66"/>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idden="1">
      <c r="A236" s="79"/>
      <c r="B236" s="38" t="s">
        <v>3250</v>
      </c>
      <c r="C236" s="102" t="s">
        <v>95</v>
      </c>
      <c r="D236" s="71" t="s">
        <v>3253</v>
      </c>
      <c r="E236" s="71" t="s">
        <v>239</v>
      </c>
      <c r="F236" s="158">
        <v>0.7291666666666666</v>
      </c>
      <c r="G236" s="159" t="s">
        <v>3254</v>
      </c>
      <c r="H236" s="71" t="s">
        <v>3255</v>
      </c>
      <c r="I236" s="71" t="s">
        <v>241</v>
      </c>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idden="1">
      <c r="A237" s="58"/>
      <c r="B237" s="58">
        <v>44348.0</v>
      </c>
      <c r="C237" s="63"/>
      <c r="D237" s="66"/>
      <c r="E237" s="66"/>
      <c r="F237" s="66"/>
      <c r="G237" s="68"/>
      <c r="H237" s="66"/>
      <c r="I237" s="66"/>
      <c r="J237" s="66"/>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idden="1">
      <c r="A238" s="64" t="s">
        <v>61</v>
      </c>
      <c r="B238" s="59"/>
      <c r="C238" s="63"/>
      <c r="D238" s="63"/>
      <c r="E238" s="63"/>
      <c r="F238" s="155"/>
      <c r="G238" s="156"/>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idden="1">
      <c r="A239" s="69"/>
      <c r="B239" s="70"/>
      <c r="C239" s="63"/>
      <c r="D239" s="63"/>
      <c r="E239" s="63"/>
      <c r="F239" s="155"/>
      <c r="G239" s="156"/>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idden="1">
      <c r="A240" s="69"/>
      <c r="B240" s="35" t="s">
        <v>96</v>
      </c>
      <c r="C240" s="147" t="s">
        <v>95</v>
      </c>
      <c r="D240" s="81" t="s">
        <v>1832</v>
      </c>
      <c r="E240" s="81" t="s">
        <v>1833</v>
      </c>
      <c r="F240" s="160" t="s">
        <v>3034</v>
      </c>
      <c r="G240" s="146" t="s">
        <v>3256</v>
      </c>
      <c r="H240" s="81" t="s">
        <v>3257</v>
      </c>
      <c r="I240" s="81" t="s">
        <v>1835</v>
      </c>
      <c r="J240" s="102" t="s">
        <v>3258</v>
      </c>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idden="1">
      <c r="A241" s="69"/>
      <c r="B241" s="35" t="s">
        <v>96</v>
      </c>
      <c r="C241" s="102" t="s">
        <v>95</v>
      </c>
      <c r="D241" s="71" t="s">
        <v>439</v>
      </c>
      <c r="E241" s="71" t="s">
        <v>440</v>
      </c>
      <c r="F241" s="158">
        <v>0.5</v>
      </c>
      <c r="G241" s="159" t="s">
        <v>3259</v>
      </c>
      <c r="H241" s="71" t="s">
        <v>3260</v>
      </c>
      <c r="I241" s="71" t="s">
        <v>443</v>
      </c>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idden="1">
      <c r="A242" s="69"/>
      <c r="B242" s="35" t="s">
        <v>96</v>
      </c>
      <c r="C242" s="147" t="s">
        <v>95</v>
      </c>
      <c r="D242" s="81" t="s">
        <v>3261</v>
      </c>
      <c r="E242" s="81" t="s">
        <v>3262</v>
      </c>
      <c r="F242" s="157">
        <v>0.5833333333333334</v>
      </c>
      <c r="G242" s="81" t="s">
        <v>2925</v>
      </c>
      <c r="H242" s="81" t="s">
        <v>3263</v>
      </c>
      <c r="I242" s="81" t="s">
        <v>3264</v>
      </c>
      <c r="J242" s="102" t="s">
        <v>3265</v>
      </c>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idden="1">
      <c r="A243" s="79"/>
      <c r="B243" s="35" t="s">
        <v>96</v>
      </c>
      <c r="C243" s="147" t="s">
        <v>95</v>
      </c>
      <c r="D243" s="81" t="s">
        <v>2881</v>
      </c>
      <c r="E243" s="81" t="s">
        <v>2882</v>
      </c>
      <c r="F243" s="157">
        <v>0.6666666666666666</v>
      </c>
      <c r="G243" s="81" t="s">
        <v>3266</v>
      </c>
      <c r="H243" s="81" t="s">
        <v>3267</v>
      </c>
      <c r="I243" s="81" t="s">
        <v>3268</v>
      </c>
      <c r="J243" s="162" t="s">
        <v>3269</v>
      </c>
      <c r="K243" s="63"/>
      <c r="L243" s="63"/>
      <c r="M243" s="102" t="s">
        <v>3270</v>
      </c>
      <c r="N243" s="63"/>
      <c r="O243" s="63"/>
      <c r="P243" s="63"/>
      <c r="Q243" s="63"/>
      <c r="R243" s="63"/>
      <c r="S243" s="63"/>
      <c r="T243" s="63"/>
      <c r="U243" s="63"/>
      <c r="V243" s="63"/>
      <c r="W243" s="63"/>
      <c r="X243" s="63"/>
      <c r="Y243" s="63"/>
      <c r="Z243" s="63"/>
      <c r="AA243" s="63"/>
      <c r="AB243" s="63"/>
      <c r="AC243" s="63"/>
      <c r="AD243" s="63"/>
      <c r="AE243" s="63"/>
      <c r="AF243" s="63"/>
    </row>
    <row r="244" hidden="1">
      <c r="A244" s="64" t="s">
        <v>47</v>
      </c>
      <c r="B244" s="59"/>
      <c r="C244" s="63"/>
      <c r="D244" s="63"/>
      <c r="E244" s="63"/>
      <c r="F244" s="155"/>
      <c r="G244" s="156"/>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idden="1">
      <c r="A245" s="69"/>
      <c r="B245" s="70"/>
      <c r="C245" s="63"/>
      <c r="D245" s="63"/>
      <c r="E245" s="63"/>
      <c r="F245" s="155"/>
      <c r="G245" s="156"/>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idden="1">
      <c r="A246" s="69"/>
      <c r="B246" s="38" t="s">
        <v>3250</v>
      </c>
      <c r="C246" s="147" t="s">
        <v>95</v>
      </c>
      <c r="D246" s="81" t="s">
        <v>3271</v>
      </c>
      <c r="E246" s="81" t="s">
        <v>3272</v>
      </c>
      <c r="F246" s="157">
        <v>0.4166666666666667</v>
      </c>
      <c r="G246" s="81" t="s">
        <v>2941</v>
      </c>
      <c r="H246" s="81" t="s">
        <v>3273</v>
      </c>
      <c r="I246" s="81" t="s">
        <v>3274</v>
      </c>
      <c r="J246" s="1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idden="1">
      <c r="A247" s="69"/>
      <c r="B247" s="38" t="s">
        <v>3250</v>
      </c>
      <c r="C247" s="147" t="s">
        <v>95</v>
      </c>
      <c r="D247" s="81" t="s">
        <v>1409</v>
      </c>
      <c r="E247" s="81" t="s">
        <v>1410</v>
      </c>
      <c r="F247" s="157">
        <v>0.5</v>
      </c>
      <c r="G247" s="146" t="s">
        <v>3275</v>
      </c>
      <c r="H247" s="81" t="s">
        <v>3276</v>
      </c>
      <c r="I247" s="81" t="s">
        <v>1412</v>
      </c>
      <c r="J247" s="1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idden="1">
      <c r="A248" s="69"/>
      <c r="B248" s="38" t="s">
        <v>3250</v>
      </c>
      <c r="C248" s="147" t="s">
        <v>95</v>
      </c>
      <c r="D248" s="81" t="s">
        <v>1026</v>
      </c>
      <c r="E248" s="81" t="s">
        <v>1027</v>
      </c>
      <c r="F248" s="157">
        <v>0.5833333333333334</v>
      </c>
      <c r="G248" s="81" t="s">
        <v>3277</v>
      </c>
      <c r="H248" s="81" t="s">
        <v>3278</v>
      </c>
      <c r="I248" s="81" t="s">
        <v>1029</v>
      </c>
      <c r="J248" s="1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idden="1">
      <c r="A249" s="79"/>
      <c r="B249" s="38" t="s">
        <v>3250</v>
      </c>
      <c r="C249" s="147" t="s">
        <v>95</v>
      </c>
      <c r="D249" s="81" t="s">
        <v>712</v>
      </c>
      <c r="E249" s="81" t="s">
        <v>713</v>
      </c>
      <c r="F249" s="157">
        <v>0.6666666666666666</v>
      </c>
      <c r="G249" s="146" t="s">
        <v>2956</v>
      </c>
      <c r="H249" s="81" t="s">
        <v>3279</v>
      </c>
      <c r="I249" s="81" t="s">
        <v>715</v>
      </c>
      <c r="J249" s="1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idden="1">
      <c r="A250" s="58"/>
      <c r="B250" s="58">
        <v>44349.0</v>
      </c>
      <c r="C250" s="63"/>
      <c r="D250" s="63"/>
      <c r="E250" s="63"/>
      <c r="F250" s="155"/>
      <c r="G250" s="156"/>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idden="1">
      <c r="A251" s="64" t="s">
        <v>61</v>
      </c>
      <c r="B251" s="59"/>
      <c r="C251" s="63"/>
      <c r="D251" s="63"/>
      <c r="E251" s="63"/>
      <c r="F251" s="155"/>
      <c r="G251" s="156"/>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idden="1">
      <c r="A252" s="69"/>
      <c r="B252" s="70"/>
      <c r="C252" s="63"/>
      <c r="D252" s="63"/>
      <c r="E252" s="63"/>
      <c r="F252" s="155"/>
      <c r="G252" s="156"/>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idden="1">
      <c r="A253" s="69"/>
      <c r="B253" s="35" t="s">
        <v>96</v>
      </c>
      <c r="C253" s="102" t="s">
        <v>95</v>
      </c>
      <c r="D253" s="71" t="s">
        <v>705</v>
      </c>
      <c r="E253" s="71" t="s">
        <v>706</v>
      </c>
      <c r="F253" s="158">
        <v>0.4166666666666667</v>
      </c>
      <c r="G253" s="159" t="s">
        <v>3280</v>
      </c>
      <c r="H253" s="71" t="s">
        <v>3281</v>
      </c>
      <c r="I253" s="71" t="s">
        <v>709</v>
      </c>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idden="1">
      <c r="A254" s="69"/>
      <c r="B254" s="35" t="s">
        <v>96</v>
      </c>
      <c r="C254" s="102" t="s">
        <v>95</v>
      </c>
      <c r="D254" s="102" t="s">
        <v>3282</v>
      </c>
      <c r="E254" s="102" t="s">
        <v>3283</v>
      </c>
      <c r="F254" s="158">
        <v>0.5</v>
      </c>
      <c r="G254" s="159" t="s">
        <v>3284</v>
      </c>
      <c r="H254" s="102" t="s">
        <v>3285</v>
      </c>
      <c r="I254" s="102" t="s">
        <v>584</v>
      </c>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idden="1">
      <c r="A255" s="69"/>
      <c r="B255" s="35" t="s">
        <v>96</v>
      </c>
      <c r="C255" s="102" t="s">
        <v>95</v>
      </c>
      <c r="D255" s="102" t="s">
        <v>2987</v>
      </c>
      <c r="E255" s="102" t="s">
        <v>2988</v>
      </c>
      <c r="F255" s="158">
        <v>0.5833333333333334</v>
      </c>
      <c r="G255" s="159" t="s">
        <v>3286</v>
      </c>
      <c r="H255" s="102" t="s">
        <v>3287</v>
      </c>
      <c r="I255" s="102" t="s">
        <v>3288</v>
      </c>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idden="1">
      <c r="A256" s="79"/>
      <c r="B256" s="35" t="s">
        <v>96</v>
      </c>
      <c r="C256" s="147" t="s">
        <v>95</v>
      </c>
      <c r="D256" s="81" t="s">
        <v>3289</v>
      </c>
      <c r="E256" s="81" t="s">
        <v>3290</v>
      </c>
      <c r="F256" s="157">
        <v>0.6666666666666666</v>
      </c>
      <c r="G256" s="146" t="s">
        <v>2970</v>
      </c>
      <c r="H256" s="81" t="s">
        <v>3291</v>
      </c>
      <c r="I256" s="81" t="s">
        <v>3292</v>
      </c>
      <c r="J256" s="102" t="s">
        <v>3293</v>
      </c>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idden="1">
      <c r="A257" s="64" t="s">
        <v>47</v>
      </c>
      <c r="B257" s="59"/>
      <c r="C257" s="63"/>
      <c r="D257" s="63"/>
      <c r="E257" s="63"/>
      <c r="F257" s="155"/>
      <c r="G257" s="156"/>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idden="1">
      <c r="A258" s="69"/>
      <c r="B258" s="70"/>
      <c r="C258" s="63"/>
      <c r="D258" s="63"/>
      <c r="E258" s="63"/>
      <c r="F258" s="155"/>
      <c r="G258" s="156"/>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idden="1">
      <c r="A259" s="69"/>
      <c r="B259" s="38" t="s">
        <v>3250</v>
      </c>
      <c r="C259" s="102" t="s">
        <v>95</v>
      </c>
      <c r="D259" s="71" t="s">
        <v>3294</v>
      </c>
      <c r="E259" s="71" t="s">
        <v>3295</v>
      </c>
      <c r="F259" s="158">
        <v>0.5</v>
      </c>
      <c r="G259" s="159" t="s">
        <v>3296</v>
      </c>
      <c r="H259" s="102" t="s">
        <v>3297</v>
      </c>
      <c r="I259" s="71" t="s">
        <v>3298</v>
      </c>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idden="1">
      <c r="A260" s="69"/>
      <c r="B260" s="38" t="s">
        <v>3250</v>
      </c>
      <c r="C260" s="147" t="s">
        <v>95</v>
      </c>
      <c r="D260" s="147" t="s">
        <v>1744</v>
      </c>
      <c r="E260" s="147" t="s">
        <v>1745</v>
      </c>
      <c r="F260" s="157">
        <v>0.5833333333333334</v>
      </c>
      <c r="G260" s="146" t="s">
        <v>3299</v>
      </c>
      <c r="H260" s="147" t="s">
        <v>3300</v>
      </c>
      <c r="I260" s="147" t="s">
        <v>1747</v>
      </c>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idden="1">
      <c r="A261" s="69"/>
      <c r="B261" s="38" t="s">
        <v>3250</v>
      </c>
      <c r="C261" s="102" t="s">
        <v>95</v>
      </c>
      <c r="D261" s="102" t="s">
        <v>3301</v>
      </c>
      <c r="E261" s="102" t="s">
        <v>3302</v>
      </c>
      <c r="F261" s="158">
        <v>0.6666666666666666</v>
      </c>
      <c r="G261" s="159" t="s">
        <v>3303</v>
      </c>
      <c r="H261" s="102" t="s">
        <v>3304</v>
      </c>
      <c r="I261" s="102" t="s">
        <v>3305</v>
      </c>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idden="1">
      <c r="A262" s="79"/>
      <c r="B262" s="38" t="s">
        <v>3250</v>
      </c>
      <c r="C262" s="147" t="s">
        <v>95</v>
      </c>
      <c r="D262" s="147" t="s">
        <v>2537</v>
      </c>
      <c r="E262" s="147" t="s">
        <v>2538</v>
      </c>
      <c r="F262" s="160" t="s">
        <v>3306</v>
      </c>
      <c r="G262" s="146" t="s">
        <v>3307</v>
      </c>
      <c r="H262" s="147" t="s">
        <v>3308</v>
      </c>
      <c r="I262" s="147" t="s">
        <v>2540</v>
      </c>
      <c r="J262" s="102" t="s">
        <v>3309</v>
      </c>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idden="1">
      <c r="A263" s="58"/>
      <c r="B263" s="58">
        <v>44350.0</v>
      </c>
      <c r="C263" s="66"/>
      <c r="D263" s="66"/>
      <c r="E263" s="66"/>
      <c r="F263" s="66"/>
      <c r="G263" s="68"/>
      <c r="H263" s="66"/>
      <c r="I263" s="66"/>
      <c r="J263" s="66"/>
      <c r="K263" s="66"/>
      <c r="L263" s="63"/>
      <c r="M263" s="63"/>
      <c r="N263" s="63"/>
      <c r="O263" s="63"/>
      <c r="P263" s="63"/>
      <c r="Q263" s="63"/>
      <c r="R263" s="63"/>
      <c r="S263" s="63"/>
      <c r="T263" s="63"/>
      <c r="U263" s="63"/>
      <c r="V263" s="63"/>
      <c r="W263" s="63"/>
      <c r="X263" s="63"/>
      <c r="Y263" s="63"/>
      <c r="Z263" s="63"/>
      <c r="AA263" s="63"/>
      <c r="AB263" s="63"/>
      <c r="AC263" s="63"/>
      <c r="AD263" s="63"/>
      <c r="AE263" s="63"/>
      <c r="AF263" s="63"/>
    </row>
    <row r="264" hidden="1">
      <c r="A264" s="64" t="s">
        <v>61</v>
      </c>
      <c r="B264" s="59"/>
      <c r="C264" s="63"/>
      <c r="D264" s="63"/>
      <c r="E264" s="63"/>
      <c r="F264" s="155"/>
      <c r="G264" s="156"/>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idden="1">
      <c r="A265" s="69"/>
      <c r="B265" s="70"/>
      <c r="C265" s="63"/>
      <c r="D265" s="63"/>
      <c r="E265" s="164"/>
      <c r="F265" s="155"/>
      <c r="G265" s="156"/>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idden="1">
      <c r="A266" s="69"/>
      <c r="B266" s="35" t="s">
        <v>96</v>
      </c>
      <c r="C266" s="102"/>
      <c r="D266" s="165" t="s">
        <v>3248</v>
      </c>
      <c r="E266" s="141"/>
      <c r="F266" s="158"/>
      <c r="G266" s="156"/>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idden="1">
      <c r="A267" s="69"/>
      <c r="B267" s="35" t="s">
        <v>96</v>
      </c>
      <c r="C267" s="102"/>
      <c r="D267" s="142"/>
      <c r="E267" s="143"/>
      <c r="F267" s="158"/>
      <c r="G267" s="159"/>
      <c r="H267" s="102"/>
      <c r="I267" s="102"/>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idden="1">
      <c r="A268" s="69"/>
      <c r="B268" s="35" t="s">
        <v>96</v>
      </c>
      <c r="C268" s="102"/>
      <c r="D268" s="144"/>
      <c r="E268" s="145"/>
      <c r="F268" s="158"/>
      <c r="G268" s="159"/>
      <c r="H268" s="102"/>
      <c r="I268" s="102"/>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idden="1">
      <c r="A269" s="79"/>
      <c r="B269" s="35" t="s">
        <v>96</v>
      </c>
      <c r="C269" s="102"/>
      <c r="D269" s="63"/>
      <c r="E269" s="63"/>
      <c r="F269" s="158"/>
      <c r="G269" s="156"/>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idden="1">
      <c r="A270" s="64" t="s">
        <v>47</v>
      </c>
      <c r="B270" s="59"/>
      <c r="C270" s="63"/>
      <c r="D270" s="63"/>
      <c r="E270" s="63"/>
      <c r="F270" s="155"/>
      <c r="G270" s="156"/>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idden="1">
      <c r="A271" s="69"/>
      <c r="B271" s="70"/>
      <c r="C271" s="63"/>
      <c r="D271" s="63"/>
      <c r="E271" s="63"/>
      <c r="F271" s="155"/>
      <c r="G271" s="156"/>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idden="1">
      <c r="A272" s="69"/>
      <c r="B272" s="38" t="s">
        <v>3250</v>
      </c>
      <c r="C272" s="147" t="s">
        <v>95</v>
      </c>
      <c r="D272" s="81" t="s">
        <v>3310</v>
      </c>
      <c r="E272" s="81" t="s">
        <v>3311</v>
      </c>
      <c r="F272" s="119" t="s">
        <v>3034</v>
      </c>
      <c r="G272" s="146" t="s">
        <v>3256</v>
      </c>
      <c r="H272" s="112" t="s">
        <v>3312</v>
      </c>
      <c r="I272" s="81" t="s">
        <v>3313</v>
      </c>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idden="1">
      <c r="A273" s="69"/>
      <c r="B273" s="38" t="s">
        <v>3250</v>
      </c>
      <c r="C273" s="147" t="s">
        <v>95</v>
      </c>
      <c r="D273" s="81" t="s">
        <v>1832</v>
      </c>
      <c r="E273" s="81" t="s">
        <v>1833</v>
      </c>
      <c r="F273" s="157">
        <v>0.5</v>
      </c>
      <c r="G273" s="146" t="s">
        <v>3256</v>
      </c>
      <c r="H273" s="81" t="s">
        <v>3257</v>
      </c>
      <c r="I273" s="81" t="s">
        <v>1835</v>
      </c>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idden="1">
      <c r="A274" s="69"/>
      <c r="B274" s="38" t="s">
        <v>3250</v>
      </c>
      <c r="C274" s="147" t="s">
        <v>95</v>
      </c>
      <c r="D274" s="81" t="s">
        <v>2327</v>
      </c>
      <c r="E274" s="81" t="s">
        <v>2328</v>
      </c>
      <c r="F274" s="160" t="s">
        <v>3044</v>
      </c>
      <c r="G274" s="146" t="s">
        <v>3314</v>
      </c>
      <c r="H274" s="147" t="s">
        <v>3315</v>
      </c>
      <c r="I274" s="81" t="s">
        <v>2331</v>
      </c>
      <c r="J274" s="102" t="s">
        <v>3316</v>
      </c>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idden="1">
      <c r="A275" s="79"/>
      <c r="B275" s="38" t="s">
        <v>3250</v>
      </c>
      <c r="C275" s="147" t="s">
        <v>95</v>
      </c>
      <c r="D275" s="81" t="s">
        <v>3317</v>
      </c>
      <c r="E275" s="81" t="s">
        <v>3318</v>
      </c>
      <c r="F275" s="160" t="s">
        <v>3049</v>
      </c>
      <c r="G275" s="146" t="s">
        <v>3319</v>
      </c>
      <c r="H275" s="147" t="s">
        <v>3320</v>
      </c>
      <c r="I275" s="81" t="s">
        <v>3321</v>
      </c>
      <c r="J275" s="102" t="s">
        <v>3322</v>
      </c>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idden="1">
      <c r="A276" s="58"/>
      <c r="B276" s="58">
        <v>44351.0</v>
      </c>
      <c r="C276" s="63"/>
      <c r="D276" s="63"/>
      <c r="E276" s="63"/>
      <c r="F276" s="155"/>
      <c r="G276" s="156"/>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idden="1">
      <c r="A277" s="64" t="s">
        <v>61</v>
      </c>
      <c r="B277" s="59"/>
      <c r="C277" s="63"/>
      <c r="D277" s="63"/>
      <c r="E277" s="63"/>
      <c r="F277" s="155"/>
      <c r="G277" s="156"/>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idden="1">
      <c r="A278" s="69"/>
      <c r="B278" s="70"/>
      <c r="C278" s="63"/>
      <c r="D278" s="166" t="s">
        <v>3323</v>
      </c>
      <c r="E278" s="62"/>
      <c r="F278" s="155"/>
      <c r="G278" s="156"/>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idden="1">
      <c r="A279" s="69"/>
      <c r="B279" s="35" t="s">
        <v>96</v>
      </c>
      <c r="C279" s="74" t="s">
        <v>95</v>
      </c>
      <c r="D279" s="74" t="s">
        <v>2641</v>
      </c>
      <c r="E279" s="74" t="s">
        <v>2642</v>
      </c>
      <c r="F279" s="95" t="s">
        <v>3034</v>
      </c>
      <c r="G279" s="73" t="s">
        <v>3324</v>
      </c>
      <c r="H279" s="74" t="s">
        <v>3325</v>
      </c>
      <c r="I279" s="74" t="s">
        <v>2644</v>
      </c>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idden="1">
      <c r="A280" s="69"/>
      <c r="B280" s="35" t="s">
        <v>96</v>
      </c>
      <c r="C280" s="102" t="s">
        <v>95</v>
      </c>
      <c r="D280" s="105" t="s">
        <v>3326</v>
      </c>
      <c r="E280" s="105" t="s">
        <v>3327</v>
      </c>
      <c r="F280" s="158">
        <v>0.5208333333333334</v>
      </c>
      <c r="G280" s="159" t="s">
        <v>3200</v>
      </c>
      <c r="H280" s="102" t="s">
        <v>3328</v>
      </c>
      <c r="I280" s="71" t="s">
        <v>3329</v>
      </c>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idden="1">
      <c r="A281" s="69"/>
      <c r="B281" s="35" t="s">
        <v>96</v>
      </c>
      <c r="C281" s="102" t="s">
        <v>95</v>
      </c>
      <c r="D281" s="105" t="s">
        <v>89</v>
      </c>
      <c r="E281" s="105" t="s">
        <v>90</v>
      </c>
      <c r="F281" s="167" t="s">
        <v>3044</v>
      </c>
      <c r="G281" s="159" t="s">
        <v>3200</v>
      </c>
      <c r="H281" s="102" t="s">
        <v>3328</v>
      </c>
      <c r="I281" s="71" t="s">
        <v>93</v>
      </c>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idden="1">
      <c r="A282" s="79"/>
      <c r="B282" s="35" t="s">
        <v>96</v>
      </c>
      <c r="C282" s="147" t="s">
        <v>95</v>
      </c>
      <c r="D282" s="168" t="s">
        <v>3330</v>
      </c>
      <c r="E282" s="168" t="s">
        <v>3331</v>
      </c>
      <c r="F282" s="160" t="s">
        <v>3049</v>
      </c>
      <c r="G282" s="146" t="s">
        <v>3332</v>
      </c>
      <c r="H282" s="147" t="s">
        <v>3333</v>
      </c>
      <c r="I282" s="81" t="s">
        <v>1062</v>
      </c>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idden="1">
      <c r="A283" s="135"/>
      <c r="B283" s="35" t="s">
        <v>96</v>
      </c>
      <c r="C283" s="147" t="s">
        <v>95</v>
      </c>
      <c r="D283" s="81" t="s">
        <v>2546</v>
      </c>
      <c r="E283" s="81" t="s">
        <v>2547</v>
      </c>
      <c r="F283" s="157">
        <v>0.7291666666666666</v>
      </c>
      <c r="G283" s="146" t="s">
        <v>3096</v>
      </c>
      <c r="H283" s="147" t="s">
        <v>3334</v>
      </c>
      <c r="I283" s="81" t="s">
        <v>2549</v>
      </c>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idden="1">
      <c r="A284" s="64" t="s">
        <v>47</v>
      </c>
      <c r="B284" s="59"/>
      <c r="C284" s="63"/>
      <c r="D284" s="63"/>
      <c r="E284" s="63"/>
      <c r="F284" s="155"/>
      <c r="G284" s="156"/>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idden="1">
      <c r="A285" s="69"/>
      <c r="B285" s="70"/>
      <c r="C285" s="63"/>
      <c r="D285" s="63"/>
      <c r="E285" s="63"/>
      <c r="F285" s="155"/>
      <c r="G285" s="156"/>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idden="1">
      <c r="A286" s="69"/>
      <c r="B286" s="38" t="s">
        <v>3250</v>
      </c>
      <c r="C286" s="147" t="s">
        <v>95</v>
      </c>
      <c r="D286" s="81" t="s">
        <v>3335</v>
      </c>
      <c r="E286" s="81" t="s">
        <v>3336</v>
      </c>
      <c r="F286" s="157">
        <v>0.4166666666666667</v>
      </c>
      <c r="G286" s="146" t="s">
        <v>3337</v>
      </c>
      <c r="H286" s="81" t="s">
        <v>3338</v>
      </c>
      <c r="I286" s="81" t="s">
        <v>3339</v>
      </c>
      <c r="J286" s="102" t="s">
        <v>3340</v>
      </c>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idden="1">
      <c r="A287" s="69"/>
      <c r="B287" s="38" t="s">
        <v>3250</v>
      </c>
      <c r="C287" s="147" t="s">
        <v>95</v>
      </c>
      <c r="D287" s="117" t="s">
        <v>1384</v>
      </c>
      <c r="E287" s="117" t="s">
        <v>1385</v>
      </c>
      <c r="F287" s="157">
        <v>0.5</v>
      </c>
      <c r="G287" s="146" t="s">
        <v>3341</v>
      </c>
      <c r="H287" s="147" t="s">
        <v>3342</v>
      </c>
      <c r="I287" s="147" t="s">
        <v>1387</v>
      </c>
      <c r="J287" s="102" t="s">
        <v>3343</v>
      </c>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idden="1">
      <c r="A288" s="69"/>
      <c r="B288" s="38" t="s">
        <v>3250</v>
      </c>
      <c r="C288" s="147" t="s">
        <v>95</v>
      </c>
      <c r="D288" s="117" t="s">
        <v>3344</v>
      </c>
      <c r="E288" s="117" t="s">
        <v>3345</v>
      </c>
      <c r="F288" s="160" t="s">
        <v>3044</v>
      </c>
      <c r="G288" s="146" t="s">
        <v>2925</v>
      </c>
      <c r="H288" s="147" t="s">
        <v>3346</v>
      </c>
      <c r="I288" s="81" t="s">
        <v>3347</v>
      </c>
      <c r="J288" s="102" t="s">
        <v>3348</v>
      </c>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idden="1">
      <c r="A289" s="79"/>
      <c r="B289" s="38" t="s">
        <v>3250</v>
      </c>
      <c r="C289" s="147" t="s">
        <v>95</v>
      </c>
      <c r="D289" s="168" t="s">
        <v>1590</v>
      </c>
      <c r="E289" s="168" t="s">
        <v>1591</v>
      </c>
      <c r="F289" s="160" t="s">
        <v>3049</v>
      </c>
      <c r="G289" s="146" t="s">
        <v>3349</v>
      </c>
      <c r="H289" s="147" t="s">
        <v>3350</v>
      </c>
      <c r="I289" s="81" t="s">
        <v>1594</v>
      </c>
      <c r="J289" s="102" t="s">
        <v>3351</v>
      </c>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idden="1">
      <c r="A290" s="58"/>
      <c r="B290" s="58">
        <v>44354.0</v>
      </c>
      <c r="C290" s="63"/>
      <c r="D290" s="63"/>
      <c r="E290" s="63"/>
      <c r="F290" s="155"/>
      <c r="G290" s="156"/>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idden="1">
      <c r="A291" s="64" t="s">
        <v>61</v>
      </c>
      <c r="B291" s="59"/>
      <c r="C291" s="63"/>
      <c r="D291" s="63"/>
      <c r="E291" s="63"/>
      <c r="F291" s="155"/>
      <c r="G291" s="156"/>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idden="1">
      <c r="A292" s="69"/>
      <c r="B292" s="70"/>
      <c r="C292" s="63"/>
      <c r="D292" s="166"/>
      <c r="E292" s="62"/>
      <c r="F292" s="155"/>
      <c r="G292" s="156"/>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idden="1">
      <c r="A293" s="69"/>
      <c r="B293" s="35" t="s">
        <v>96</v>
      </c>
      <c r="C293" s="74" t="s">
        <v>95</v>
      </c>
      <c r="D293" s="71" t="s">
        <v>3335</v>
      </c>
      <c r="E293" s="71" t="s">
        <v>3336</v>
      </c>
      <c r="F293" s="158">
        <v>0.4166666666666667</v>
      </c>
      <c r="G293" s="159" t="s">
        <v>3337</v>
      </c>
      <c r="H293" s="71" t="s">
        <v>3338</v>
      </c>
      <c r="I293" s="71" t="s">
        <v>3339</v>
      </c>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idden="1">
      <c r="A294" s="69"/>
      <c r="B294" s="35" t="s">
        <v>96</v>
      </c>
      <c r="C294" s="102" t="s">
        <v>95</v>
      </c>
      <c r="D294" s="105" t="s">
        <v>2469</v>
      </c>
      <c r="E294" s="105" t="s">
        <v>2470</v>
      </c>
      <c r="F294" s="158">
        <v>0.5</v>
      </c>
      <c r="G294" s="159" t="s">
        <v>3352</v>
      </c>
      <c r="H294" s="102" t="s">
        <v>3353</v>
      </c>
      <c r="I294" s="71" t="s">
        <v>2473</v>
      </c>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idden="1">
      <c r="A295" s="69"/>
      <c r="B295" s="35" t="s">
        <v>96</v>
      </c>
      <c r="C295" s="102" t="s">
        <v>95</v>
      </c>
      <c r="D295" s="71" t="s">
        <v>3354</v>
      </c>
      <c r="E295" s="71" t="s">
        <v>1264</v>
      </c>
      <c r="F295" s="167" t="s">
        <v>3044</v>
      </c>
      <c r="G295" s="71" t="s">
        <v>3341</v>
      </c>
      <c r="H295" s="71" t="s">
        <v>3355</v>
      </c>
      <c r="I295" s="71" t="s">
        <v>3356</v>
      </c>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idden="1">
      <c r="A296" s="79"/>
      <c r="B296" s="35" t="s">
        <v>96</v>
      </c>
      <c r="C296" s="102"/>
      <c r="D296" s="63"/>
      <c r="E296" s="63"/>
      <c r="F296" s="167" t="s">
        <v>3049</v>
      </c>
      <c r="G296" s="156"/>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idden="1">
      <c r="A297" s="64" t="s">
        <v>47</v>
      </c>
      <c r="B297" s="59"/>
      <c r="C297" s="63"/>
      <c r="D297" s="63"/>
      <c r="E297" s="63"/>
      <c r="F297" s="155"/>
      <c r="G297" s="156"/>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idden="1">
      <c r="A298" s="69"/>
      <c r="B298" s="70"/>
      <c r="C298" s="63"/>
      <c r="D298" s="63"/>
      <c r="E298" s="63"/>
      <c r="F298" s="155"/>
      <c r="G298" s="156"/>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idden="1">
      <c r="A299" s="69"/>
      <c r="B299" s="38" t="s">
        <v>3250</v>
      </c>
      <c r="C299" s="102"/>
      <c r="D299" s="71"/>
      <c r="E299" s="71"/>
      <c r="F299" s="169">
        <v>0.4166666666666667</v>
      </c>
      <c r="G299" s="159"/>
      <c r="H299" s="71"/>
      <c r="I299" s="71"/>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idden="1">
      <c r="A300" s="69"/>
      <c r="B300" s="38" t="s">
        <v>3250</v>
      </c>
      <c r="C300" s="102"/>
      <c r="D300" s="105"/>
      <c r="E300" s="105"/>
      <c r="F300" s="169">
        <v>0.5</v>
      </c>
      <c r="G300" s="159"/>
      <c r="H300" s="102"/>
      <c r="I300" s="102"/>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idden="1">
      <c r="A301" s="69"/>
      <c r="B301" s="38" t="s">
        <v>3250</v>
      </c>
      <c r="C301" s="147" t="s">
        <v>95</v>
      </c>
      <c r="D301" s="147" t="s">
        <v>2537</v>
      </c>
      <c r="E301" s="147" t="s">
        <v>2538</v>
      </c>
      <c r="F301" s="170" t="s">
        <v>3044</v>
      </c>
      <c r="G301" s="146" t="s">
        <v>3307</v>
      </c>
      <c r="H301" s="147" t="s">
        <v>3308</v>
      </c>
      <c r="I301" s="147" t="s">
        <v>2540</v>
      </c>
      <c r="J301" s="102" t="s">
        <v>3357</v>
      </c>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idden="1">
      <c r="A302" s="79"/>
      <c r="B302" s="38" t="s">
        <v>3250</v>
      </c>
      <c r="C302" s="102"/>
      <c r="D302" s="109"/>
      <c r="E302" s="109"/>
      <c r="F302" s="171" t="s">
        <v>3049</v>
      </c>
      <c r="G302" s="159"/>
      <c r="H302" s="102"/>
      <c r="I302" s="71"/>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idden="1">
      <c r="A303" s="58"/>
      <c r="B303" s="58">
        <v>44355.0</v>
      </c>
      <c r="C303" s="63"/>
      <c r="D303" s="63"/>
      <c r="E303" s="63"/>
      <c r="F303" s="155"/>
      <c r="G303" s="156"/>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idden="1">
      <c r="A304" s="64" t="s">
        <v>61</v>
      </c>
      <c r="B304" s="59"/>
      <c r="C304" s="63"/>
      <c r="D304" s="63"/>
      <c r="E304" s="63"/>
      <c r="F304" s="155"/>
      <c r="G304" s="156"/>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idden="1">
      <c r="A305" s="69"/>
      <c r="B305" s="70"/>
      <c r="C305" s="63"/>
      <c r="D305" s="166"/>
      <c r="E305" s="62"/>
      <c r="F305" s="155"/>
      <c r="G305" s="156"/>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idden="1">
      <c r="A306" s="69"/>
      <c r="B306" s="35" t="s">
        <v>96</v>
      </c>
      <c r="C306" s="66"/>
      <c r="D306" s="172" t="s">
        <v>3358</v>
      </c>
      <c r="E306" s="62"/>
      <c r="F306" s="95"/>
      <c r="G306" s="68"/>
      <c r="H306" s="66"/>
      <c r="I306" s="66"/>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idden="1">
      <c r="A307" s="69"/>
      <c r="B307" s="35" t="s">
        <v>96</v>
      </c>
      <c r="C307" s="108" t="s">
        <v>95</v>
      </c>
      <c r="D307" s="105" t="s">
        <v>1832</v>
      </c>
      <c r="E307" s="105" t="s">
        <v>1833</v>
      </c>
      <c r="F307" s="173">
        <v>0.5416666666666666</v>
      </c>
      <c r="G307" s="111" t="s">
        <v>3256</v>
      </c>
      <c r="H307" s="137" t="s">
        <v>3359</v>
      </c>
      <c r="I307" s="121" t="s">
        <v>1835</v>
      </c>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idden="1">
      <c r="A308" s="69"/>
      <c r="B308" s="35" t="s">
        <v>96</v>
      </c>
      <c r="C308" s="162" t="s">
        <v>95</v>
      </c>
      <c r="D308" s="174" t="s">
        <v>2327</v>
      </c>
      <c r="E308" s="174" t="s">
        <v>2328</v>
      </c>
      <c r="F308" s="175">
        <v>0.6041666666666666</v>
      </c>
      <c r="G308" s="176" t="s">
        <v>3314</v>
      </c>
      <c r="H308" s="162" t="s">
        <v>3315</v>
      </c>
      <c r="I308" s="174" t="s">
        <v>2331</v>
      </c>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idden="1">
      <c r="A309" s="79"/>
      <c r="B309" s="35" t="s">
        <v>96</v>
      </c>
      <c r="C309" s="102" t="s">
        <v>95</v>
      </c>
      <c r="D309" s="109" t="s">
        <v>1590</v>
      </c>
      <c r="E309" s="109" t="s">
        <v>1591</v>
      </c>
      <c r="F309" s="158">
        <v>0.7083333333333334</v>
      </c>
      <c r="G309" s="159" t="s">
        <v>3349</v>
      </c>
      <c r="H309" s="102" t="s">
        <v>3350</v>
      </c>
      <c r="I309" s="71" t="s">
        <v>1594</v>
      </c>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idden="1">
      <c r="A310" s="58"/>
      <c r="B310" s="58">
        <v>44356.0</v>
      </c>
      <c r="C310" s="102"/>
      <c r="D310" s="109"/>
      <c r="E310" s="109"/>
      <c r="F310" s="167"/>
      <c r="G310" s="159"/>
      <c r="H310" s="102"/>
      <c r="I310" s="71"/>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idden="1">
      <c r="A311" s="64" t="s">
        <v>61</v>
      </c>
      <c r="B311" s="59"/>
      <c r="C311" s="102"/>
      <c r="D311" s="109"/>
      <c r="E311" s="109"/>
      <c r="F311" s="167"/>
      <c r="G311" s="159"/>
      <c r="H311" s="102"/>
      <c r="I311" s="71"/>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idden="1">
      <c r="A312" s="69"/>
      <c r="B312" s="70"/>
      <c r="C312" s="102"/>
      <c r="D312" s="109"/>
      <c r="E312" s="109"/>
      <c r="F312" s="167"/>
      <c r="G312" s="159"/>
      <c r="H312" s="102"/>
      <c r="I312" s="71"/>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idden="1">
      <c r="A313" s="69"/>
      <c r="B313" s="35" t="s">
        <v>96</v>
      </c>
      <c r="C313" s="147" t="s">
        <v>95</v>
      </c>
      <c r="D313" s="168" t="s">
        <v>3360</v>
      </c>
      <c r="E313" s="168" t="s">
        <v>3361</v>
      </c>
      <c r="F313" s="157">
        <v>0.4166666666666667</v>
      </c>
      <c r="G313" s="146" t="s">
        <v>2946</v>
      </c>
      <c r="H313" s="147" t="s">
        <v>3362</v>
      </c>
      <c r="I313" s="81" t="s">
        <v>3363</v>
      </c>
      <c r="J313" s="102" t="s">
        <v>3364</v>
      </c>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idden="1">
      <c r="A314" s="69"/>
      <c r="B314" s="35" t="s">
        <v>96</v>
      </c>
      <c r="C314" s="78" t="s">
        <v>95</v>
      </c>
      <c r="D314" s="174" t="s">
        <v>1017</v>
      </c>
      <c r="E314" s="174" t="s">
        <v>1018</v>
      </c>
      <c r="F314" s="177" t="s">
        <v>3120</v>
      </c>
      <c r="G314" s="174" t="s">
        <v>3084</v>
      </c>
      <c r="H314" s="174" t="s">
        <v>3085</v>
      </c>
      <c r="I314" s="174" t="s">
        <v>1019</v>
      </c>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idden="1">
      <c r="A315" s="69"/>
      <c r="B315" s="35" t="s">
        <v>96</v>
      </c>
      <c r="C315" s="162" t="s">
        <v>95</v>
      </c>
      <c r="D315" s="162" t="s">
        <v>1744</v>
      </c>
      <c r="E315" s="162" t="s">
        <v>1745</v>
      </c>
      <c r="F315" s="175">
        <v>0.5833333333333334</v>
      </c>
      <c r="G315" s="176" t="s">
        <v>3299</v>
      </c>
      <c r="H315" s="162" t="s">
        <v>3300</v>
      </c>
      <c r="I315" s="162" t="s">
        <v>1747</v>
      </c>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idden="1">
      <c r="A316" s="79"/>
      <c r="B316" s="35" t="s">
        <v>96</v>
      </c>
      <c r="C316" s="102" t="s">
        <v>95</v>
      </c>
      <c r="D316" s="102" t="s">
        <v>2537</v>
      </c>
      <c r="E316" s="102" t="s">
        <v>2538</v>
      </c>
      <c r="F316" s="72">
        <v>0.6666666666666666</v>
      </c>
      <c r="G316" s="159" t="s">
        <v>3307</v>
      </c>
      <c r="H316" s="102" t="s">
        <v>3308</v>
      </c>
      <c r="I316" s="102" t="s">
        <v>2540</v>
      </c>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idden="1">
      <c r="A317" s="58"/>
      <c r="B317" s="58">
        <v>44357.0</v>
      </c>
      <c r="C317" s="102"/>
      <c r="D317" s="109"/>
      <c r="E317" s="109"/>
      <c r="F317" s="167"/>
      <c r="G317" s="159"/>
      <c r="H317" s="102"/>
      <c r="I317" s="71"/>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idden="1">
      <c r="A318" s="64" t="s">
        <v>61</v>
      </c>
      <c r="B318" s="59"/>
      <c r="C318" s="102"/>
      <c r="D318" s="109"/>
      <c r="E318" s="109"/>
      <c r="F318" s="167"/>
      <c r="G318" s="159"/>
      <c r="H318" s="102"/>
      <c r="I318" s="71"/>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idden="1">
      <c r="A319" s="69"/>
      <c r="B319" s="70"/>
      <c r="C319" s="102"/>
      <c r="D319" s="178" t="s">
        <v>3365</v>
      </c>
      <c r="E319" s="179"/>
      <c r="F319" s="167"/>
      <c r="G319" s="159"/>
      <c r="H319" s="102"/>
      <c r="I319" s="71"/>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idden="1">
      <c r="A320" s="69"/>
      <c r="B320" s="35" t="s">
        <v>96</v>
      </c>
      <c r="C320" s="147" t="s">
        <v>364</v>
      </c>
      <c r="D320" s="131" t="s">
        <v>360</v>
      </c>
      <c r="E320" s="131" t="s">
        <v>361</v>
      </c>
      <c r="F320" s="157">
        <v>0.5416666666666666</v>
      </c>
      <c r="G320" s="146" t="s">
        <v>3106</v>
      </c>
      <c r="H320" s="147" t="s">
        <v>3366</v>
      </c>
      <c r="I320" s="81" t="s">
        <v>363</v>
      </c>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idden="1">
      <c r="A321" s="69"/>
      <c r="B321" s="35" t="s">
        <v>96</v>
      </c>
      <c r="C321" s="147" t="s">
        <v>95</v>
      </c>
      <c r="D321" s="81" t="s">
        <v>3367</v>
      </c>
      <c r="E321" s="81" t="s">
        <v>3368</v>
      </c>
      <c r="F321" s="157">
        <v>0.5833333333333334</v>
      </c>
      <c r="G321" s="146" t="s">
        <v>3090</v>
      </c>
      <c r="H321" s="81" t="s">
        <v>3369</v>
      </c>
      <c r="I321" s="81" t="s">
        <v>3370</v>
      </c>
      <c r="J321" s="102" t="s">
        <v>3371</v>
      </c>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idden="1">
      <c r="A322" s="79"/>
      <c r="B322" s="35" t="s">
        <v>96</v>
      </c>
      <c r="C322" s="147" t="s">
        <v>95</v>
      </c>
      <c r="D322" s="81" t="s">
        <v>3372</v>
      </c>
      <c r="E322" s="81" t="s">
        <v>718</v>
      </c>
      <c r="F322" s="180">
        <v>0.6666666666666666</v>
      </c>
      <c r="G322" s="146" t="s">
        <v>3090</v>
      </c>
      <c r="H322" s="81" t="s">
        <v>3373</v>
      </c>
      <c r="I322" s="81" t="s">
        <v>3374</v>
      </c>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idden="1">
      <c r="A323" s="135"/>
      <c r="B323" s="35" t="s">
        <v>96</v>
      </c>
      <c r="C323" s="147" t="s">
        <v>95</v>
      </c>
      <c r="D323" s="81" t="s">
        <v>1124</v>
      </c>
      <c r="E323" s="81" t="s">
        <v>1125</v>
      </c>
      <c r="F323" s="157">
        <v>0.7291666666666666</v>
      </c>
      <c r="G323" s="146" t="s">
        <v>3200</v>
      </c>
      <c r="H323" s="147" t="s">
        <v>3375</v>
      </c>
      <c r="I323" s="81" t="s">
        <v>287</v>
      </c>
      <c r="J323" s="102" t="s">
        <v>3376</v>
      </c>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21.0" hidden="1" customHeight="1">
      <c r="A324" s="58"/>
      <c r="B324" s="58">
        <v>44358.0</v>
      </c>
      <c r="C324" s="102"/>
      <c r="D324" s="109"/>
      <c r="E324" s="109"/>
      <c r="F324" s="167"/>
      <c r="G324" s="159"/>
      <c r="H324" s="102"/>
      <c r="I324" s="71"/>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idden="1">
      <c r="A325" s="64" t="s">
        <v>61</v>
      </c>
      <c r="B325" s="59"/>
      <c r="C325" s="102"/>
      <c r="D325" s="109"/>
      <c r="E325" s="109"/>
      <c r="F325" s="167"/>
      <c r="G325" s="159"/>
      <c r="H325" s="102"/>
      <c r="I325" s="71"/>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idden="1">
      <c r="A326" s="69"/>
      <c r="B326" s="70"/>
      <c r="C326" s="102"/>
      <c r="D326" s="109"/>
      <c r="E326" s="109"/>
      <c r="F326" s="167"/>
      <c r="G326" s="159"/>
      <c r="H326" s="102"/>
      <c r="I326" s="71"/>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idden="1">
      <c r="A327" s="69"/>
      <c r="B327" s="35" t="s">
        <v>96</v>
      </c>
      <c r="C327" s="102"/>
      <c r="D327" s="181" t="s">
        <v>3248</v>
      </c>
      <c r="E327" s="141"/>
      <c r="F327" s="167"/>
      <c r="G327" s="159"/>
      <c r="H327" s="102"/>
      <c r="I327" s="71"/>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idden="1">
      <c r="A328" s="69"/>
      <c r="B328" s="35" t="s">
        <v>96</v>
      </c>
      <c r="C328" s="102"/>
      <c r="D328" s="144"/>
      <c r="E328" s="145"/>
      <c r="F328" s="167"/>
      <c r="G328" s="159"/>
      <c r="H328" s="102"/>
      <c r="I328" s="71"/>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idden="1">
      <c r="A329" s="69"/>
      <c r="B329" s="35" t="s">
        <v>96</v>
      </c>
      <c r="C329" s="102"/>
      <c r="D329" s="109"/>
      <c r="E329" s="109"/>
      <c r="F329" s="167"/>
      <c r="G329" s="159"/>
      <c r="H329" s="102"/>
      <c r="I329" s="71"/>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idden="1">
      <c r="A330" s="79"/>
      <c r="B330" s="35" t="s">
        <v>96</v>
      </c>
      <c r="C330" s="102"/>
      <c r="D330" s="109"/>
      <c r="E330" s="109"/>
      <c r="F330" s="167"/>
      <c r="G330" s="159"/>
      <c r="H330" s="102"/>
      <c r="I330" s="71"/>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idden="1">
      <c r="A331" s="58"/>
      <c r="B331" s="58">
        <v>44361.0</v>
      </c>
      <c r="C331" s="102"/>
      <c r="D331" s="109"/>
      <c r="E331" s="109"/>
      <c r="F331" s="167"/>
      <c r="G331" s="159"/>
      <c r="H331" s="102"/>
      <c r="I331" s="71"/>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idden="1">
      <c r="A332" s="64" t="s">
        <v>61</v>
      </c>
      <c r="B332" s="59"/>
      <c r="C332" s="102"/>
      <c r="D332" s="109"/>
      <c r="E332" s="109"/>
      <c r="F332" s="167"/>
      <c r="G332" s="159"/>
      <c r="H332" s="102"/>
      <c r="I332" s="71"/>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idden="1">
      <c r="A333" s="69"/>
      <c r="B333" s="70"/>
      <c r="C333" s="102"/>
      <c r="D333" s="109"/>
      <c r="E333" s="109"/>
      <c r="F333" s="167"/>
      <c r="G333" s="159"/>
      <c r="H333" s="102"/>
      <c r="I333" s="71"/>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idden="1">
      <c r="A334" s="69"/>
      <c r="B334" s="35" t="s">
        <v>96</v>
      </c>
      <c r="C334" s="147" t="s">
        <v>95</v>
      </c>
      <c r="D334" s="168" t="s">
        <v>3360</v>
      </c>
      <c r="E334" s="131" t="s">
        <v>3361</v>
      </c>
      <c r="F334" s="157">
        <v>0.4166666666666667</v>
      </c>
      <c r="G334" s="146" t="s">
        <v>2946</v>
      </c>
      <c r="H334" s="147" t="s">
        <v>3362</v>
      </c>
      <c r="I334" s="81" t="s">
        <v>3363</v>
      </c>
      <c r="J334" s="102" t="s">
        <v>3377</v>
      </c>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idden="1">
      <c r="A335" s="69"/>
      <c r="B335" s="35" t="s">
        <v>96</v>
      </c>
      <c r="C335" s="147" t="s">
        <v>95</v>
      </c>
      <c r="D335" s="131" t="s">
        <v>433</v>
      </c>
      <c r="E335" s="131" t="s">
        <v>434</v>
      </c>
      <c r="F335" s="157">
        <v>0.5</v>
      </c>
      <c r="G335" s="146" t="s">
        <v>3063</v>
      </c>
      <c r="H335" s="147" t="s">
        <v>3378</v>
      </c>
      <c r="I335" s="81" t="s">
        <v>436</v>
      </c>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idden="1">
      <c r="A336" s="69"/>
      <c r="B336" s="35" t="s">
        <v>96</v>
      </c>
      <c r="C336" s="147" t="s">
        <v>95</v>
      </c>
      <c r="D336" s="131" t="s">
        <v>804</v>
      </c>
      <c r="E336" s="131" t="s">
        <v>805</v>
      </c>
      <c r="F336" s="157">
        <v>0.5833333333333334</v>
      </c>
      <c r="G336" s="146" t="s">
        <v>3379</v>
      </c>
      <c r="H336" s="147" t="s">
        <v>3380</v>
      </c>
      <c r="I336" s="81" t="s">
        <v>807</v>
      </c>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idden="1">
      <c r="A337" s="79"/>
      <c r="B337" s="35" t="s">
        <v>96</v>
      </c>
      <c r="C337" s="102" t="s">
        <v>95</v>
      </c>
      <c r="D337" s="71" t="s">
        <v>2756</v>
      </c>
      <c r="E337" s="71" t="s">
        <v>2757</v>
      </c>
      <c r="F337" s="167" t="s">
        <v>3049</v>
      </c>
      <c r="G337" s="159" t="s">
        <v>2900</v>
      </c>
      <c r="H337" s="102" t="s">
        <v>3381</v>
      </c>
      <c r="I337" s="71" t="s">
        <v>2759</v>
      </c>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idden="1">
      <c r="A338" s="58"/>
      <c r="B338" s="58">
        <v>44362.0</v>
      </c>
      <c r="C338" s="66"/>
      <c r="D338" s="109"/>
      <c r="E338" s="109"/>
      <c r="F338" s="167"/>
      <c r="G338" s="159"/>
      <c r="H338" s="102"/>
      <c r="I338" s="71"/>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idden="1">
      <c r="A339" s="64" t="s">
        <v>61</v>
      </c>
      <c r="B339" s="59"/>
      <c r="C339" s="66"/>
      <c r="D339" s="109"/>
      <c r="E339" s="109"/>
      <c r="F339" s="167"/>
      <c r="G339" s="159"/>
      <c r="H339" s="102"/>
      <c r="I339" s="71"/>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idden="1">
      <c r="A340" s="69"/>
      <c r="B340" s="70"/>
      <c r="C340" s="102"/>
      <c r="D340" s="109"/>
      <c r="E340" s="109"/>
      <c r="F340" s="167"/>
      <c r="G340" s="159"/>
      <c r="H340" s="102"/>
      <c r="I340" s="71"/>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idden="1">
      <c r="A341" s="69"/>
      <c r="B341" s="35" t="s">
        <v>96</v>
      </c>
      <c r="C341" s="182" t="s">
        <v>95</v>
      </c>
      <c r="D341" s="183" t="s">
        <v>1124</v>
      </c>
      <c r="E341" s="183" t="s">
        <v>1125</v>
      </c>
      <c r="F341" s="184">
        <v>0.4583333333333333</v>
      </c>
      <c r="G341" s="185" t="s">
        <v>3200</v>
      </c>
      <c r="H341" s="182" t="s">
        <v>3375</v>
      </c>
      <c r="I341" s="183" t="s">
        <v>287</v>
      </c>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idden="1">
      <c r="A342" s="69"/>
      <c r="B342" s="35" t="s">
        <v>96</v>
      </c>
      <c r="C342" s="102" t="s">
        <v>95</v>
      </c>
      <c r="D342" s="71" t="s">
        <v>3169</v>
      </c>
      <c r="E342" s="71" t="s">
        <v>3170</v>
      </c>
      <c r="F342" s="167" t="s">
        <v>3011</v>
      </c>
      <c r="G342" s="185" t="s">
        <v>3200</v>
      </c>
      <c r="H342" s="71" t="s">
        <v>3382</v>
      </c>
      <c r="I342" s="71" t="s">
        <v>3172</v>
      </c>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idden="1">
      <c r="A343" s="69"/>
      <c r="B343" s="35" t="s">
        <v>96</v>
      </c>
      <c r="C343" s="102" t="s">
        <v>95</v>
      </c>
      <c r="D343" s="137" t="s">
        <v>899</v>
      </c>
      <c r="E343" s="137" t="s">
        <v>900</v>
      </c>
      <c r="F343" s="158">
        <v>0.625</v>
      </c>
      <c r="G343" s="159" t="s">
        <v>3200</v>
      </c>
      <c r="H343" s="102" t="s">
        <v>3383</v>
      </c>
      <c r="I343" s="71" t="s">
        <v>902</v>
      </c>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idden="1">
      <c r="A344" s="79"/>
      <c r="B344" s="35" t="s">
        <v>96</v>
      </c>
      <c r="C344" s="147" t="s">
        <v>95</v>
      </c>
      <c r="D344" s="131" t="s">
        <v>3384</v>
      </c>
      <c r="E344" s="131" t="s">
        <v>3385</v>
      </c>
      <c r="F344" s="157">
        <v>0.7083333333333334</v>
      </c>
      <c r="G344" s="146" t="s">
        <v>3386</v>
      </c>
      <c r="H344" s="147" t="s">
        <v>3387</v>
      </c>
      <c r="I344" s="81" t="s">
        <v>2108</v>
      </c>
      <c r="J344" s="102" t="s">
        <v>3376</v>
      </c>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idden="1">
      <c r="A345" s="58"/>
      <c r="B345" s="58">
        <v>44363.0</v>
      </c>
      <c r="C345" s="102"/>
      <c r="D345" s="109"/>
      <c r="E345" s="109"/>
      <c r="F345" s="167"/>
      <c r="G345" s="159"/>
      <c r="H345" s="102"/>
      <c r="I345" s="71"/>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idden="1">
      <c r="A346" s="64" t="s">
        <v>61</v>
      </c>
      <c r="B346" s="59"/>
      <c r="C346" s="102"/>
      <c r="D346" s="109"/>
      <c r="E346" s="109"/>
      <c r="F346" s="167"/>
      <c r="G346" s="159"/>
      <c r="H346" s="102"/>
      <c r="I346" s="71"/>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idden="1">
      <c r="A347" s="69"/>
      <c r="B347" s="70"/>
      <c r="C347" s="102"/>
      <c r="D347" s="109"/>
      <c r="E347" s="109"/>
      <c r="F347" s="167"/>
      <c r="G347" s="159"/>
      <c r="H347" s="102"/>
      <c r="I347" s="71"/>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idden="1">
      <c r="A348" s="69"/>
      <c r="B348" s="35" t="s">
        <v>96</v>
      </c>
      <c r="C348" s="102" t="s">
        <v>95</v>
      </c>
      <c r="D348" s="71" t="s">
        <v>1749</v>
      </c>
      <c r="E348" s="71" t="s">
        <v>1750</v>
      </c>
      <c r="F348" s="167" t="s">
        <v>3057</v>
      </c>
      <c r="G348" s="159" t="s">
        <v>3332</v>
      </c>
      <c r="H348" s="102" t="s">
        <v>3388</v>
      </c>
      <c r="I348" s="71" t="s">
        <v>1752</v>
      </c>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idden="1">
      <c r="A349" s="69"/>
      <c r="B349" s="35" t="s">
        <v>96</v>
      </c>
      <c r="C349" s="102" t="s">
        <v>95</v>
      </c>
      <c r="D349" s="137" t="s">
        <v>1228</v>
      </c>
      <c r="E349" s="137" t="s">
        <v>1229</v>
      </c>
      <c r="F349" s="167" t="s">
        <v>3044</v>
      </c>
      <c r="G349" s="159" t="s">
        <v>3200</v>
      </c>
      <c r="H349" s="102" t="s">
        <v>3389</v>
      </c>
      <c r="I349" s="71" t="s">
        <v>1232</v>
      </c>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idden="1">
      <c r="A350" s="69"/>
      <c r="B350" s="35" t="s">
        <v>96</v>
      </c>
      <c r="C350" s="102" t="s">
        <v>95</v>
      </c>
      <c r="D350" s="71" t="s">
        <v>1357</v>
      </c>
      <c r="E350" s="71" t="s">
        <v>1358</v>
      </c>
      <c r="F350" s="167" t="s">
        <v>3049</v>
      </c>
      <c r="G350" s="159" t="s">
        <v>3200</v>
      </c>
      <c r="H350" s="102" t="s">
        <v>3390</v>
      </c>
      <c r="I350" s="71" t="s">
        <v>1360</v>
      </c>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idden="1">
      <c r="A351" s="79"/>
      <c r="B351" s="35" t="s">
        <v>96</v>
      </c>
      <c r="C351" s="102" t="s">
        <v>95</v>
      </c>
      <c r="D351" s="71" t="s">
        <v>1465</v>
      </c>
      <c r="E351" s="71" t="s">
        <v>1466</v>
      </c>
      <c r="F351" s="167" t="s">
        <v>3040</v>
      </c>
      <c r="G351" s="159" t="s">
        <v>3200</v>
      </c>
      <c r="H351" s="102" t="s">
        <v>3391</v>
      </c>
      <c r="I351" s="71" t="s">
        <v>1468</v>
      </c>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idden="1">
      <c r="A352" s="58"/>
      <c r="B352" s="58">
        <v>44365.0</v>
      </c>
      <c r="C352" s="102"/>
      <c r="D352" s="109"/>
      <c r="E352" s="109"/>
      <c r="F352" s="167"/>
      <c r="G352" s="159"/>
      <c r="H352" s="102"/>
      <c r="I352" s="71"/>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idden="1">
      <c r="A353" s="64" t="s">
        <v>61</v>
      </c>
      <c r="B353" s="59"/>
      <c r="C353" s="102"/>
      <c r="D353" s="109"/>
      <c r="E353" s="109"/>
      <c r="F353" s="167"/>
      <c r="G353" s="159"/>
      <c r="H353" s="102"/>
      <c r="I353" s="71"/>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idden="1">
      <c r="A354" s="69"/>
      <c r="B354" s="70"/>
      <c r="C354" s="102"/>
      <c r="D354" s="109"/>
      <c r="E354" s="109"/>
      <c r="F354" s="167"/>
      <c r="G354" s="159"/>
      <c r="H354" s="102"/>
      <c r="I354" s="71"/>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idden="1">
      <c r="A355" s="69"/>
      <c r="B355" s="35" t="s">
        <v>96</v>
      </c>
      <c r="C355" s="102" t="s">
        <v>95</v>
      </c>
      <c r="D355" s="71" t="s">
        <v>1979</v>
      </c>
      <c r="E355" s="71" t="s">
        <v>1980</v>
      </c>
      <c r="F355" s="158">
        <v>0.4166666666666667</v>
      </c>
      <c r="G355" s="159" t="s">
        <v>3392</v>
      </c>
      <c r="H355" s="102" t="s">
        <v>3393</v>
      </c>
      <c r="I355" s="71" t="s">
        <v>1983</v>
      </c>
      <c r="J355" s="102" t="s">
        <v>3394</v>
      </c>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idden="1">
      <c r="A356" s="69"/>
      <c r="B356" s="35" t="s">
        <v>96</v>
      </c>
      <c r="C356" s="102" t="s">
        <v>95</v>
      </c>
      <c r="D356" s="137" t="s">
        <v>3395</v>
      </c>
      <c r="E356" s="137" t="s">
        <v>3396</v>
      </c>
      <c r="F356" s="167" t="s">
        <v>3057</v>
      </c>
      <c r="G356" s="159" t="s">
        <v>2982</v>
      </c>
      <c r="H356" s="102" t="s">
        <v>3397</v>
      </c>
      <c r="I356" s="71" t="s">
        <v>3398</v>
      </c>
      <c r="J356" s="102" t="s">
        <v>3394</v>
      </c>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idden="1">
      <c r="A357" s="69"/>
      <c r="B357" s="35" t="s">
        <v>96</v>
      </c>
      <c r="C357" s="102" t="s">
        <v>95</v>
      </c>
      <c r="D357" s="137" t="s">
        <v>1630</v>
      </c>
      <c r="E357" s="137" t="s">
        <v>1631</v>
      </c>
      <c r="F357" s="167" t="s">
        <v>3044</v>
      </c>
      <c r="G357" s="159" t="s">
        <v>2963</v>
      </c>
      <c r="H357" s="102" t="s">
        <v>3399</v>
      </c>
      <c r="I357" s="71" t="s">
        <v>1633</v>
      </c>
      <c r="J357" s="102" t="s">
        <v>3394</v>
      </c>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idden="1">
      <c r="A358" s="79"/>
      <c r="B358" s="35" t="s">
        <v>96</v>
      </c>
      <c r="C358" s="102" t="s">
        <v>95</v>
      </c>
      <c r="D358" s="137" t="s">
        <v>417</v>
      </c>
      <c r="E358" s="137" t="s">
        <v>418</v>
      </c>
      <c r="F358" s="167" t="s">
        <v>3049</v>
      </c>
      <c r="G358" s="159" t="s">
        <v>2973</v>
      </c>
      <c r="H358" s="102" t="s">
        <v>3400</v>
      </c>
      <c r="I358" s="71" t="s">
        <v>421</v>
      </c>
      <c r="J358" s="102" t="s">
        <v>3394</v>
      </c>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idden="1">
      <c r="A359" s="58"/>
      <c r="B359" s="58">
        <v>44371.0</v>
      </c>
      <c r="C359" s="102"/>
      <c r="D359" s="109"/>
      <c r="E359" s="109"/>
      <c r="F359" s="167"/>
      <c r="G359" s="159"/>
      <c r="H359" s="102"/>
      <c r="I359" s="71"/>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idden="1">
      <c r="A360" s="64" t="s">
        <v>61</v>
      </c>
      <c r="B360" s="59"/>
      <c r="C360" s="102"/>
      <c r="D360" s="109"/>
      <c r="E360" s="109"/>
      <c r="F360" s="167"/>
      <c r="G360" s="159"/>
      <c r="H360" s="102"/>
      <c r="I360" s="71"/>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idden="1">
      <c r="A361" s="69"/>
      <c r="B361" s="70"/>
      <c r="C361" s="102" t="s">
        <v>95</v>
      </c>
      <c r="D361" s="137" t="s">
        <v>2618</v>
      </c>
      <c r="E361" s="137" t="s">
        <v>2619</v>
      </c>
      <c r="F361" s="158">
        <v>0.5</v>
      </c>
      <c r="G361" s="159" t="s">
        <v>3401</v>
      </c>
      <c r="H361" s="102" t="s">
        <v>3402</v>
      </c>
      <c r="I361" s="71" t="s">
        <v>2621</v>
      </c>
      <c r="J361" s="102" t="s">
        <v>3403</v>
      </c>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idden="1">
      <c r="A362" s="69"/>
      <c r="B362" s="35" t="s">
        <v>96</v>
      </c>
      <c r="C362" s="102" t="s">
        <v>95</v>
      </c>
      <c r="D362" s="137" t="s">
        <v>804</v>
      </c>
      <c r="E362" s="137" t="s">
        <v>805</v>
      </c>
      <c r="F362" s="158">
        <v>0.5833333333333334</v>
      </c>
      <c r="G362" s="159" t="s">
        <v>3404</v>
      </c>
      <c r="H362" s="102" t="s">
        <v>3380</v>
      </c>
      <c r="I362" s="71" t="s">
        <v>807</v>
      </c>
      <c r="J362" s="102" t="s">
        <v>3405</v>
      </c>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idden="1">
      <c r="A363" s="69"/>
      <c r="B363" s="35" t="s">
        <v>96</v>
      </c>
      <c r="C363" s="102" t="s">
        <v>95</v>
      </c>
      <c r="D363" s="137" t="s">
        <v>3406</v>
      </c>
      <c r="E363" s="137" t="s">
        <v>3407</v>
      </c>
      <c r="F363" s="158">
        <v>0.6666666666666666</v>
      </c>
      <c r="G363" s="159" t="s">
        <v>3408</v>
      </c>
      <c r="H363" s="102" t="s">
        <v>3409</v>
      </c>
      <c r="I363" s="71" t="s">
        <v>3410</v>
      </c>
      <c r="J363" s="102" t="s">
        <v>3405</v>
      </c>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idden="1">
      <c r="A364" s="69"/>
      <c r="B364" s="35" t="s">
        <v>96</v>
      </c>
      <c r="C364" s="147" t="s">
        <v>95</v>
      </c>
      <c r="D364" s="131" t="s">
        <v>2881</v>
      </c>
      <c r="E364" s="131" t="s">
        <v>2882</v>
      </c>
      <c r="F364" s="157">
        <v>0.7291666666666666</v>
      </c>
      <c r="G364" s="146" t="s">
        <v>3411</v>
      </c>
      <c r="H364" s="147" t="s">
        <v>3412</v>
      </c>
      <c r="I364" s="81" t="s">
        <v>2884</v>
      </c>
      <c r="J364" s="102" t="s">
        <v>3405</v>
      </c>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idden="1">
      <c r="A365" s="79"/>
      <c r="B365" s="35" t="s">
        <v>96</v>
      </c>
      <c r="C365" s="66"/>
      <c r="D365" s="66"/>
      <c r="E365" s="66"/>
      <c r="F365" s="66"/>
      <c r="G365" s="68"/>
      <c r="H365" s="66"/>
      <c r="I365" s="66"/>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idden="1">
      <c r="A366" s="58"/>
      <c r="B366" s="58">
        <v>44372.0</v>
      </c>
      <c r="C366" s="66"/>
      <c r="D366" s="66"/>
      <c r="E366" s="66"/>
      <c r="F366" s="66"/>
      <c r="G366" s="68"/>
      <c r="H366" s="66"/>
      <c r="I366" s="66"/>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idden="1">
      <c r="A367" s="64" t="s">
        <v>61</v>
      </c>
      <c r="B367" s="59"/>
      <c r="C367" s="102"/>
      <c r="D367" s="109"/>
      <c r="E367" s="109"/>
      <c r="F367" s="167"/>
      <c r="G367" s="159"/>
      <c r="H367" s="102"/>
      <c r="I367" s="71"/>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idden="1">
      <c r="A368" s="69"/>
      <c r="B368" s="35" t="s">
        <v>96</v>
      </c>
      <c r="C368" s="147" t="s">
        <v>95</v>
      </c>
      <c r="D368" s="81" t="s">
        <v>760</v>
      </c>
      <c r="E368" s="81" t="s">
        <v>761</v>
      </c>
      <c r="F368" s="157">
        <v>0.5</v>
      </c>
      <c r="G368" s="146" t="s">
        <v>3078</v>
      </c>
      <c r="H368" s="81" t="s">
        <v>3413</v>
      </c>
      <c r="I368" s="81" t="s">
        <v>763</v>
      </c>
      <c r="J368" s="163"/>
      <c r="K368" s="163"/>
      <c r="L368" s="63"/>
      <c r="M368" s="63"/>
      <c r="N368" s="63"/>
      <c r="O368" s="63"/>
      <c r="P368" s="63"/>
      <c r="Q368" s="63"/>
      <c r="R368" s="63"/>
      <c r="S368" s="63"/>
      <c r="T368" s="63"/>
      <c r="U368" s="63"/>
      <c r="V368" s="63"/>
      <c r="W368" s="63"/>
      <c r="X368" s="63"/>
      <c r="Y368" s="63"/>
      <c r="Z368" s="63"/>
      <c r="AA368" s="63"/>
      <c r="AB368" s="63"/>
      <c r="AC368" s="63"/>
      <c r="AD368" s="63"/>
      <c r="AE368" s="63"/>
      <c r="AF368" s="63"/>
    </row>
    <row r="369" hidden="1">
      <c r="A369" s="69"/>
      <c r="B369" s="35" t="s">
        <v>96</v>
      </c>
      <c r="C369" s="102" t="s">
        <v>95</v>
      </c>
      <c r="D369" s="137" t="s">
        <v>3414</v>
      </c>
      <c r="E369" s="137" t="s">
        <v>3415</v>
      </c>
      <c r="F369" s="158">
        <v>0.5833333333333334</v>
      </c>
      <c r="G369" s="159" t="s">
        <v>2998</v>
      </c>
      <c r="H369" s="102" t="s">
        <v>3416</v>
      </c>
      <c r="I369" s="71" t="s">
        <v>3417</v>
      </c>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idden="1">
      <c r="A370" s="69"/>
      <c r="B370" s="35" t="s">
        <v>96</v>
      </c>
      <c r="C370" s="102" t="s">
        <v>95</v>
      </c>
      <c r="D370" s="71" t="s">
        <v>3418</v>
      </c>
      <c r="E370" s="71" t="s">
        <v>3419</v>
      </c>
      <c r="F370" s="158">
        <v>0.6458333333333334</v>
      </c>
      <c r="G370" s="159" t="s">
        <v>3420</v>
      </c>
      <c r="H370" s="71" t="s">
        <v>3421</v>
      </c>
      <c r="I370" s="71" t="s">
        <v>3422</v>
      </c>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idden="1">
      <c r="A371" s="69"/>
      <c r="B371" s="35" t="s">
        <v>96</v>
      </c>
      <c r="C371" s="102" t="s">
        <v>95</v>
      </c>
      <c r="D371" s="71" t="s">
        <v>2789</v>
      </c>
      <c r="E371" s="71" t="s">
        <v>2790</v>
      </c>
      <c r="F371" s="158">
        <v>0.7083333333333334</v>
      </c>
      <c r="G371" s="159" t="s">
        <v>3078</v>
      </c>
      <c r="H371" s="71" t="s">
        <v>3423</v>
      </c>
      <c r="I371" s="71" t="s">
        <v>2793</v>
      </c>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idden="1">
      <c r="A372" s="79"/>
      <c r="B372" s="66"/>
      <c r="C372" s="102"/>
      <c r="D372" s="109"/>
      <c r="E372" s="109"/>
      <c r="F372" s="167"/>
      <c r="G372" s="159"/>
      <c r="H372" s="102"/>
      <c r="I372" s="71"/>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idden="1">
      <c r="A373" s="58"/>
      <c r="B373" s="58">
        <v>44378.0</v>
      </c>
      <c r="C373" s="102"/>
      <c r="D373" s="109"/>
      <c r="E373" s="109"/>
      <c r="F373" s="167"/>
      <c r="G373" s="159"/>
      <c r="H373" s="102"/>
      <c r="I373" s="71"/>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idden="1">
      <c r="A374" s="64" t="s">
        <v>61</v>
      </c>
      <c r="B374" s="59"/>
      <c r="C374" s="102"/>
      <c r="D374" s="109"/>
      <c r="E374" s="109"/>
      <c r="F374" s="167"/>
      <c r="G374" s="159"/>
      <c r="H374" s="102"/>
      <c r="I374" s="71"/>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idden="1">
      <c r="A375" s="69"/>
      <c r="B375" s="70"/>
      <c r="C375" s="102"/>
      <c r="D375" s="109"/>
      <c r="E375" s="109"/>
      <c r="F375" s="167"/>
      <c r="G375" s="159"/>
      <c r="H375" s="102"/>
      <c r="I375" s="71"/>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idden="1">
      <c r="A376" s="69"/>
      <c r="B376" s="35" t="s">
        <v>96</v>
      </c>
      <c r="C376" s="186" t="s">
        <v>95</v>
      </c>
      <c r="D376" s="168" t="s">
        <v>3395</v>
      </c>
      <c r="E376" s="168" t="s">
        <v>3396</v>
      </c>
      <c r="F376" s="187" t="s">
        <v>3219</v>
      </c>
      <c r="G376" s="188" t="s">
        <v>2982</v>
      </c>
      <c r="H376" s="186" t="s">
        <v>3397</v>
      </c>
      <c r="I376" s="117" t="s">
        <v>3398</v>
      </c>
      <c r="J376" s="147" t="s">
        <v>627</v>
      </c>
      <c r="K376" s="163"/>
      <c r="L376" s="63"/>
      <c r="M376" s="63"/>
      <c r="N376" s="63"/>
      <c r="O376" s="63"/>
      <c r="P376" s="63"/>
      <c r="Q376" s="63"/>
      <c r="R376" s="63"/>
      <c r="S376" s="63"/>
      <c r="T376" s="63"/>
      <c r="U376" s="63"/>
      <c r="V376" s="63"/>
      <c r="W376" s="63"/>
      <c r="X376" s="63"/>
      <c r="Y376" s="63"/>
      <c r="Z376" s="63"/>
      <c r="AA376" s="63"/>
      <c r="AB376" s="63"/>
      <c r="AC376" s="63"/>
      <c r="AD376" s="63"/>
      <c r="AE376" s="63"/>
      <c r="AF376" s="63"/>
    </row>
    <row r="377" hidden="1">
      <c r="A377" s="69"/>
      <c r="B377" s="35" t="s">
        <v>96</v>
      </c>
      <c r="C377" s="102"/>
      <c r="D377" s="109"/>
      <c r="E377" s="109"/>
      <c r="F377" s="167"/>
      <c r="G377" s="159"/>
      <c r="H377" s="102"/>
      <c r="I377" s="71"/>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idden="1">
      <c r="A378" s="69"/>
      <c r="B378" s="35" t="s">
        <v>96</v>
      </c>
      <c r="C378" s="102"/>
      <c r="D378" s="109"/>
      <c r="E378" s="109"/>
      <c r="F378" s="167"/>
      <c r="G378" s="159"/>
      <c r="H378" s="102"/>
      <c r="I378" s="71"/>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idden="1">
      <c r="A379" s="79"/>
      <c r="B379" s="35" t="s">
        <v>96</v>
      </c>
      <c r="C379" s="102"/>
      <c r="D379" s="109"/>
      <c r="E379" s="109"/>
      <c r="F379" s="167"/>
      <c r="G379" s="159"/>
      <c r="H379" s="102"/>
      <c r="I379" s="71"/>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idden="1">
      <c r="A380" s="189"/>
      <c r="B380" s="190">
        <v>44480.0</v>
      </c>
      <c r="C380" s="102"/>
      <c r="D380" s="109"/>
      <c r="E380" s="109"/>
      <c r="F380" s="167"/>
      <c r="G380" s="159"/>
      <c r="H380" s="102"/>
      <c r="I380" s="71"/>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idden="1">
      <c r="A381" s="64" t="s">
        <v>3424</v>
      </c>
      <c r="B381" s="70"/>
      <c r="C381" s="102"/>
      <c r="D381" s="109"/>
      <c r="E381" s="109"/>
      <c r="F381" s="167"/>
      <c r="G381" s="159"/>
      <c r="H381" s="102"/>
      <c r="I381" s="71"/>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idden="1">
      <c r="A382" s="69"/>
      <c r="B382" s="38" t="s">
        <v>3425</v>
      </c>
      <c r="C382" s="102"/>
      <c r="D382" s="109"/>
      <c r="E382" s="109"/>
      <c r="F382" s="158"/>
      <c r="G382" s="159"/>
      <c r="H382" s="102"/>
      <c r="I382" s="71"/>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idden="1">
      <c r="A383" s="69"/>
      <c r="B383" s="38" t="s">
        <v>3425</v>
      </c>
      <c r="C383" s="102" t="s">
        <v>95</v>
      </c>
      <c r="D383" s="125" t="s">
        <v>3426</v>
      </c>
      <c r="E383" s="125" t="s">
        <v>123</v>
      </c>
      <c r="F383" s="191">
        <v>0.5</v>
      </c>
      <c r="G383" s="192" t="s">
        <v>3427</v>
      </c>
      <c r="H383" s="193" t="s">
        <v>3428</v>
      </c>
      <c r="I383" s="125" t="s">
        <v>126</v>
      </c>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idden="1">
      <c r="A384" s="69"/>
      <c r="B384" s="38" t="s">
        <v>3425</v>
      </c>
      <c r="C384" s="194" t="s">
        <v>95</v>
      </c>
      <c r="D384" s="195" t="s">
        <v>2339</v>
      </c>
      <c r="E384" s="195" t="s">
        <v>2340</v>
      </c>
      <c r="F384" s="196">
        <v>0.5625</v>
      </c>
      <c r="G384" s="197" t="s">
        <v>3429</v>
      </c>
      <c r="H384" s="194" t="s">
        <v>3430</v>
      </c>
      <c r="I384" s="195" t="s">
        <v>3431</v>
      </c>
      <c r="J384" s="198"/>
      <c r="K384" s="198"/>
      <c r="L384" s="63"/>
      <c r="M384" s="63"/>
      <c r="N384" s="63"/>
      <c r="O384" s="63"/>
      <c r="P384" s="63"/>
      <c r="Q384" s="63"/>
      <c r="R384" s="63"/>
      <c r="S384" s="63"/>
      <c r="T384" s="63"/>
      <c r="U384" s="63"/>
      <c r="V384" s="63"/>
      <c r="W384" s="63"/>
      <c r="X384" s="63"/>
      <c r="Y384" s="63"/>
      <c r="Z384" s="63"/>
      <c r="AA384" s="63"/>
      <c r="AB384" s="63"/>
      <c r="AC384" s="63"/>
      <c r="AD384" s="63"/>
      <c r="AE384" s="63"/>
      <c r="AF384" s="63"/>
    </row>
    <row r="385" hidden="1">
      <c r="A385" s="69"/>
      <c r="B385" s="38" t="s">
        <v>3425</v>
      </c>
      <c r="C385" s="194" t="s">
        <v>95</v>
      </c>
      <c r="D385" s="195" t="s">
        <v>2412</v>
      </c>
      <c r="E385" s="195" t="s">
        <v>2413</v>
      </c>
      <c r="F385" s="196">
        <v>0.5625</v>
      </c>
      <c r="G385" s="197" t="s">
        <v>3429</v>
      </c>
      <c r="H385" s="194" t="s">
        <v>3430</v>
      </c>
      <c r="I385" s="195" t="s">
        <v>3431</v>
      </c>
      <c r="J385" s="198"/>
      <c r="K385" s="198"/>
      <c r="L385" s="63"/>
      <c r="M385" s="63"/>
      <c r="N385" s="63"/>
      <c r="O385" s="63"/>
      <c r="P385" s="63"/>
      <c r="Q385" s="63"/>
      <c r="R385" s="63"/>
      <c r="S385" s="63"/>
      <c r="T385" s="63"/>
      <c r="U385" s="63"/>
      <c r="V385" s="63"/>
      <c r="W385" s="63"/>
      <c r="X385" s="63"/>
      <c r="Y385" s="63"/>
      <c r="Z385" s="63"/>
      <c r="AA385" s="63"/>
      <c r="AB385" s="63"/>
      <c r="AC385" s="63"/>
      <c r="AD385" s="63"/>
      <c r="AE385" s="63"/>
      <c r="AF385" s="63"/>
    </row>
    <row r="386" hidden="1">
      <c r="A386" s="79"/>
      <c r="B386" s="38" t="s">
        <v>3425</v>
      </c>
      <c r="C386" s="194" t="s">
        <v>95</v>
      </c>
      <c r="D386" s="195" t="s">
        <v>522</v>
      </c>
      <c r="E386" s="195" t="s">
        <v>523</v>
      </c>
      <c r="F386" s="196">
        <v>0.625</v>
      </c>
      <c r="G386" s="197" t="s">
        <v>3432</v>
      </c>
      <c r="H386" s="194" t="s">
        <v>3433</v>
      </c>
      <c r="I386" s="195" t="s">
        <v>526</v>
      </c>
      <c r="J386" s="198"/>
      <c r="K386" s="198"/>
      <c r="L386" s="63"/>
      <c r="M386" s="63"/>
      <c r="N386" s="63"/>
      <c r="O386" s="63"/>
      <c r="P386" s="63"/>
      <c r="Q386" s="63"/>
      <c r="R386" s="63"/>
      <c r="S386" s="63"/>
      <c r="T386" s="63"/>
      <c r="U386" s="63"/>
      <c r="V386" s="63"/>
      <c r="W386" s="63"/>
      <c r="X386" s="63"/>
      <c r="Y386" s="63"/>
      <c r="Z386" s="63"/>
      <c r="AA386" s="63"/>
      <c r="AB386" s="63"/>
      <c r="AC386" s="63"/>
      <c r="AD386" s="63"/>
      <c r="AE386" s="63"/>
      <c r="AF386" s="63"/>
    </row>
    <row r="387" hidden="1">
      <c r="A387" s="189"/>
      <c r="B387" s="190">
        <v>44481.0</v>
      </c>
      <c r="C387" s="194"/>
      <c r="D387" s="199"/>
      <c r="E387" s="199"/>
      <c r="F387" s="200"/>
      <c r="G387" s="197"/>
      <c r="H387" s="194"/>
      <c r="I387" s="195"/>
      <c r="J387" s="198"/>
      <c r="K387" s="198"/>
      <c r="L387" s="63"/>
      <c r="M387" s="63"/>
      <c r="N387" s="63"/>
      <c r="O387" s="63"/>
      <c r="P387" s="63"/>
      <c r="Q387" s="63"/>
      <c r="R387" s="63"/>
      <c r="S387" s="63"/>
      <c r="T387" s="63"/>
      <c r="U387" s="63"/>
      <c r="V387" s="63"/>
      <c r="W387" s="63"/>
      <c r="X387" s="63"/>
      <c r="Y387" s="63"/>
      <c r="Z387" s="63"/>
      <c r="AA387" s="63"/>
      <c r="AB387" s="63"/>
      <c r="AC387" s="63"/>
      <c r="AD387" s="63"/>
      <c r="AE387" s="63"/>
      <c r="AF387" s="63"/>
    </row>
    <row r="388" hidden="1">
      <c r="A388" s="64" t="s">
        <v>3424</v>
      </c>
      <c r="B388" s="70"/>
      <c r="C388" s="194"/>
      <c r="D388" s="199"/>
      <c r="E388" s="199"/>
      <c r="F388" s="200"/>
      <c r="G388" s="197"/>
      <c r="H388" s="194"/>
      <c r="I388" s="195"/>
      <c r="J388" s="198"/>
      <c r="K388" s="198"/>
      <c r="L388" s="63"/>
      <c r="M388" s="63"/>
      <c r="N388" s="63"/>
      <c r="O388" s="63"/>
      <c r="P388" s="63"/>
      <c r="Q388" s="63"/>
      <c r="R388" s="63"/>
      <c r="S388" s="63"/>
      <c r="T388" s="63"/>
      <c r="U388" s="63"/>
      <c r="V388" s="63"/>
      <c r="W388" s="63"/>
      <c r="X388" s="63"/>
      <c r="Y388" s="63"/>
      <c r="Z388" s="63"/>
      <c r="AA388" s="63"/>
      <c r="AB388" s="63"/>
      <c r="AC388" s="63"/>
      <c r="AD388" s="63"/>
      <c r="AE388" s="63"/>
      <c r="AF388" s="63"/>
    </row>
    <row r="389" hidden="1">
      <c r="A389" s="69"/>
      <c r="B389" s="38" t="s">
        <v>3425</v>
      </c>
      <c r="C389" s="194"/>
      <c r="D389" s="195" t="s">
        <v>411</v>
      </c>
      <c r="E389" s="195" t="s">
        <v>412</v>
      </c>
      <c r="F389" s="200" t="s">
        <v>3057</v>
      </c>
      <c r="G389" s="197" t="s">
        <v>3078</v>
      </c>
      <c r="H389" s="194" t="s">
        <v>3434</v>
      </c>
      <c r="I389" s="201" t="s">
        <v>414</v>
      </c>
      <c r="J389" s="198"/>
      <c r="K389" s="198"/>
      <c r="L389" s="102" t="s">
        <v>3435</v>
      </c>
      <c r="M389" s="63"/>
      <c r="N389" s="63"/>
      <c r="O389" s="63"/>
      <c r="P389" s="63"/>
      <c r="Q389" s="63"/>
      <c r="R389" s="63"/>
      <c r="S389" s="63"/>
      <c r="T389" s="63"/>
      <c r="U389" s="63"/>
      <c r="V389" s="63"/>
      <c r="W389" s="63"/>
      <c r="X389" s="63"/>
      <c r="Y389" s="63"/>
      <c r="Z389" s="63"/>
      <c r="AA389" s="63"/>
      <c r="AB389" s="63"/>
      <c r="AC389" s="63"/>
      <c r="AD389" s="63"/>
      <c r="AE389" s="63"/>
      <c r="AF389" s="63"/>
    </row>
    <row r="390" hidden="1">
      <c r="A390" s="69"/>
      <c r="B390" s="38" t="s">
        <v>3425</v>
      </c>
      <c r="C390" s="194"/>
      <c r="D390" s="199"/>
      <c r="E390" s="199"/>
      <c r="F390" s="200" t="s">
        <v>3044</v>
      </c>
      <c r="G390" s="197"/>
      <c r="H390" s="194"/>
      <c r="I390" s="195"/>
      <c r="J390" s="198"/>
      <c r="K390" s="198"/>
      <c r="L390" s="63"/>
      <c r="M390" s="63"/>
      <c r="N390" s="63"/>
      <c r="O390" s="63"/>
      <c r="P390" s="63"/>
      <c r="Q390" s="63"/>
      <c r="R390" s="63"/>
      <c r="S390" s="63"/>
      <c r="T390" s="63"/>
      <c r="U390" s="63"/>
      <c r="V390" s="63"/>
      <c r="W390" s="63"/>
      <c r="X390" s="63"/>
      <c r="Y390" s="63"/>
      <c r="Z390" s="63"/>
      <c r="AA390" s="63"/>
      <c r="AB390" s="63"/>
      <c r="AC390" s="63"/>
      <c r="AD390" s="63"/>
      <c r="AE390" s="63"/>
      <c r="AF390" s="63"/>
    </row>
    <row r="391" hidden="1">
      <c r="A391" s="69"/>
      <c r="B391" s="38" t="s">
        <v>3425</v>
      </c>
      <c r="C391" s="194"/>
      <c r="D391" s="195" t="s">
        <v>104</v>
      </c>
      <c r="E391" s="195" t="s">
        <v>105</v>
      </c>
      <c r="F391" s="200" t="s">
        <v>3049</v>
      </c>
      <c r="G391" s="197" t="s">
        <v>3254</v>
      </c>
      <c r="H391" s="194" t="s">
        <v>3436</v>
      </c>
      <c r="I391" s="201" t="s">
        <v>108</v>
      </c>
      <c r="J391" s="198"/>
      <c r="K391" s="198"/>
      <c r="L391" s="102" t="s">
        <v>3435</v>
      </c>
      <c r="M391" s="63"/>
      <c r="N391" s="63"/>
      <c r="O391" s="63"/>
      <c r="P391" s="63"/>
      <c r="Q391" s="63"/>
      <c r="R391" s="63"/>
      <c r="S391" s="63"/>
      <c r="T391" s="63"/>
      <c r="U391" s="63"/>
      <c r="V391" s="63"/>
      <c r="W391" s="63"/>
      <c r="X391" s="63"/>
      <c r="Y391" s="63"/>
      <c r="Z391" s="63"/>
      <c r="AA391" s="63"/>
      <c r="AB391" s="63"/>
      <c r="AC391" s="63"/>
      <c r="AD391" s="63"/>
      <c r="AE391" s="63"/>
      <c r="AF391" s="63"/>
    </row>
    <row r="392" hidden="1">
      <c r="A392" s="69"/>
      <c r="B392" s="38" t="s">
        <v>3425</v>
      </c>
      <c r="C392" s="194"/>
      <c r="D392" s="195" t="s">
        <v>1175</v>
      </c>
      <c r="E392" s="195" t="s">
        <v>1176</v>
      </c>
      <c r="F392" s="200" t="s">
        <v>3049</v>
      </c>
      <c r="G392" s="197" t="s">
        <v>3254</v>
      </c>
      <c r="H392" s="194" t="s">
        <v>3436</v>
      </c>
      <c r="I392" s="201" t="s">
        <v>108</v>
      </c>
      <c r="J392" s="198"/>
      <c r="K392" s="198"/>
      <c r="L392" s="102" t="s">
        <v>3435</v>
      </c>
      <c r="M392" s="63"/>
      <c r="N392" s="63"/>
      <c r="O392" s="63"/>
      <c r="P392" s="63"/>
      <c r="Q392" s="63"/>
      <c r="R392" s="63"/>
      <c r="S392" s="63"/>
      <c r="T392" s="63"/>
      <c r="U392" s="63"/>
      <c r="V392" s="63"/>
      <c r="W392" s="63"/>
      <c r="X392" s="63"/>
      <c r="Y392" s="63"/>
      <c r="Z392" s="63"/>
      <c r="AA392" s="63"/>
      <c r="AB392" s="63"/>
      <c r="AC392" s="63"/>
      <c r="AD392" s="63"/>
      <c r="AE392" s="63"/>
      <c r="AF392" s="63"/>
    </row>
    <row r="393" hidden="1">
      <c r="A393" s="79"/>
      <c r="B393" s="38" t="s">
        <v>3425</v>
      </c>
      <c r="C393" s="102"/>
      <c r="D393" s="109"/>
      <c r="E393" s="109"/>
      <c r="F393" s="167"/>
      <c r="G393" s="159"/>
      <c r="H393" s="102"/>
      <c r="I393" s="71"/>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idden="1">
      <c r="A394" s="189"/>
      <c r="B394" s="190">
        <v>44524.0</v>
      </c>
      <c r="C394" s="102"/>
      <c r="D394" s="109"/>
      <c r="E394" s="109"/>
      <c r="F394" s="167"/>
      <c r="G394" s="159"/>
      <c r="H394" s="102"/>
      <c r="I394" s="71"/>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idden="1">
      <c r="A395" s="64" t="s">
        <v>3437</v>
      </c>
      <c r="B395" s="70"/>
      <c r="C395" s="102"/>
      <c r="D395" s="109"/>
      <c r="E395" s="109"/>
      <c r="F395" s="167"/>
      <c r="G395" s="159"/>
      <c r="H395" s="102"/>
      <c r="I395" s="71"/>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idden="1">
      <c r="A396" s="69"/>
      <c r="B396" s="38" t="s">
        <v>3438</v>
      </c>
      <c r="C396" s="102"/>
      <c r="D396" s="202" t="s">
        <v>3439</v>
      </c>
      <c r="E396" s="62"/>
      <c r="F396" s="167"/>
      <c r="G396" s="159"/>
      <c r="H396" s="102"/>
      <c r="I396" s="71"/>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idden="1">
      <c r="A397" s="69"/>
      <c r="B397" s="38" t="s">
        <v>3438</v>
      </c>
      <c r="C397" s="102"/>
      <c r="D397" s="109"/>
      <c r="E397" s="109"/>
      <c r="F397" s="158">
        <v>0.5833333333333334</v>
      </c>
      <c r="G397" s="159"/>
      <c r="H397" s="102"/>
      <c r="I397" s="71"/>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idden="1">
      <c r="A398" s="69"/>
      <c r="B398" s="38" t="s">
        <v>3438</v>
      </c>
      <c r="C398" s="147" t="s">
        <v>95</v>
      </c>
      <c r="D398" s="81" t="s">
        <v>104</v>
      </c>
      <c r="E398" s="81" t="s">
        <v>105</v>
      </c>
      <c r="F398" s="157">
        <v>0.6666666666666666</v>
      </c>
      <c r="G398" s="146" t="s">
        <v>3440</v>
      </c>
      <c r="H398" s="147" t="s">
        <v>3441</v>
      </c>
      <c r="I398" s="81" t="s">
        <v>3442</v>
      </c>
      <c r="J398" s="102" t="s">
        <v>109</v>
      </c>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idden="1">
      <c r="A399" s="69"/>
      <c r="B399" s="38" t="s">
        <v>3438</v>
      </c>
      <c r="C399" s="147" t="s">
        <v>95</v>
      </c>
      <c r="D399" s="81" t="s">
        <v>1175</v>
      </c>
      <c r="E399" s="81" t="s">
        <v>1176</v>
      </c>
      <c r="F399" s="157">
        <v>0.6666666666666666</v>
      </c>
      <c r="G399" s="146" t="s">
        <v>3440</v>
      </c>
      <c r="H399" s="147" t="s">
        <v>3441</v>
      </c>
      <c r="I399" s="81" t="s">
        <v>3442</v>
      </c>
      <c r="J399" s="102" t="s">
        <v>109</v>
      </c>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idden="1">
      <c r="A400" s="79"/>
      <c r="B400" s="38" t="s">
        <v>3438</v>
      </c>
      <c r="C400" s="102"/>
      <c r="D400" s="109"/>
      <c r="E400" s="109"/>
      <c r="F400" s="167"/>
      <c r="G400" s="159"/>
      <c r="H400" s="102"/>
      <c r="I400" s="71"/>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idden="1">
      <c r="A401" s="189"/>
      <c r="B401" s="190">
        <v>44572.0</v>
      </c>
      <c r="C401" s="102"/>
      <c r="D401" s="109"/>
      <c r="E401" s="109"/>
      <c r="F401" s="167"/>
      <c r="G401" s="159"/>
      <c r="H401" s="102"/>
      <c r="I401" s="71"/>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idden="1">
      <c r="A402" s="203" t="s">
        <v>3443</v>
      </c>
      <c r="B402" s="70"/>
      <c r="C402" s="102"/>
      <c r="D402" s="202" t="s">
        <v>3444</v>
      </c>
      <c r="E402" s="62"/>
      <c r="F402" s="167"/>
      <c r="G402" s="159"/>
      <c r="H402" s="102"/>
      <c r="I402" s="71"/>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idden="1">
      <c r="A403" s="69"/>
      <c r="B403" s="38" t="s">
        <v>121</v>
      </c>
      <c r="C403" s="204" t="s">
        <v>110</v>
      </c>
      <c r="D403" s="125" t="s">
        <v>1181</v>
      </c>
      <c r="E403" s="125" t="s">
        <v>1182</v>
      </c>
      <c r="F403" s="191">
        <v>0.4166666666666667</v>
      </c>
      <c r="G403" s="192" t="s">
        <v>3445</v>
      </c>
      <c r="H403" s="193" t="s">
        <v>3446</v>
      </c>
      <c r="I403" s="125" t="s">
        <v>1184</v>
      </c>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idden="1">
      <c r="A404" s="69"/>
      <c r="B404" s="38" t="s">
        <v>121</v>
      </c>
      <c r="C404" s="204" t="s">
        <v>110</v>
      </c>
      <c r="D404" s="125" t="s">
        <v>2629</v>
      </c>
      <c r="E404" s="125" t="s">
        <v>2630</v>
      </c>
      <c r="F404" s="191">
        <v>0.5</v>
      </c>
      <c r="G404" s="192" t="s">
        <v>3447</v>
      </c>
      <c r="H404" s="193" t="s">
        <v>3448</v>
      </c>
      <c r="I404" s="125" t="s">
        <v>2632</v>
      </c>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idden="1">
      <c r="A405" s="69"/>
      <c r="B405" s="38" t="s">
        <v>121</v>
      </c>
      <c r="C405" s="204" t="s">
        <v>110</v>
      </c>
      <c r="D405" s="125" t="s">
        <v>117</v>
      </c>
      <c r="E405" s="125" t="s">
        <v>118</v>
      </c>
      <c r="F405" s="191">
        <v>0.5833333333333334</v>
      </c>
      <c r="G405" s="192" t="s">
        <v>3449</v>
      </c>
      <c r="H405" s="193" t="s">
        <v>3450</v>
      </c>
      <c r="I405" s="125" t="s">
        <v>120</v>
      </c>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idden="1">
      <c r="A406" s="69"/>
      <c r="B406" s="38" t="s">
        <v>121</v>
      </c>
      <c r="C406" s="204" t="s">
        <v>110</v>
      </c>
      <c r="D406" s="125" t="s">
        <v>1953</v>
      </c>
      <c r="E406" s="125" t="s">
        <v>1954</v>
      </c>
      <c r="F406" s="191">
        <v>0.6666666666666666</v>
      </c>
      <c r="G406" s="192" t="s">
        <v>3449</v>
      </c>
      <c r="H406" s="193" t="s">
        <v>3451</v>
      </c>
      <c r="I406" s="125" t="s">
        <v>1956</v>
      </c>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idden="1">
      <c r="A407" s="79"/>
      <c r="B407" s="38" t="s">
        <v>121</v>
      </c>
      <c r="C407" s="204" t="s">
        <v>2616</v>
      </c>
      <c r="D407" s="125" t="s">
        <v>2612</v>
      </c>
      <c r="E407" s="125" t="s">
        <v>2613</v>
      </c>
      <c r="F407" s="191">
        <v>0.6666666666666666</v>
      </c>
      <c r="G407" s="192" t="s">
        <v>3078</v>
      </c>
      <c r="H407" s="193" t="s">
        <v>3452</v>
      </c>
      <c r="I407" s="125" t="s">
        <v>2615</v>
      </c>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idden="1">
      <c r="A408" s="189"/>
      <c r="B408" s="190">
        <v>44573.0</v>
      </c>
      <c r="C408" s="102"/>
      <c r="D408" s="109"/>
      <c r="E408" s="109"/>
      <c r="F408" s="167"/>
      <c r="G408" s="159"/>
      <c r="H408" s="102"/>
      <c r="I408" s="71"/>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idden="1">
      <c r="A409" s="203" t="s">
        <v>3443</v>
      </c>
      <c r="B409" s="70"/>
      <c r="C409" s="102"/>
      <c r="D409" s="109"/>
      <c r="E409" s="109"/>
      <c r="F409" s="167"/>
      <c r="G409" s="159"/>
      <c r="H409" s="102"/>
      <c r="I409" s="71"/>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idden="1">
      <c r="A410" s="69"/>
      <c r="B410" s="38" t="s">
        <v>121</v>
      </c>
      <c r="C410" s="102"/>
      <c r="D410" s="205"/>
      <c r="E410" s="205"/>
      <c r="F410" s="167"/>
      <c r="G410" s="159"/>
      <c r="H410" s="102"/>
      <c r="I410" s="71"/>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idden="1">
      <c r="A411" s="69"/>
      <c r="B411" s="38" t="s">
        <v>121</v>
      </c>
      <c r="C411" s="102"/>
      <c r="D411" s="206" t="s">
        <v>3453</v>
      </c>
      <c r="E411" s="141"/>
      <c r="F411" s="158"/>
      <c r="G411" s="159"/>
      <c r="H411" s="102"/>
      <c r="I411" s="71"/>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idden="1">
      <c r="A412" s="69"/>
      <c r="B412" s="38" t="s">
        <v>121</v>
      </c>
      <c r="C412" s="102"/>
      <c r="D412" s="142"/>
      <c r="E412" s="143"/>
      <c r="F412" s="158"/>
      <c r="G412" s="159"/>
      <c r="H412" s="102"/>
      <c r="I412" s="71"/>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idden="1">
      <c r="A413" s="69"/>
      <c r="B413" s="38" t="s">
        <v>121</v>
      </c>
      <c r="C413" s="102"/>
      <c r="D413" s="144"/>
      <c r="E413" s="145"/>
      <c r="F413" s="158"/>
      <c r="G413" s="159"/>
      <c r="H413" s="102"/>
      <c r="I413" s="71"/>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idden="1">
      <c r="A414" s="79"/>
      <c r="B414" s="38" t="s">
        <v>121</v>
      </c>
      <c r="C414" s="102"/>
      <c r="D414" s="109"/>
      <c r="E414" s="109"/>
      <c r="F414" s="158"/>
      <c r="G414" s="159"/>
      <c r="H414" s="102"/>
      <c r="I414" s="71"/>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idden="1">
      <c r="A415" s="189"/>
      <c r="B415" s="190">
        <v>44579.0</v>
      </c>
      <c r="C415" s="102"/>
      <c r="D415" s="109"/>
      <c r="E415" s="109"/>
      <c r="F415" s="167"/>
      <c r="G415" s="159"/>
      <c r="H415" s="102"/>
      <c r="I415" s="71"/>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idden="1">
      <c r="A416" s="203" t="s">
        <v>3443</v>
      </c>
      <c r="B416" s="70"/>
      <c r="C416" s="102"/>
      <c r="D416" s="109"/>
      <c r="E416" s="109"/>
      <c r="F416" s="167"/>
      <c r="G416" s="159"/>
      <c r="H416" s="102"/>
      <c r="I416" s="71"/>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idden="1">
      <c r="A417" s="69"/>
      <c r="B417" s="38"/>
      <c r="C417" s="102"/>
      <c r="D417" s="207"/>
      <c r="E417" s="207"/>
      <c r="F417" s="167"/>
      <c r="G417" s="159"/>
      <c r="H417" s="102"/>
      <c r="I417" s="71"/>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idden="1">
      <c r="A418" s="69"/>
      <c r="B418" s="38" t="s">
        <v>121</v>
      </c>
      <c r="C418" s="102"/>
      <c r="D418" s="71"/>
      <c r="E418" s="71"/>
      <c r="F418" s="158"/>
      <c r="G418" s="159"/>
      <c r="H418" s="102"/>
      <c r="I418" s="71"/>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idden="1">
      <c r="A419" s="69"/>
      <c r="B419" s="38" t="s">
        <v>121</v>
      </c>
      <c r="C419" s="147" t="s">
        <v>381</v>
      </c>
      <c r="D419" s="81" t="s">
        <v>559</v>
      </c>
      <c r="E419" s="81" t="s">
        <v>560</v>
      </c>
      <c r="F419" s="157">
        <v>0.4791666666666667</v>
      </c>
      <c r="G419" s="146" t="s">
        <v>3159</v>
      </c>
      <c r="H419" s="81" t="s">
        <v>3454</v>
      </c>
      <c r="I419" s="81" t="s">
        <v>562</v>
      </c>
      <c r="J419" s="102" t="s">
        <v>3455</v>
      </c>
      <c r="K419" s="66"/>
      <c r="L419" s="63"/>
      <c r="M419" s="63"/>
      <c r="N419" s="63"/>
      <c r="O419" s="63"/>
      <c r="P419" s="63"/>
      <c r="Q419" s="63"/>
      <c r="R419" s="63"/>
      <c r="S419" s="63"/>
      <c r="T419" s="63"/>
      <c r="U419" s="63"/>
      <c r="V419" s="63"/>
      <c r="W419" s="63"/>
      <c r="X419" s="63"/>
      <c r="Y419" s="63"/>
      <c r="Z419" s="63"/>
      <c r="AA419" s="63"/>
      <c r="AB419" s="63"/>
      <c r="AC419" s="63"/>
      <c r="AD419" s="63"/>
      <c r="AE419" s="63"/>
      <c r="AF419" s="63"/>
    </row>
    <row r="420" hidden="1">
      <c r="A420" s="69"/>
      <c r="B420" s="38" t="s">
        <v>121</v>
      </c>
      <c r="C420" s="193" t="s">
        <v>95</v>
      </c>
      <c r="D420" s="125" t="s">
        <v>1282</v>
      </c>
      <c r="E420" s="125" t="s">
        <v>1283</v>
      </c>
      <c r="F420" s="208" t="s">
        <v>3456</v>
      </c>
      <c r="G420" s="192" t="s">
        <v>3159</v>
      </c>
      <c r="H420" s="125" t="s">
        <v>3457</v>
      </c>
      <c r="I420" s="125" t="s">
        <v>3458</v>
      </c>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idden="1">
      <c r="A421" s="69"/>
      <c r="B421" s="38" t="s">
        <v>121</v>
      </c>
      <c r="C421" s="193" t="s">
        <v>381</v>
      </c>
      <c r="D421" s="125" t="s">
        <v>1291</v>
      </c>
      <c r="E421" s="125" t="s">
        <v>1292</v>
      </c>
      <c r="F421" s="191">
        <v>0.5416666666666666</v>
      </c>
      <c r="G421" s="192" t="s">
        <v>3159</v>
      </c>
      <c r="H421" s="125" t="s">
        <v>3459</v>
      </c>
      <c r="I421" s="125" t="s">
        <v>1294</v>
      </c>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idden="1">
      <c r="A422" s="69"/>
      <c r="B422" s="38" t="s">
        <v>121</v>
      </c>
      <c r="C422" s="147" t="s">
        <v>95</v>
      </c>
      <c r="D422" s="81" t="s">
        <v>736</v>
      </c>
      <c r="E422" s="81" t="s">
        <v>737</v>
      </c>
      <c r="F422" s="157">
        <v>0.6041666666666666</v>
      </c>
      <c r="G422" s="146" t="s">
        <v>3159</v>
      </c>
      <c r="H422" s="147" t="s">
        <v>3460</v>
      </c>
      <c r="I422" s="81" t="s">
        <v>739</v>
      </c>
      <c r="J422" s="102" t="s">
        <v>3455</v>
      </c>
      <c r="K422" s="209"/>
      <c r="L422" s="66"/>
      <c r="M422" s="63"/>
      <c r="N422" s="63"/>
      <c r="O422" s="63"/>
      <c r="P422" s="63"/>
      <c r="Q422" s="63"/>
      <c r="R422" s="63"/>
      <c r="S422" s="63"/>
      <c r="T422" s="63"/>
      <c r="U422" s="63"/>
      <c r="V422" s="63"/>
      <c r="W422" s="63"/>
      <c r="X422" s="63"/>
      <c r="Y422" s="63"/>
      <c r="Z422" s="63"/>
      <c r="AA422" s="63"/>
      <c r="AB422" s="63"/>
      <c r="AC422" s="63"/>
      <c r="AD422" s="63"/>
      <c r="AE422" s="63"/>
      <c r="AF422" s="63"/>
    </row>
    <row r="423" hidden="1">
      <c r="A423" s="69"/>
      <c r="B423" s="38" t="s">
        <v>121</v>
      </c>
      <c r="C423" s="160" t="s">
        <v>3461</v>
      </c>
      <c r="D423" s="81" t="s">
        <v>2178</v>
      </c>
      <c r="E423" s="81" t="s">
        <v>2179</v>
      </c>
      <c r="F423" s="160" t="s">
        <v>3014</v>
      </c>
      <c r="G423" s="146" t="s">
        <v>3113</v>
      </c>
      <c r="H423" s="147" t="s">
        <v>3462</v>
      </c>
      <c r="I423" s="81" t="s">
        <v>2181</v>
      </c>
      <c r="J423" s="102" t="s">
        <v>3463</v>
      </c>
      <c r="K423" s="66"/>
      <c r="L423" s="63"/>
      <c r="M423" s="63"/>
      <c r="N423" s="63"/>
      <c r="O423" s="63"/>
      <c r="P423" s="63"/>
      <c r="Q423" s="63"/>
      <c r="R423" s="63"/>
      <c r="S423" s="63"/>
      <c r="T423" s="63"/>
      <c r="U423" s="63"/>
      <c r="V423" s="63"/>
      <c r="W423" s="63"/>
      <c r="X423" s="63"/>
      <c r="Y423" s="63"/>
      <c r="Z423" s="63"/>
      <c r="AA423" s="63"/>
      <c r="AB423" s="63"/>
      <c r="AC423" s="63"/>
      <c r="AD423" s="63"/>
      <c r="AE423" s="63"/>
      <c r="AF423" s="63"/>
    </row>
    <row r="424" hidden="1">
      <c r="A424" s="69"/>
      <c r="B424" s="38" t="s">
        <v>121</v>
      </c>
      <c r="C424" s="193" t="s">
        <v>95</v>
      </c>
      <c r="D424" s="125" t="s">
        <v>1928</v>
      </c>
      <c r="E424" s="125" t="s">
        <v>1929</v>
      </c>
      <c r="F424" s="191">
        <v>0.6666666666666666</v>
      </c>
      <c r="G424" s="192" t="s">
        <v>3159</v>
      </c>
      <c r="H424" s="193" t="s">
        <v>3464</v>
      </c>
      <c r="I424" s="125" t="s">
        <v>606</v>
      </c>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idden="1">
      <c r="A425" s="69"/>
      <c r="B425" s="38" t="s">
        <v>121</v>
      </c>
      <c r="C425" s="193" t="s">
        <v>95</v>
      </c>
      <c r="D425" s="125" t="s">
        <v>1930</v>
      </c>
      <c r="E425" s="125" t="s">
        <v>1931</v>
      </c>
      <c r="F425" s="191">
        <v>0.7291666666666666</v>
      </c>
      <c r="G425" s="192" t="s">
        <v>3159</v>
      </c>
      <c r="H425" s="193" t="s">
        <v>3465</v>
      </c>
      <c r="I425" s="125" t="s">
        <v>1933</v>
      </c>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idden="1">
      <c r="A426" s="79"/>
      <c r="B426" s="38" t="s">
        <v>121</v>
      </c>
      <c r="C426" s="193" t="s">
        <v>381</v>
      </c>
      <c r="D426" s="125" t="s">
        <v>1934</v>
      </c>
      <c r="E426" s="125" t="s">
        <v>1935</v>
      </c>
      <c r="F426" s="191">
        <v>0.7916666666666666</v>
      </c>
      <c r="G426" s="192" t="s">
        <v>3159</v>
      </c>
      <c r="H426" s="125" t="s">
        <v>3466</v>
      </c>
      <c r="I426" s="125" t="s">
        <v>1937</v>
      </c>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idden="1">
      <c r="A427" s="189"/>
      <c r="B427" s="190">
        <v>44581.0</v>
      </c>
      <c r="C427" s="102"/>
      <c r="D427" s="109"/>
      <c r="E427" s="109"/>
      <c r="F427" s="167"/>
      <c r="G427" s="159"/>
      <c r="H427" s="102"/>
      <c r="I427" s="71"/>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idden="1">
      <c r="A428" s="203" t="s">
        <v>3443</v>
      </c>
      <c r="B428" s="70"/>
      <c r="C428" s="102"/>
      <c r="D428" s="202" t="s">
        <v>3467</v>
      </c>
      <c r="E428" s="62"/>
      <c r="F428" s="167"/>
      <c r="G428" s="159"/>
      <c r="H428" s="102"/>
      <c r="I428" s="71"/>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idden="1">
      <c r="A429" s="69"/>
      <c r="B429" s="38" t="s">
        <v>121</v>
      </c>
      <c r="C429" s="147" t="s">
        <v>95</v>
      </c>
      <c r="D429" s="81" t="s">
        <v>2747</v>
      </c>
      <c r="E429" s="81" t="s">
        <v>2748</v>
      </c>
      <c r="F429" s="157">
        <v>0.4166666666666667</v>
      </c>
      <c r="G429" s="146" t="s">
        <v>3159</v>
      </c>
      <c r="H429" s="147" t="s">
        <v>3468</v>
      </c>
      <c r="I429" s="81" t="s">
        <v>2750</v>
      </c>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idden="1">
      <c r="A430" s="69"/>
      <c r="B430" s="38" t="s">
        <v>121</v>
      </c>
      <c r="C430" s="210" t="s">
        <v>1531</v>
      </c>
      <c r="D430" s="81" t="s">
        <v>2450</v>
      </c>
      <c r="E430" s="81" t="s">
        <v>2451</v>
      </c>
      <c r="F430" s="157">
        <v>0.4791666666666667</v>
      </c>
      <c r="G430" s="146" t="s">
        <v>3159</v>
      </c>
      <c r="H430" s="147" t="s">
        <v>3469</v>
      </c>
      <c r="I430" s="81" t="s">
        <v>2453</v>
      </c>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idden="1">
      <c r="A431" s="69"/>
      <c r="B431" s="38" t="s">
        <v>121</v>
      </c>
      <c r="C431" s="210" t="s">
        <v>1531</v>
      </c>
      <c r="D431" s="81" t="s">
        <v>1705</v>
      </c>
      <c r="E431" s="81" t="s">
        <v>1706</v>
      </c>
      <c r="F431" s="157">
        <v>0.5416666666666666</v>
      </c>
      <c r="G431" s="146" t="s">
        <v>3159</v>
      </c>
      <c r="H431" s="81" t="s">
        <v>3470</v>
      </c>
      <c r="I431" s="81" t="s">
        <v>1703</v>
      </c>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idden="1">
      <c r="A432" s="69"/>
      <c r="B432" s="38" t="s">
        <v>121</v>
      </c>
      <c r="C432" s="147" t="s">
        <v>86</v>
      </c>
      <c r="D432" s="81" t="s">
        <v>1802</v>
      </c>
      <c r="E432" s="81" t="s">
        <v>1803</v>
      </c>
      <c r="F432" s="157">
        <v>0.6041666666666666</v>
      </c>
      <c r="G432" s="146" t="s">
        <v>3471</v>
      </c>
      <c r="H432" s="147" t="s">
        <v>3472</v>
      </c>
      <c r="I432" s="81" t="s">
        <v>1805</v>
      </c>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idden="1">
      <c r="A433" s="69"/>
      <c r="B433" s="38" t="s">
        <v>121</v>
      </c>
      <c r="C433" s="147" t="s">
        <v>86</v>
      </c>
      <c r="D433" s="81" t="s">
        <v>3473</v>
      </c>
      <c r="E433" s="81" t="s">
        <v>244</v>
      </c>
      <c r="F433" s="157">
        <v>0.6666666666666666</v>
      </c>
      <c r="G433" s="146" t="s">
        <v>3113</v>
      </c>
      <c r="H433" s="147" t="s">
        <v>3474</v>
      </c>
      <c r="I433" s="81" t="s">
        <v>246</v>
      </c>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idden="1">
      <c r="A434" s="69"/>
      <c r="B434" s="38" t="s">
        <v>121</v>
      </c>
      <c r="C434" s="147" t="s">
        <v>381</v>
      </c>
      <c r="D434" s="81" t="s">
        <v>2151</v>
      </c>
      <c r="E434" s="81" t="s">
        <v>2152</v>
      </c>
      <c r="F434" s="157">
        <v>0.7291666666666666</v>
      </c>
      <c r="G434" s="81" t="s">
        <v>3200</v>
      </c>
      <c r="H434" s="81" t="s">
        <v>3475</v>
      </c>
      <c r="I434" s="81" t="s">
        <v>3476</v>
      </c>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idden="1">
      <c r="A435" s="79"/>
      <c r="B435" s="38" t="s">
        <v>121</v>
      </c>
      <c r="C435" s="147" t="s">
        <v>86</v>
      </c>
      <c r="D435" s="81" t="s">
        <v>81</v>
      </c>
      <c r="E435" s="81" t="s">
        <v>82</v>
      </c>
      <c r="F435" s="157">
        <v>0.7708333333333334</v>
      </c>
      <c r="G435" s="146" t="s">
        <v>3113</v>
      </c>
      <c r="H435" s="147" t="s">
        <v>3477</v>
      </c>
      <c r="I435" s="81" t="s">
        <v>85</v>
      </c>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c r="A436" s="189"/>
      <c r="B436" s="190">
        <v>44587.0</v>
      </c>
      <c r="C436" s="102"/>
      <c r="D436" s="109"/>
      <c r="E436" s="109"/>
      <c r="F436" s="158"/>
      <c r="G436" s="159"/>
      <c r="H436" s="102"/>
      <c r="I436" s="71"/>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c r="A437" s="203" t="s">
        <v>3478</v>
      </c>
      <c r="B437" s="38" t="s">
        <v>76</v>
      </c>
      <c r="C437" s="193" t="s">
        <v>95</v>
      </c>
      <c r="D437" s="125" t="s">
        <v>274</v>
      </c>
      <c r="E437" s="125" t="s">
        <v>275</v>
      </c>
      <c r="F437" s="191">
        <v>0.4791666666666667</v>
      </c>
      <c r="G437" s="125" t="s">
        <v>3479</v>
      </c>
      <c r="H437" s="193" t="s">
        <v>3480</v>
      </c>
      <c r="I437" s="125" t="s">
        <v>278</v>
      </c>
      <c r="J437" s="211"/>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c r="A438" s="69"/>
      <c r="B438" s="38" t="s">
        <v>76</v>
      </c>
      <c r="C438" s="193" t="s">
        <v>381</v>
      </c>
      <c r="D438" s="125" t="s">
        <v>484</v>
      </c>
      <c r="E438" s="125" t="s">
        <v>485</v>
      </c>
      <c r="F438" s="191">
        <v>0.5416666666666666</v>
      </c>
      <c r="G438" s="125" t="s">
        <v>3479</v>
      </c>
      <c r="H438" s="125" t="s">
        <v>3481</v>
      </c>
      <c r="I438" s="125" t="s">
        <v>487</v>
      </c>
      <c r="J438" s="193" t="s">
        <v>3482</v>
      </c>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c r="A439" s="69"/>
      <c r="B439" s="38" t="s">
        <v>76</v>
      </c>
      <c r="C439" s="204" t="s">
        <v>80</v>
      </c>
      <c r="D439" s="125" t="s">
        <v>2769</v>
      </c>
      <c r="E439" s="125" t="s">
        <v>2770</v>
      </c>
      <c r="F439" s="208" t="s">
        <v>3483</v>
      </c>
      <c r="G439" s="212" t="s">
        <v>3484</v>
      </c>
      <c r="H439" s="193" t="s">
        <v>3485</v>
      </c>
      <c r="I439" s="213" t="s">
        <v>2772</v>
      </c>
      <c r="J439" s="211"/>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c r="A440" s="69"/>
      <c r="B440" s="38" t="s">
        <v>76</v>
      </c>
      <c r="C440" s="204" t="s">
        <v>110</v>
      </c>
      <c r="D440" s="125" t="s">
        <v>961</v>
      </c>
      <c r="E440" s="125" t="s">
        <v>962</v>
      </c>
      <c r="F440" s="191">
        <v>0.625</v>
      </c>
      <c r="G440" s="192" t="s">
        <v>3486</v>
      </c>
      <c r="H440" s="193" t="s">
        <v>3487</v>
      </c>
      <c r="I440" s="125" t="s">
        <v>964</v>
      </c>
      <c r="J440" s="211"/>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c r="A441" s="69"/>
      <c r="B441" s="38" t="s">
        <v>76</v>
      </c>
      <c r="C441" s="147" t="s">
        <v>86</v>
      </c>
      <c r="D441" s="81" t="s">
        <v>1669</v>
      </c>
      <c r="E441" s="81" t="s">
        <v>1670</v>
      </c>
      <c r="F441" s="157">
        <v>0.6666666666666666</v>
      </c>
      <c r="G441" s="146" t="s">
        <v>3488</v>
      </c>
      <c r="H441" s="147" t="s">
        <v>3489</v>
      </c>
      <c r="I441" s="81" t="s">
        <v>1671</v>
      </c>
      <c r="J441" s="163"/>
      <c r="K441" s="147" t="s">
        <v>3490</v>
      </c>
      <c r="L441" s="163"/>
      <c r="M441" s="163"/>
      <c r="N441" s="63"/>
      <c r="O441" s="63"/>
      <c r="P441" s="63"/>
      <c r="Q441" s="63"/>
      <c r="R441" s="63"/>
      <c r="S441" s="63"/>
      <c r="T441" s="63"/>
      <c r="U441" s="63"/>
      <c r="V441" s="63"/>
      <c r="W441" s="63"/>
      <c r="X441" s="63"/>
      <c r="Y441" s="63"/>
      <c r="Z441" s="63"/>
      <c r="AA441" s="63"/>
      <c r="AB441" s="63"/>
      <c r="AC441" s="63"/>
      <c r="AD441" s="63"/>
      <c r="AE441" s="63"/>
      <c r="AF441" s="63"/>
    </row>
    <row r="442">
      <c r="A442" s="69"/>
      <c r="B442" s="38" t="s">
        <v>76</v>
      </c>
      <c r="C442" s="193" t="s">
        <v>127</v>
      </c>
      <c r="D442" s="125" t="s">
        <v>1915</v>
      </c>
      <c r="E442" s="125" t="s">
        <v>1916</v>
      </c>
      <c r="F442" s="191">
        <v>0.7083333333333334</v>
      </c>
      <c r="G442" s="192" t="s">
        <v>3491</v>
      </c>
      <c r="H442" s="193" t="s">
        <v>3492</v>
      </c>
      <c r="I442" s="125" t="s">
        <v>1918</v>
      </c>
      <c r="J442" s="211"/>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c r="A443" s="69"/>
      <c r="B443" s="38" t="s">
        <v>76</v>
      </c>
      <c r="C443" s="204" t="s">
        <v>140</v>
      </c>
      <c r="D443" s="125" t="s">
        <v>256</v>
      </c>
      <c r="E443" s="125" t="s">
        <v>257</v>
      </c>
      <c r="F443" s="191">
        <v>0.7708333333333334</v>
      </c>
      <c r="G443" s="125" t="s">
        <v>3479</v>
      </c>
      <c r="H443" s="193" t="s">
        <v>3493</v>
      </c>
      <c r="I443" s="204" t="s">
        <v>261</v>
      </c>
      <c r="J443" s="211"/>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c r="A444" s="69"/>
      <c r="B444" s="38" t="s">
        <v>76</v>
      </c>
      <c r="C444" s="210" t="s">
        <v>140</v>
      </c>
      <c r="D444" s="81" t="s">
        <v>445</v>
      </c>
      <c r="E444" s="81" t="s">
        <v>446</v>
      </c>
      <c r="F444" s="157">
        <v>0.4583333333333333</v>
      </c>
      <c r="G444" s="81" t="s">
        <v>3479</v>
      </c>
      <c r="H444" s="147" t="s">
        <v>3494</v>
      </c>
      <c r="I444" s="81" t="s">
        <v>449</v>
      </c>
      <c r="J444" s="102" t="s">
        <v>3495</v>
      </c>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c r="A445" s="79"/>
      <c r="B445" s="38" t="s">
        <v>76</v>
      </c>
      <c r="C445" s="102"/>
      <c r="D445" s="109"/>
      <c r="E445" s="109"/>
      <c r="F445" s="167"/>
      <c r="G445" s="159"/>
      <c r="H445" s="102"/>
      <c r="I445" s="71"/>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c r="A446" s="189"/>
      <c r="B446" s="190">
        <v>44588.0</v>
      </c>
      <c r="C446" s="102"/>
      <c r="D446" s="109"/>
      <c r="E446" s="109"/>
      <c r="F446" s="167"/>
      <c r="G446" s="159"/>
      <c r="H446" s="102"/>
      <c r="I446" s="71"/>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c r="A447" s="203" t="s">
        <v>3478</v>
      </c>
      <c r="B447" s="38" t="s">
        <v>76</v>
      </c>
      <c r="C447" s="102"/>
      <c r="D447" s="109"/>
      <c r="E447" s="109"/>
      <c r="F447" s="167"/>
      <c r="G447" s="159"/>
      <c r="H447" s="102"/>
      <c r="I447" s="71"/>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c r="A448" s="69"/>
      <c r="B448" s="38" t="s">
        <v>76</v>
      </c>
      <c r="C448" s="102"/>
      <c r="D448" s="109"/>
      <c r="E448" s="109"/>
      <c r="F448" s="167"/>
      <c r="G448" s="159"/>
      <c r="H448" s="102"/>
      <c r="I448" s="71"/>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c r="A449" s="69"/>
      <c r="B449" s="38" t="s">
        <v>76</v>
      </c>
      <c r="C449" s="210" t="s">
        <v>110</v>
      </c>
      <c r="D449" s="81" t="s">
        <v>881</v>
      </c>
      <c r="E449" s="81" t="s">
        <v>882</v>
      </c>
      <c r="F449" s="157">
        <v>0.5</v>
      </c>
      <c r="G449" s="146" t="s">
        <v>3496</v>
      </c>
      <c r="H449" s="147" t="s">
        <v>3497</v>
      </c>
      <c r="I449" s="81" t="s">
        <v>885</v>
      </c>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c r="A450" s="69"/>
      <c r="B450" s="38" t="s">
        <v>76</v>
      </c>
      <c r="C450" s="204" t="s">
        <v>110</v>
      </c>
      <c r="D450" s="125" t="s">
        <v>1560</v>
      </c>
      <c r="E450" s="125" t="s">
        <v>1561</v>
      </c>
      <c r="F450" s="191">
        <v>0.5833333333333334</v>
      </c>
      <c r="G450" s="192" t="s">
        <v>3496</v>
      </c>
      <c r="H450" s="193" t="s">
        <v>3498</v>
      </c>
      <c r="I450" s="125" t="s">
        <v>1563</v>
      </c>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c r="A451" s="69"/>
      <c r="B451" s="38" t="s">
        <v>76</v>
      </c>
      <c r="C451" s="147" t="s">
        <v>86</v>
      </c>
      <c r="D451" s="81" t="s">
        <v>2212</v>
      </c>
      <c r="E451" s="81" t="s">
        <v>2213</v>
      </c>
      <c r="F451" s="160" t="s">
        <v>3014</v>
      </c>
      <c r="G451" s="81" t="s">
        <v>3499</v>
      </c>
      <c r="H451" s="81" t="s">
        <v>3500</v>
      </c>
      <c r="I451" s="81" t="s">
        <v>2214</v>
      </c>
      <c r="J451" s="102" t="s">
        <v>3463</v>
      </c>
      <c r="K451" s="209"/>
      <c r="L451" s="66"/>
      <c r="M451" s="63"/>
      <c r="N451" s="63"/>
      <c r="O451" s="63"/>
      <c r="P451" s="63"/>
      <c r="Q451" s="63"/>
      <c r="R451" s="63"/>
      <c r="S451" s="63"/>
      <c r="T451" s="63"/>
      <c r="U451" s="63"/>
      <c r="V451" s="63"/>
      <c r="W451" s="63"/>
      <c r="X451" s="63"/>
      <c r="Y451" s="63"/>
      <c r="Z451" s="63"/>
      <c r="AA451" s="63"/>
      <c r="AB451" s="63"/>
      <c r="AC451" s="63"/>
      <c r="AD451" s="63"/>
      <c r="AE451" s="63"/>
      <c r="AF451" s="63"/>
    </row>
    <row r="452">
      <c r="A452" s="69"/>
      <c r="B452" s="38" t="s">
        <v>76</v>
      </c>
      <c r="C452" s="214" t="s">
        <v>3461</v>
      </c>
      <c r="D452" s="125" t="s">
        <v>1606</v>
      </c>
      <c r="E452" s="125" t="s">
        <v>1607</v>
      </c>
      <c r="F452" s="208" t="s">
        <v>3501</v>
      </c>
      <c r="G452" s="192" t="s">
        <v>3502</v>
      </c>
      <c r="H452" s="193" t="s">
        <v>3503</v>
      </c>
      <c r="I452" s="125" t="s">
        <v>1609</v>
      </c>
      <c r="J452" s="63"/>
      <c r="K452" s="209"/>
      <c r="L452" s="66"/>
      <c r="M452" s="63"/>
      <c r="N452" s="63"/>
      <c r="O452" s="63"/>
      <c r="P452" s="63"/>
      <c r="Q452" s="63"/>
      <c r="R452" s="63"/>
      <c r="S452" s="63"/>
      <c r="T452" s="63"/>
      <c r="U452" s="63"/>
      <c r="V452" s="63"/>
      <c r="W452" s="63"/>
      <c r="X452" s="63"/>
      <c r="Y452" s="63"/>
      <c r="Z452" s="63"/>
      <c r="AA452" s="63"/>
      <c r="AB452" s="63"/>
      <c r="AC452" s="63"/>
      <c r="AD452" s="63"/>
      <c r="AE452" s="63"/>
      <c r="AF452" s="63"/>
    </row>
    <row r="453">
      <c r="A453" s="69"/>
      <c r="B453" s="38" t="s">
        <v>76</v>
      </c>
      <c r="C453" s="193" t="s">
        <v>86</v>
      </c>
      <c r="D453" s="125" t="s">
        <v>990</v>
      </c>
      <c r="E453" s="125" t="s">
        <v>991</v>
      </c>
      <c r="F453" s="191">
        <v>0.6666666666666666</v>
      </c>
      <c r="G453" s="192" t="s">
        <v>3504</v>
      </c>
      <c r="H453" s="193" t="s">
        <v>3505</v>
      </c>
      <c r="I453" s="125" t="s">
        <v>992</v>
      </c>
      <c r="J453" s="63"/>
      <c r="K453" s="209"/>
      <c r="L453" s="66"/>
      <c r="M453" s="63"/>
      <c r="N453" s="63"/>
      <c r="O453" s="63"/>
      <c r="P453" s="63"/>
      <c r="Q453" s="63"/>
      <c r="R453" s="63"/>
      <c r="S453" s="63"/>
      <c r="T453" s="63"/>
      <c r="U453" s="63"/>
      <c r="V453" s="63"/>
      <c r="W453" s="63"/>
      <c r="X453" s="63"/>
      <c r="Y453" s="63"/>
      <c r="Z453" s="63"/>
      <c r="AA453" s="63"/>
      <c r="AB453" s="63"/>
      <c r="AC453" s="63"/>
      <c r="AD453" s="63"/>
      <c r="AE453" s="63"/>
      <c r="AF453" s="63"/>
    </row>
    <row r="454">
      <c r="A454" s="69"/>
      <c r="B454" s="38" t="s">
        <v>76</v>
      </c>
      <c r="C454" s="204" t="s">
        <v>110</v>
      </c>
      <c r="D454" s="125" t="s">
        <v>974</v>
      </c>
      <c r="E454" s="125" t="s">
        <v>975</v>
      </c>
      <c r="F454" s="191">
        <v>0.7291666666666666</v>
      </c>
      <c r="G454" s="192" t="s">
        <v>3506</v>
      </c>
      <c r="H454" s="193" t="s">
        <v>3507</v>
      </c>
      <c r="I454" s="125" t="s">
        <v>3508</v>
      </c>
      <c r="J454" s="63"/>
      <c r="K454" s="209"/>
      <c r="L454" s="66"/>
      <c r="M454" s="63"/>
      <c r="N454" s="63"/>
      <c r="O454" s="63"/>
      <c r="P454" s="63"/>
      <c r="Q454" s="63"/>
      <c r="R454" s="63"/>
      <c r="S454" s="63"/>
      <c r="T454" s="63"/>
      <c r="U454" s="63"/>
      <c r="V454" s="63"/>
      <c r="W454" s="63"/>
      <c r="X454" s="63"/>
      <c r="Y454" s="63"/>
      <c r="Z454" s="63"/>
      <c r="AA454" s="63"/>
      <c r="AB454" s="63"/>
      <c r="AC454" s="63"/>
      <c r="AD454" s="63"/>
      <c r="AE454" s="63"/>
      <c r="AF454" s="63"/>
    </row>
    <row r="455">
      <c r="A455" s="69"/>
      <c r="B455" s="38" t="s">
        <v>76</v>
      </c>
      <c r="C455" s="131" t="s">
        <v>3461</v>
      </c>
      <c r="D455" s="81" t="s">
        <v>2633</v>
      </c>
      <c r="E455" s="81" t="s">
        <v>2634</v>
      </c>
      <c r="F455" s="160" t="s">
        <v>2935</v>
      </c>
      <c r="G455" s="146" t="s">
        <v>3506</v>
      </c>
      <c r="H455" s="147" t="s">
        <v>3509</v>
      </c>
      <c r="I455" s="81" t="s">
        <v>2636</v>
      </c>
      <c r="J455" s="102" t="s">
        <v>3463</v>
      </c>
      <c r="K455" s="209"/>
      <c r="L455" s="66"/>
      <c r="M455" s="63"/>
      <c r="N455" s="63"/>
      <c r="O455" s="63"/>
      <c r="P455" s="63"/>
      <c r="Q455" s="63"/>
      <c r="R455" s="63"/>
      <c r="S455" s="63"/>
      <c r="T455" s="63"/>
      <c r="U455" s="63"/>
      <c r="V455" s="63"/>
      <c r="W455" s="63"/>
      <c r="X455" s="63"/>
      <c r="Y455" s="63"/>
      <c r="Z455" s="63"/>
      <c r="AA455" s="63"/>
      <c r="AB455" s="63"/>
      <c r="AC455" s="63"/>
      <c r="AD455" s="63"/>
      <c r="AE455" s="63"/>
      <c r="AF455" s="63"/>
    </row>
    <row r="456">
      <c r="A456" s="79"/>
      <c r="B456" s="38" t="s">
        <v>76</v>
      </c>
      <c r="C456" s="102"/>
      <c r="D456" s="109"/>
      <c r="E456" s="109"/>
      <c r="F456" s="167"/>
      <c r="G456" s="159"/>
      <c r="H456" s="102"/>
      <c r="I456" s="71"/>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c r="A457" s="189"/>
      <c r="B457" s="190">
        <v>44589.0</v>
      </c>
      <c r="C457" s="102"/>
      <c r="D457" s="109"/>
      <c r="E457" s="109"/>
      <c r="F457" s="167"/>
      <c r="G457" s="159"/>
      <c r="H457" s="102"/>
      <c r="I457" s="71"/>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c r="A458" s="203" t="s">
        <v>3478</v>
      </c>
      <c r="B458" s="38" t="s">
        <v>76</v>
      </c>
      <c r="C458" s="102"/>
      <c r="D458" s="109"/>
      <c r="E458" s="109"/>
      <c r="F458" s="167"/>
      <c r="G458" s="159"/>
      <c r="H458" s="102"/>
      <c r="I458" s="71"/>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c r="A459" s="69"/>
      <c r="B459" s="38" t="s">
        <v>76</v>
      </c>
      <c r="C459" s="102"/>
      <c r="D459" s="109"/>
      <c r="E459" s="109"/>
      <c r="F459" s="167"/>
      <c r="G459" s="159"/>
      <c r="H459" s="102"/>
      <c r="I459" s="71"/>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c r="A460" s="69"/>
      <c r="B460" s="38" t="s">
        <v>76</v>
      </c>
      <c r="C460" s="210" t="s">
        <v>110</v>
      </c>
      <c r="D460" s="81" t="s">
        <v>195</v>
      </c>
      <c r="E460" s="81" t="s">
        <v>196</v>
      </c>
      <c r="F460" s="157">
        <v>0.5</v>
      </c>
      <c r="G460" s="146" t="s">
        <v>3510</v>
      </c>
      <c r="H460" s="147" t="s">
        <v>3511</v>
      </c>
      <c r="I460" s="81" t="s">
        <v>198</v>
      </c>
      <c r="J460" s="102" t="s">
        <v>3512</v>
      </c>
      <c r="K460" s="215"/>
      <c r="L460" s="66"/>
      <c r="M460" s="63"/>
      <c r="N460" s="63"/>
      <c r="O460" s="63"/>
      <c r="P460" s="63"/>
      <c r="Q460" s="63"/>
      <c r="R460" s="63"/>
      <c r="S460" s="63"/>
      <c r="T460" s="63"/>
      <c r="U460" s="63"/>
      <c r="V460" s="63"/>
      <c r="W460" s="63"/>
      <c r="X460" s="63"/>
      <c r="Y460" s="63"/>
      <c r="Z460" s="63"/>
      <c r="AA460" s="63"/>
      <c r="AB460" s="63"/>
      <c r="AC460" s="63"/>
      <c r="AD460" s="63"/>
      <c r="AE460" s="63"/>
      <c r="AF460" s="63"/>
    </row>
    <row r="461">
      <c r="A461" s="69"/>
      <c r="B461" s="38" t="s">
        <v>76</v>
      </c>
      <c r="C461" s="204" t="s">
        <v>110</v>
      </c>
      <c r="D461" s="125" t="s">
        <v>1762</v>
      </c>
      <c r="E461" s="125" t="s">
        <v>1763</v>
      </c>
      <c r="F461" s="191">
        <v>0.5833333333333334</v>
      </c>
      <c r="G461" s="192" t="s">
        <v>3513</v>
      </c>
      <c r="H461" s="193" t="s">
        <v>3514</v>
      </c>
      <c r="I461" s="125" t="s">
        <v>1765</v>
      </c>
      <c r="J461" s="63"/>
      <c r="K461" s="209"/>
      <c r="L461" s="66"/>
      <c r="M461" s="63"/>
      <c r="N461" s="63"/>
      <c r="O461" s="63"/>
      <c r="P461" s="63"/>
      <c r="Q461" s="63"/>
      <c r="R461" s="63"/>
      <c r="S461" s="63"/>
      <c r="T461" s="63"/>
      <c r="U461" s="63"/>
      <c r="V461" s="63"/>
      <c r="W461" s="63"/>
      <c r="X461" s="63"/>
      <c r="Y461" s="63"/>
      <c r="Z461" s="63"/>
      <c r="AA461" s="63"/>
      <c r="AB461" s="63"/>
      <c r="AC461" s="63"/>
      <c r="AD461" s="63"/>
      <c r="AE461" s="63"/>
      <c r="AF461" s="63"/>
    </row>
    <row r="462">
      <c r="A462" s="69"/>
      <c r="B462" s="38" t="s">
        <v>76</v>
      </c>
      <c r="C462" s="204" t="s">
        <v>140</v>
      </c>
      <c r="D462" s="125" t="s">
        <v>135</v>
      </c>
      <c r="E462" s="125" t="s">
        <v>136</v>
      </c>
      <c r="F462" s="191">
        <v>0.625</v>
      </c>
      <c r="G462" s="192" t="s">
        <v>3513</v>
      </c>
      <c r="H462" s="193" t="s">
        <v>3515</v>
      </c>
      <c r="I462" s="125" t="s">
        <v>139</v>
      </c>
      <c r="J462" s="63"/>
      <c r="K462" s="209"/>
      <c r="L462" s="66"/>
      <c r="M462" s="63"/>
      <c r="N462" s="63"/>
      <c r="O462" s="63"/>
      <c r="P462" s="63"/>
      <c r="Q462" s="63"/>
      <c r="R462" s="63"/>
      <c r="S462" s="63"/>
      <c r="T462" s="63"/>
      <c r="U462" s="63"/>
      <c r="V462" s="63"/>
      <c r="W462" s="63"/>
      <c r="X462" s="63"/>
      <c r="Y462" s="63"/>
      <c r="Z462" s="63"/>
      <c r="AA462" s="63"/>
      <c r="AB462" s="63"/>
      <c r="AC462" s="63"/>
      <c r="AD462" s="63"/>
      <c r="AE462" s="63"/>
      <c r="AF462" s="63"/>
    </row>
    <row r="463">
      <c r="A463" s="69"/>
      <c r="B463" s="38" t="s">
        <v>76</v>
      </c>
      <c r="C463" s="210" t="s">
        <v>110</v>
      </c>
      <c r="D463" s="81" t="s">
        <v>104</v>
      </c>
      <c r="E463" s="81" t="s">
        <v>105</v>
      </c>
      <c r="F463" s="157">
        <v>0.6666666666666666</v>
      </c>
      <c r="G463" s="146" t="s">
        <v>3516</v>
      </c>
      <c r="H463" s="147" t="s">
        <v>3517</v>
      </c>
      <c r="I463" s="81" t="s">
        <v>108</v>
      </c>
      <c r="J463" s="102" t="s">
        <v>461</v>
      </c>
      <c r="K463" s="209"/>
      <c r="L463" s="66"/>
      <c r="M463" s="63"/>
      <c r="N463" s="63"/>
      <c r="O463" s="63"/>
      <c r="P463" s="63"/>
      <c r="Q463" s="63"/>
      <c r="R463" s="63"/>
      <c r="S463" s="63"/>
      <c r="T463" s="63"/>
      <c r="U463" s="63"/>
      <c r="V463" s="63"/>
      <c r="W463" s="63"/>
      <c r="X463" s="63"/>
      <c r="Y463" s="63"/>
      <c r="Z463" s="63"/>
      <c r="AA463" s="63"/>
      <c r="AB463" s="63"/>
      <c r="AC463" s="63"/>
      <c r="AD463" s="63"/>
      <c r="AE463" s="63"/>
      <c r="AF463" s="63"/>
    </row>
    <row r="464">
      <c r="A464" s="69"/>
      <c r="B464" s="38" t="s">
        <v>76</v>
      </c>
      <c r="C464" s="210" t="s">
        <v>110</v>
      </c>
      <c r="D464" s="81" t="s">
        <v>1175</v>
      </c>
      <c r="E464" s="81" t="s">
        <v>1176</v>
      </c>
      <c r="F464" s="157">
        <v>0.7083333333333334</v>
      </c>
      <c r="G464" s="146" t="s">
        <v>3516</v>
      </c>
      <c r="H464" s="147" t="s">
        <v>3517</v>
      </c>
      <c r="I464" s="81" t="s">
        <v>108</v>
      </c>
      <c r="J464" s="102" t="s">
        <v>461</v>
      </c>
      <c r="K464" s="209"/>
      <c r="L464" s="66"/>
      <c r="M464" s="63"/>
      <c r="N464" s="63"/>
      <c r="O464" s="63"/>
      <c r="P464" s="63"/>
      <c r="Q464" s="63"/>
      <c r="R464" s="63"/>
      <c r="S464" s="63"/>
      <c r="T464" s="63"/>
      <c r="U464" s="63"/>
      <c r="V464" s="63"/>
      <c r="W464" s="63"/>
      <c r="X464" s="63"/>
      <c r="Y464" s="63"/>
      <c r="Z464" s="63"/>
      <c r="AA464" s="63"/>
      <c r="AB464" s="63"/>
      <c r="AC464" s="63"/>
      <c r="AD464" s="63"/>
      <c r="AE464" s="63"/>
      <c r="AF464" s="63"/>
    </row>
    <row r="465">
      <c r="A465" s="79"/>
      <c r="B465" s="38" t="s">
        <v>76</v>
      </c>
      <c r="C465" s="102"/>
      <c r="D465" s="109"/>
      <c r="E465" s="109"/>
      <c r="F465" s="158"/>
      <c r="G465" s="159"/>
      <c r="H465" s="102"/>
      <c r="I465" s="71"/>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c r="A466" s="189"/>
      <c r="B466" s="190">
        <v>44592.0</v>
      </c>
      <c r="C466" s="102"/>
      <c r="D466" s="109"/>
      <c r="E466" s="109"/>
      <c r="F466" s="167"/>
      <c r="G466" s="159"/>
      <c r="H466" s="102"/>
      <c r="I466" s="71"/>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c r="A467" s="203"/>
      <c r="B467" s="38" t="s">
        <v>76</v>
      </c>
      <c r="C467" s="204" t="s">
        <v>110</v>
      </c>
      <c r="D467" s="125" t="s">
        <v>2855</v>
      </c>
      <c r="E467" s="125" t="s">
        <v>2856</v>
      </c>
      <c r="F467" s="191">
        <v>0.4583333333333333</v>
      </c>
      <c r="G467" s="192" t="s">
        <v>3518</v>
      </c>
      <c r="H467" s="193" t="s">
        <v>3519</v>
      </c>
      <c r="I467" s="125" t="s">
        <v>2858</v>
      </c>
      <c r="J467" s="209"/>
      <c r="K467" s="209"/>
      <c r="L467" s="63"/>
      <c r="M467" s="63"/>
      <c r="N467" s="63"/>
      <c r="O467" s="63"/>
      <c r="P467" s="63"/>
      <c r="Q467" s="63"/>
      <c r="R467" s="63"/>
      <c r="S467" s="63"/>
      <c r="T467" s="63"/>
      <c r="U467" s="63"/>
      <c r="V467" s="63"/>
      <c r="W467" s="63"/>
      <c r="X467" s="63"/>
      <c r="Y467" s="63"/>
      <c r="Z467" s="63"/>
      <c r="AA467" s="63"/>
      <c r="AB467" s="63"/>
      <c r="AC467" s="63"/>
      <c r="AD467" s="63"/>
      <c r="AE467" s="63"/>
      <c r="AF467" s="63"/>
    </row>
    <row r="468">
      <c r="A468" s="69"/>
      <c r="B468" s="38" t="s">
        <v>76</v>
      </c>
      <c r="C468" s="210" t="s">
        <v>110</v>
      </c>
      <c r="D468" s="81" t="s">
        <v>2339</v>
      </c>
      <c r="E468" s="81" t="s">
        <v>2340</v>
      </c>
      <c r="F468" s="157">
        <v>0.5625</v>
      </c>
      <c r="G468" s="146" t="s">
        <v>3429</v>
      </c>
      <c r="H468" s="147" t="s">
        <v>3430</v>
      </c>
      <c r="I468" s="81" t="s">
        <v>3431</v>
      </c>
      <c r="J468" s="102" t="s">
        <v>3520</v>
      </c>
      <c r="K468" s="209"/>
      <c r="L468" s="66"/>
      <c r="M468" s="63"/>
      <c r="N468" s="63"/>
      <c r="O468" s="63"/>
      <c r="P468" s="63"/>
      <c r="Q468" s="63"/>
      <c r="R468" s="63"/>
      <c r="S468" s="63"/>
      <c r="T468" s="63"/>
      <c r="U468" s="63"/>
      <c r="V468" s="63"/>
      <c r="W468" s="63"/>
      <c r="X468" s="63"/>
      <c r="Y468" s="63"/>
      <c r="Z468" s="63"/>
      <c r="AA468" s="63"/>
      <c r="AB468" s="63"/>
      <c r="AC468" s="63"/>
      <c r="AD468" s="63"/>
      <c r="AE468" s="63"/>
      <c r="AF468" s="63"/>
    </row>
    <row r="469">
      <c r="A469" s="69"/>
      <c r="B469" s="38" t="s">
        <v>76</v>
      </c>
      <c r="C469" s="204" t="s">
        <v>110</v>
      </c>
      <c r="D469" s="125" t="s">
        <v>2412</v>
      </c>
      <c r="E469" s="125" t="s">
        <v>2413</v>
      </c>
      <c r="F469" s="191">
        <v>0.5625</v>
      </c>
      <c r="G469" s="192" t="s">
        <v>3429</v>
      </c>
      <c r="H469" s="193" t="s">
        <v>3430</v>
      </c>
      <c r="I469" s="125" t="s">
        <v>3431</v>
      </c>
      <c r="J469" s="209"/>
      <c r="K469" s="209"/>
      <c r="L469" s="63"/>
      <c r="M469" s="63"/>
      <c r="N469" s="63"/>
      <c r="O469" s="63"/>
      <c r="P469" s="63"/>
      <c r="Q469" s="63"/>
      <c r="R469" s="63"/>
      <c r="S469" s="63"/>
      <c r="T469" s="63"/>
      <c r="U469" s="63"/>
      <c r="V469" s="63"/>
      <c r="W469" s="63"/>
      <c r="X469" s="63"/>
      <c r="Y469" s="63"/>
      <c r="Z469" s="63"/>
      <c r="AA469" s="63"/>
      <c r="AB469" s="63"/>
      <c r="AC469" s="63"/>
      <c r="AD469" s="63"/>
      <c r="AE469" s="63"/>
      <c r="AF469" s="63"/>
    </row>
    <row r="470">
      <c r="A470" s="69"/>
      <c r="B470" s="38" t="s">
        <v>76</v>
      </c>
      <c r="C470" s="204" t="s">
        <v>110</v>
      </c>
      <c r="D470" s="125" t="s">
        <v>3521</v>
      </c>
      <c r="E470" s="125" t="s">
        <v>3522</v>
      </c>
      <c r="F470" s="191">
        <v>0.5833333333333334</v>
      </c>
      <c r="G470" s="192" t="s">
        <v>3523</v>
      </c>
      <c r="H470" s="193" t="s">
        <v>3524</v>
      </c>
      <c r="I470" s="125" t="s">
        <v>3525</v>
      </c>
      <c r="J470" s="209"/>
      <c r="K470" s="209"/>
      <c r="L470" s="63"/>
      <c r="M470" s="63"/>
      <c r="N470" s="63"/>
      <c r="O470" s="63"/>
      <c r="P470" s="63"/>
      <c r="Q470" s="63"/>
      <c r="R470" s="63"/>
      <c r="S470" s="63"/>
      <c r="T470" s="63"/>
      <c r="U470" s="63"/>
      <c r="V470" s="63"/>
      <c r="W470" s="63"/>
      <c r="X470" s="63"/>
      <c r="Y470" s="63"/>
      <c r="Z470" s="63"/>
      <c r="AA470" s="63"/>
      <c r="AB470" s="63"/>
      <c r="AC470" s="63"/>
      <c r="AD470" s="63"/>
      <c r="AE470" s="63"/>
      <c r="AF470" s="63"/>
    </row>
    <row r="471">
      <c r="A471" s="69"/>
      <c r="B471" s="38" t="s">
        <v>76</v>
      </c>
      <c r="C471" s="204" t="s">
        <v>110</v>
      </c>
      <c r="D471" s="125" t="s">
        <v>1644</v>
      </c>
      <c r="E471" s="125" t="s">
        <v>1645</v>
      </c>
      <c r="F471" s="191">
        <v>0.6666666666666666</v>
      </c>
      <c r="G471" s="192" t="s">
        <v>3526</v>
      </c>
      <c r="H471" s="193" t="s">
        <v>3527</v>
      </c>
      <c r="I471" s="125" t="s">
        <v>1647</v>
      </c>
      <c r="J471" s="209"/>
      <c r="K471" s="209"/>
      <c r="L471" s="63"/>
      <c r="M471" s="63"/>
      <c r="N471" s="63"/>
      <c r="O471" s="63"/>
      <c r="P471" s="63"/>
      <c r="Q471" s="63"/>
      <c r="R471" s="63"/>
      <c r="S471" s="63"/>
      <c r="T471" s="63"/>
      <c r="U471" s="63"/>
      <c r="V471" s="63"/>
      <c r="W471" s="63"/>
      <c r="X471" s="63"/>
      <c r="Y471" s="63"/>
      <c r="Z471" s="63"/>
      <c r="AA471" s="63"/>
      <c r="AB471" s="63"/>
      <c r="AC471" s="63"/>
      <c r="AD471" s="63"/>
      <c r="AE471" s="63"/>
      <c r="AF471" s="63"/>
    </row>
    <row r="472">
      <c r="A472" s="69"/>
      <c r="B472" s="38" t="s">
        <v>76</v>
      </c>
      <c r="C472" s="210" t="s">
        <v>110</v>
      </c>
      <c r="D472" s="81" t="s">
        <v>2602</v>
      </c>
      <c r="E472" s="81" t="s">
        <v>2603</v>
      </c>
      <c r="F472" s="157">
        <v>0.75</v>
      </c>
      <c r="G472" s="146" t="s">
        <v>3528</v>
      </c>
      <c r="H472" s="147" t="s">
        <v>3529</v>
      </c>
      <c r="I472" s="81" t="s">
        <v>2605</v>
      </c>
      <c r="J472" s="216" t="s">
        <v>3530</v>
      </c>
      <c r="K472" s="209"/>
      <c r="L472" s="63"/>
      <c r="M472" s="63"/>
      <c r="N472" s="63"/>
      <c r="O472" s="63"/>
      <c r="P472" s="63"/>
      <c r="Q472" s="63"/>
      <c r="R472" s="63"/>
      <c r="S472" s="63"/>
      <c r="T472" s="63"/>
      <c r="U472" s="63"/>
      <c r="V472" s="63"/>
      <c r="W472" s="63"/>
      <c r="X472" s="63"/>
      <c r="Y472" s="63"/>
      <c r="Z472" s="63"/>
      <c r="AA472" s="63"/>
      <c r="AB472" s="63"/>
      <c r="AC472" s="63"/>
      <c r="AD472" s="63"/>
      <c r="AE472" s="63"/>
      <c r="AF472" s="63"/>
    </row>
    <row r="473">
      <c r="A473" s="79"/>
      <c r="B473" s="38" t="s">
        <v>76</v>
      </c>
      <c r="C473" s="102"/>
      <c r="D473" s="109"/>
      <c r="E473" s="109"/>
      <c r="F473" s="167"/>
      <c r="G473" s="159"/>
      <c r="H473" s="102"/>
      <c r="I473" s="71"/>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c r="A474" s="189"/>
      <c r="B474" s="190">
        <v>44593.0</v>
      </c>
      <c r="C474" s="102"/>
      <c r="D474" s="109"/>
      <c r="E474" s="109"/>
      <c r="F474" s="167"/>
      <c r="G474" s="159"/>
      <c r="H474" s="102"/>
      <c r="I474" s="71"/>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c r="A475" s="203"/>
      <c r="B475" s="38" t="s">
        <v>76</v>
      </c>
      <c r="C475" s="217" t="s">
        <v>110</v>
      </c>
      <c r="D475" s="81" t="s">
        <v>2339</v>
      </c>
      <c r="E475" s="81" t="s">
        <v>2340</v>
      </c>
      <c r="F475" s="160" t="s">
        <v>3222</v>
      </c>
      <c r="G475" s="146" t="s">
        <v>3429</v>
      </c>
      <c r="H475" s="147" t="s">
        <v>3430</v>
      </c>
      <c r="I475" s="81" t="s">
        <v>3431</v>
      </c>
      <c r="J475" s="216" t="s">
        <v>3531</v>
      </c>
      <c r="K475" s="209"/>
      <c r="L475" s="63"/>
      <c r="M475" s="63"/>
      <c r="N475" s="63"/>
      <c r="O475" s="63"/>
      <c r="P475" s="63"/>
      <c r="Q475" s="63"/>
      <c r="R475" s="63"/>
      <c r="S475" s="63"/>
      <c r="T475" s="63"/>
      <c r="U475" s="63"/>
      <c r="V475" s="63"/>
      <c r="W475" s="63"/>
      <c r="X475" s="63"/>
      <c r="Y475" s="63"/>
      <c r="Z475" s="63"/>
      <c r="AA475" s="63"/>
      <c r="AB475" s="63"/>
      <c r="AC475" s="63"/>
      <c r="AD475" s="63"/>
      <c r="AE475" s="63"/>
      <c r="AF475" s="63"/>
    </row>
    <row r="476">
      <c r="A476" s="69"/>
      <c r="B476" s="38" t="s">
        <v>76</v>
      </c>
      <c r="C476" s="218" t="s">
        <v>86</v>
      </c>
      <c r="D476" s="125" t="s">
        <v>2212</v>
      </c>
      <c r="E476" s="125" t="s">
        <v>2213</v>
      </c>
      <c r="F476" s="208" t="s">
        <v>3483</v>
      </c>
      <c r="G476" s="125" t="s">
        <v>3499</v>
      </c>
      <c r="H476" s="125" t="s">
        <v>3500</v>
      </c>
      <c r="I476" s="125" t="s">
        <v>2214</v>
      </c>
      <c r="J476" s="219"/>
      <c r="K476" s="219"/>
      <c r="L476" s="63"/>
      <c r="M476" s="63"/>
      <c r="N476" s="63"/>
      <c r="O476" s="63"/>
      <c r="P476" s="63"/>
      <c r="Q476" s="63"/>
      <c r="R476" s="63"/>
      <c r="S476" s="63"/>
      <c r="T476" s="63"/>
      <c r="U476" s="63"/>
      <c r="V476" s="63"/>
      <c r="W476" s="63"/>
      <c r="X476" s="63"/>
      <c r="Y476" s="63"/>
      <c r="Z476" s="63"/>
      <c r="AA476" s="63"/>
      <c r="AB476" s="63"/>
      <c r="AC476" s="63"/>
      <c r="AD476" s="63"/>
      <c r="AE476" s="63"/>
      <c r="AF476" s="63"/>
    </row>
    <row r="477">
      <c r="A477" s="69"/>
      <c r="B477" s="38" t="s">
        <v>76</v>
      </c>
      <c r="C477" s="214" t="s">
        <v>3461</v>
      </c>
      <c r="D477" s="125" t="s">
        <v>2633</v>
      </c>
      <c r="E477" s="125" t="s">
        <v>2634</v>
      </c>
      <c r="F477" s="208" t="s">
        <v>3049</v>
      </c>
      <c r="G477" s="192" t="s">
        <v>3506</v>
      </c>
      <c r="H477" s="193" t="s">
        <v>3509</v>
      </c>
      <c r="I477" s="125" t="s">
        <v>2636</v>
      </c>
      <c r="J477" s="219"/>
      <c r="K477" s="219"/>
      <c r="L477" s="63"/>
      <c r="M477" s="63"/>
      <c r="N477" s="63"/>
      <c r="O477" s="63"/>
      <c r="P477" s="63"/>
      <c r="Q477" s="63"/>
      <c r="R477" s="63"/>
      <c r="S477" s="63"/>
      <c r="T477" s="63"/>
      <c r="U477" s="63"/>
      <c r="V477" s="63"/>
      <c r="W477" s="63"/>
      <c r="X477" s="63"/>
      <c r="Y477" s="63"/>
      <c r="Z477" s="63"/>
      <c r="AA477" s="63"/>
      <c r="AB477" s="63"/>
      <c r="AC477" s="63"/>
      <c r="AD477" s="63"/>
      <c r="AE477" s="63"/>
      <c r="AF477" s="63"/>
    </row>
    <row r="478">
      <c r="A478" s="69"/>
      <c r="B478" s="38" t="s">
        <v>76</v>
      </c>
      <c r="C478" s="218" t="s">
        <v>80</v>
      </c>
      <c r="D478" s="125" t="s">
        <v>1585</v>
      </c>
      <c r="E478" s="125" t="s">
        <v>1586</v>
      </c>
      <c r="F478" s="208" t="s">
        <v>3306</v>
      </c>
      <c r="G478" s="212" t="s">
        <v>3532</v>
      </c>
      <c r="H478" s="193" t="s">
        <v>3533</v>
      </c>
      <c r="I478" s="213" t="s">
        <v>1588</v>
      </c>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c r="A479" s="69"/>
      <c r="B479" s="38" t="s">
        <v>76</v>
      </c>
      <c r="C479" s="214" t="s">
        <v>3461</v>
      </c>
      <c r="D479" s="125" t="s">
        <v>2666</v>
      </c>
      <c r="E479" s="125" t="s">
        <v>2667</v>
      </c>
      <c r="F479" s="208" t="s">
        <v>2935</v>
      </c>
      <c r="G479" s="192" t="s">
        <v>3534</v>
      </c>
      <c r="H479" s="193" t="s">
        <v>3535</v>
      </c>
      <c r="I479" s="125" t="s">
        <v>2669</v>
      </c>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c r="A480" s="79"/>
      <c r="B480" s="38" t="s">
        <v>76</v>
      </c>
      <c r="C480" s="220"/>
      <c r="D480" s="109"/>
      <c r="E480" s="109"/>
      <c r="F480" s="167"/>
      <c r="G480" s="159"/>
      <c r="H480" s="102"/>
      <c r="I480" s="71"/>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c r="A481" s="189"/>
      <c r="B481" s="190">
        <v>44594.0</v>
      </c>
      <c r="C481" s="102"/>
      <c r="D481" s="109"/>
      <c r="E481" s="109"/>
      <c r="F481" s="167"/>
      <c r="G481" s="159"/>
      <c r="H481" s="102"/>
      <c r="I481" s="71"/>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c r="A482" s="203" t="s">
        <v>3478</v>
      </c>
      <c r="B482" s="38" t="s">
        <v>76</v>
      </c>
      <c r="C482" s="102"/>
      <c r="D482" s="76" t="s">
        <v>3536</v>
      </c>
      <c r="E482" s="221" t="s">
        <v>3537</v>
      </c>
      <c r="F482" s="167"/>
      <c r="G482" s="159"/>
      <c r="H482" s="102"/>
      <c r="I482" s="71"/>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c r="A483" s="69"/>
      <c r="B483" s="38" t="s">
        <v>76</v>
      </c>
      <c r="C483" s="102"/>
      <c r="D483" s="109"/>
      <c r="E483" s="109"/>
      <c r="F483" s="158"/>
      <c r="G483" s="159"/>
      <c r="H483" s="102"/>
      <c r="I483" s="71"/>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c r="A484" s="69"/>
      <c r="B484" s="38" t="s">
        <v>76</v>
      </c>
      <c r="C484" s="147" t="s">
        <v>86</v>
      </c>
      <c r="D484" s="81" t="s">
        <v>2680</v>
      </c>
      <c r="E484" s="81" t="s">
        <v>2681</v>
      </c>
      <c r="F484" s="157">
        <v>0.5</v>
      </c>
      <c r="G484" s="146" t="s">
        <v>3538</v>
      </c>
      <c r="H484" s="147" t="s">
        <v>3539</v>
      </c>
      <c r="I484" s="81" t="s">
        <v>2683</v>
      </c>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c r="A485" s="69"/>
      <c r="B485" s="38" t="s">
        <v>76</v>
      </c>
      <c r="C485" s="193" t="s">
        <v>86</v>
      </c>
      <c r="D485" s="125" t="s">
        <v>451</v>
      </c>
      <c r="E485" s="125" t="s">
        <v>452</v>
      </c>
      <c r="F485" s="191">
        <v>0.5625</v>
      </c>
      <c r="G485" s="192" t="s">
        <v>3540</v>
      </c>
      <c r="H485" s="193" t="s">
        <v>3541</v>
      </c>
      <c r="I485" s="125" t="s">
        <v>455</v>
      </c>
      <c r="J485" s="66"/>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c r="A486" s="69"/>
      <c r="B486" s="38" t="s">
        <v>76</v>
      </c>
      <c r="C486" s="193" t="s">
        <v>381</v>
      </c>
      <c r="D486" s="125" t="s">
        <v>2782</v>
      </c>
      <c r="E486" s="125" t="s">
        <v>2783</v>
      </c>
      <c r="F486" s="222">
        <v>0.5833333333333334</v>
      </c>
      <c r="G486" s="125" t="s">
        <v>3200</v>
      </c>
      <c r="H486" s="125" t="s">
        <v>3542</v>
      </c>
      <c r="I486" s="125" t="s">
        <v>2649</v>
      </c>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c r="A487" s="69"/>
      <c r="B487" s="38" t="s">
        <v>76</v>
      </c>
      <c r="C487" s="193" t="s">
        <v>86</v>
      </c>
      <c r="D487" s="125" t="s">
        <v>2765</v>
      </c>
      <c r="E487" s="125" t="s">
        <v>2766</v>
      </c>
      <c r="F487" s="191">
        <v>0.5833333333333334</v>
      </c>
      <c r="G487" s="125" t="s">
        <v>3200</v>
      </c>
      <c r="H487" s="125" t="s">
        <v>3542</v>
      </c>
      <c r="I487" s="125" t="s">
        <v>2768</v>
      </c>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c r="A488" s="69"/>
      <c r="B488" s="38" t="s">
        <v>76</v>
      </c>
      <c r="C488" s="193" t="s">
        <v>381</v>
      </c>
      <c r="D488" s="125" t="s">
        <v>503</v>
      </c>
      <c r="E488" s="125" t="s">
        <v>504</v>
      </c>
      <c r="F488" s="222">
        <v>0.625</v>
      </c>
      <c r="G488" s="125" t="s">
        <v>3332</v>
      </c>
      <c r="H488" s="125" t="s">
        <v>3543</v>
      </c>
      <c r="I488" s="125" t="s">
        <v>507</v>
      </c>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c r="A489" s="69"/>
      <c r="B489" s="38" t="s">
        <v>76</v>
      </c>
      <c r="C489" s="193" t="s">
        <v>86</v>
      </c>
      <c r="D489" s="125" t="s">
        <v>2761</v>
      </c>
      <c r="E489" s="125" t="s">
        <v>2762</v>
      </c>
      <c r="F489" s="191">
        <v>0.6875</v>
      </c>
      <c r="G489" s="192" t="s">
        <v>3538</v>
      </c>
      <c r="H489" s="193" t="s">
        <v>3544</v>
      </c>
      <c r="I489" s="125" t="s">
        <v>2764</v>
      </c>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c r="A490" s="69"/>
      <c r="B490" s="38" t="s">
        <v>76</v>
      </c>
      <c r="C490" s="193" t="s">
        <v>86</v>
      </c>
      <c r="D490" s="125" t="s">
        <v>1190</v>
      </c>
      <c r="E490" s="125" t="s">
        <v>1191</v>
      </c>
      <c r="F490" s="191">
        <v>0.7291666666666666</v>
      </c>
      <c r="G490" s="192" t="s">
        <v>3207</v>
      </c>
      <c r="H490" s="193" t="s">
        <v>3545</v>
      </c>
      <c r="I490" s="125" t="s">
        <v>1193</v>
      </c>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c r="A491" s="79"/>
      <c r="B491" s="38" t="s">
        <v>76</v>
      </c>
      <c r="C491" s="147" t="s">
        <v>86</v>
      </c>
      <c r="D491" s="81" t="s">
        <v>518</v>
      </c>
      <c r="E491" s="81" t="s">
        <v>519</v>
      </c>
      <c r="F491" s="157">
        <v>0.7708333333333334</v>
      </c>
      <c r="G491" s="146" t="s">
        <v>3113</v>
      </c>
      <c r="H491" s="147" t="s">
        <v>3546</v>
      </c>
      <c r="I491" s="81" t="s">
        <v>521</v>
      </c>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c r="A492" s="189"/>
      <c r="B492" s="190">
        <v>44595.0</v>
      </c>
      <c r="C492" s="102"/>
      <c r="D492" s="109"/>
      <c r="E492" s="109"/>
      <c r="F492" s="167"/>
      <c r="G492" s="159"/>
      <c r="H492" s="102"/>
      <c r="I492" s="71"/>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c r="A493" s="203" t="s">
        <v>3478</v>
      </c>
      <c r="B493" s="38" t="s">
        <v>76</v>
      </c>
      <c r="C493" s="102"/>
      <c r="D493" s="76" t="s">
        <v>3536</v>
      </c>
      <c r="E493" s="221" t="s">
        <v>3547</v>
      </c>
      <c r="F493" s="167"/>
      <c r="G493" s="159"/>
      <c r="H493" s="102"/>
      <c r="I493" s="71"/>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c r="A494" s="69"/>
      <c r="B494" s="38" t="s">
        <v>76</v>
      </c>
      <c r="C494" s="193" t="s">
        <v>86</v>
      </c>
      <c r="D494" s="223" t="s">
        <v>372</v>
      </c>
      <c r="E494" s="223" t="s">
        <v>373</v>
      </c>
      <c r="F494" s="224">
        <v>0.4375</v>
      </c>
      <c r="G494" s="225" t="s">
        <v>3548</v>
      </c>
      <c r="H494" s="193" t="s">
        <v>3549</v>
      </c>
      <c r="I494" s="223" t="s">
        <v>375</v>
      </c>
      <c r="J494" s="211"/>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c r="A495" s="69"/>
      <c r="B495" s="38" t="s">
        <v>76</v>
      </c>
      <c r="C495" s="193" t="s">
        <v>86</v>
      </c>
      <c r="D495" s="125" t="s">
        <v>700</v>
      </c>
      <c r="E495" s="125" t="s">
        <v>701</v>
      </c>
      <c r="F495" s="226">
        <v>0.5</v>
      </c>
      <c r="G495" s="225" t="s">
        <v>3550</v>
      </c>
      <c r="H495" s="227" t="s">
        <v>3551</v>
      </c>
      <c r="I495" s="125" t="s">
        <v>703</v>
      </c>
      <c r="J495" s="211"/>
      <c r="K495" s="102" t="s">
        <v>3552</v>
      </c>
      <c r="L495" s="63"/>
      <c r="M495" s="63"/>
      <c r="N495" s="63"/>
      <c r="O495" s="63"/>
      <c r="P495" s="63"/>
      <c r="Q495" s="63"/>
      <c r="R495" s="63"/>
      <c r="S495" s="63"/>
      <c r="T495" s="63"/>
      <c r="U495" s="63"/>
      <c r="V495" s="63"/>
      <c r="W495" s="63"/>
      <c r="X495" s="63"/>
      <c r="Y495" s="63"/>
      <c r="Z495" s="63"/>
      <c r="AA495" s="63"/>
      <c r="AB495" s="63"/>
      <c r="AC495" s="63"/>
      <c r="AD495" s="63"/>
      <c r="AE495" s="63"/>
      <c r="AF495" s="63"/>
    </row>
    <row r="496">
      <c r="A496" s="69"/>
      <c r="B496" s="38" t="s">
        <v>76</v>
      </c>
      <c r="C496" s="193" t="s">
        <v>127</v>
      </c>
      <c r="D496" s="223" t="s">
        <v>1003</v>
      </c>
      <c r="E496" s="223" t="s">
        <v>1004</v>
      </c>
      <c r="F496" s="224">
        <v>0.5625</v>
      </c>
      <c r="G496" s="192" t="s">
        <v>3106</v>
      </c>
      <c r="H496" s="193" t="s">
        <v>3553</v>
      </c>
      <c r="I496" s="228" t="s">
        <v>1006</v>
      </c>
      <c r="J496" s="211"/>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c r="A497" s="69"/>
      <c r="B497" s="38" t="s">
        <v>76</v>
      </c>
      <c r="C497" s="193" t="s">
        <v>95</v>
      </c>
      <c r="D497" s="223" t="s">
        <v>2506</v>
      </c>
      <c r="E497" s="223" t="s">
        <v>2507</v>
      </c>
      <c r="F497" s="224">
        <v>0.625</v>
      </c>
      <c r="G497" s="192" t="s">
        <v>3106</v>
      </c>
      <c r="H497" s="204" t="s">
        <v>2508</v>
      </c>
      <c r="I497" s="228" t="s">
        <v>1720</v>
      </c>
      <c r="J497" s="211"/>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c r="A498" s="69"/>
      <c r="B498" s="38" t="s">
        <v>76</v>
      </c>
      <c r="C498" s="193" t="s">
        <v>95</v>
      </c>
      <c r="D498" s="223" t="s">
        <v>687</v>
      </c>
      <c r="E498" s="223" t="s">
        <v>688</v>
      </c>
      <c r="F498" s="226">
        <v>0.6875</v>
      </c>
      <c r="G498" s="192" t="s">
        <v>3106</v>
      </c>
      <c r="H498" s="227" t="s">
        <v>3554</v>
      </c>
      <c r="I498" s="228" t="s">
        <v>690</v>
      </c>
      <c r="J498" s="211"/>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c r="A499" s="69"/>
      <c r="B499" s="38" t="s">
        <v>76</v>
      </c>
      <c r="C499" s="193" t="s">
        <v>86</v>
      </c>
      <c r="D499" s="125" t="s">
        <v>1797</v>
      </c>
      <c r="E499" s="125" t="s">
        <v>1798</v>
      </c>
      <c r="F499" s="226">
        <v>0.75</v>
      </c>
      <c r="G499" s="225" t="s">
        <v>3555</v>
      </c>
      <c r="H499" s="204" t="s">
        <v>3556</v>
      </c>
      <c r="I499" s="125" t="s">
        <v>1800</v>
      </c>
      <c r="J499" s="211"/>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c r="A500" s="69"/>
      <c r="B500" s="38" t="s">
        <v>76</v>
      </c>
      <c r="C500" s="102"/>
      <c r="D500" s="229"/>
      <c r="E500" s="229"/>
      <c r="F500" s="229"/>
      <c r="G500" s="229"/>
      <c r="H500" s="229"/>
      <c r="I500" s="229"/>
      <c r="J500" s="229"/>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c r="A501" s="79"/>
      <c r="B501" s="38" t="s">
        <v>76</v>
      </c>
      <c r="C501" s="102"/>
      <c r="D501" s="109"/>
      <c r="E501" s="109"/>
      <c r="F501" s="167"/>
      <c r="G501" s="159"/>
      <c r="H501" s="102"/>
      <c r="I501" s="71"/>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c r="A502" s="189"/>
      <c r="B502" s="190">
        <v>44596.0</v>
      </c>
      <c r="C502" s="102"/>
      <c r="D502" s="109"/>
      <c r="E502" s="109"/>
      <c r="F502" s="167"/>
      <c r="G502" s="159"/>
      <c r="H502" s="102"/>
      <c r="I502" s="71"/>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c r="A503" s="203" t="s">
        <v>3478</v>
      </c>
      <c r="B503" s="38" t="s">
        <v>76</v>
      </c>
      <c r="C503" s="102"/>
      <c r="D503" s="76"/>
      <c r="E503" s="221" t="s">
        <v>3547</v>
      </c>
      <c r="F503" s="167"/>
      <c r="G503" s="159"/>
      <c r="H503" s="102"/>
      <c r="I503" s="71"/>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c r="A504" s="69"/>
      <c r="B504" s="38" t="s">
        <v>76</v>
      </c>
      <c r="C504" s="102"/>
      <c r="D504" s="109"/>
      <c r="E504" s="230"/>
      <c r="F504" s="230"/>
      <c r="G504" s="159"/>
      <c r="H504" s="102"/>
      <c r="I504" s="71"/>
      <c r="J504" s="209"/>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c r="A505" s="69"/>
      <c r="B505" s="38" t="s">
        <v>76</v>
      </c>
      <c r="C505" s="231" t="s">
        <v>127</v>
      </c>
      <c r="D505" s="87" t="s">
        <v>894</v>
      </c>
      <c r="E505" s="87" t="s">
        <v>895</v>
      </c>
      <c r="F505" s="232">
        <v>0.6041666666666666</v>
      </c>
      <c r="G505" s="99" t="s">
        <v>3557</v>
      </c>
      <c r="H505" s="99" t="s">
        <v>3558</v>
      </c>
      <c r="I505" s="87" t="s">
        <v>897</v>
      </c>
      <c r="J505" s="216" t="s">
        <v>3559</v>
      </c>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c r="A506" s="69"/>
      <c r="B506" s="38" t="s">
        <v>76</v>
      </c>
      <c r="C506" s="214" t="s">
        <v>3461</v>
      </c>
      <c r="D506" s="125" t="s">
        <v>2010</v>
      </c>
      <c r="E506" s="125" t="s">
        <v>2011</v>
      </c>
      <c r="F506" s="233" t="s">
        <v>3014</v>
      </c>
      <c r="G506" s="227" t="s">
        <v>3106</v>
      </c>
      <c r="H506" s="227" t="s">
        <v>3560</v>
      </c>
      <c r="I506" s="125" t="s">
        <v>2013</v>
      </c>
      <c r="J506" s="209"/>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c r="A507" s="69"/>
      <c r="B507" s="38" t="s">
        <v>76</v>
      </c>
      <c r="C507" s="131" t="s">
        <v>3461</v>
      </c>
      <c r="D507" s="81" t="s">
        <v>1234</v>
      </c>
      <c r="E507" s="81" t="s">
        <v>1235</v>
      </c>
      <c r="F507" s="234" t="s">
        <v>3501</v>
      </c>
      <c r="G507" s="112" t="s">
        <v>3106</v>
      </c>
      <c r="H507" s="112" t="s">
        <v>3561</v>
      </c>
      <c r="I507" s="81" t="s">
        <v>1237</v>
      </c>
      <c r="J507" s="102" t="s">
        <v>3562</v>
      </c>
      <c r="K507" s="66"/>
      <c r="L507" s="63"/>
      <c r="M507" s="63"/>
      <c r="N507" s="63"/>
      <c r="O507" s="63"/>
      <c r="P507" s="63"/>
      <c r="Q507" s="63"/>
      <c r="R507" s="63"/>
      <c r="S507" s="63"/>
      <c r="T507" s="63"/>
      <c r="U507" s="63"/>
      <c r="V507" s="63"/>
      <c r="W507" s="63"/>
      <c r="X507" s="63"/>
      <c r="Y507" s="63"/>
      <c r="Z507" s="63"/>
      <c r="AA507" s="63"/>
      <c r="AB507" s="63"/>
      <c r="AC507" s="63"/>
      <c r="AD507" s="63"/>
      <c r="AE507" s="63"/>
      <c r="AF507" s="63"/>
    </row>
    <row r="508">
      <c r="A508" s="69"/>
      <c r="B508" s="38" t="s">
        <v>76</v>
      </c>
      <c r="C508" s="193" t="s">
        <v>127</v>
      </c>
      <c r="D508" s="125" t="s">
        <v>1726</v>
      </c>
      <c r="E508" s="125" t="s">
        <v>1727</v>
      </c>
      <c r="F508" s="235">
        <v>0.7083333333333334</v>
      </c>
      <c r="G508" s="192" t="s">
        <v>3563</v>
      </c>
      <c r="H508" s="193" t="s">
        <v>3564</v>
      </c>
      <c r="I508" s="125" t="s">
        <v>1729</v>
      </c>
      <c r="J508" s="63"/>
      <c r="K508" s="66"/>
      <c r="L508" s="63"/>
      <c r="M508" s="63"/>
      <c r="N508" s="63"/>
      <c r="O508" s="63"/>
      <c r="P508" s="63"/>
      <c r="Q508" s="63"/>
      <c r="R508" s="63"/>
      <c r="S508" s="63"/>
      <c r="T508" s="63"/>
      <c r="U508" s="63"/>
      <c r="V508" s="63"/>
      <c r="W508" s="63"/>
      <c r="X508" s="63"/>
      <c r="Y508" s="63"/>
      <c r="Z508" s="63"/>
      <c r="AA508" s="63"/>
      <c r="AB508" s="63"/>
      <c r="AC508" s="63"/>
      <c r="AD508" s="63"/>
      <c r="AE508" s="63"/>
      <c r="AF508" s="63"/>
    </row>
    <row r="509">
      <c r="A509" s="69"/>
      <c r="B509" s="38" t="s">
        <v>76</v>
      </c>
      <c r="C509" s="204" t="s">
        <v>80</v>
      </c>
      <c r="D509" s="125" t="s">
        <v>1661</v>
      </c>
      <c r="E509" s="125" t="s">
        <v>1662</v>
      </c>
      <c r="F509" s="208" t="s">
        <v>3044</v>
      </c>
      <c r="G509" s="212" t="s">
        <v>3565</v>
      </c>
      <c r="H509" s="193" t="s">
        <v>3566</v>
      </c>
      <c r="I509" s="213" t="s">
        <v>1663</v>
      </c>
      <c r="J509" s="63"/>
      <c r="K509" s="66"/>
      <c r="L509" s="63"/>
      <c r="M509" s="63"/>
      <c r="N509" s="63"/>
      <c r="O509" s="63"/>
      <c r="P509" s="63"/>
      <c r="Q509" s="63"/>
      <c r="R509" s="63"/>
      <c r="S509" s="63"/>
      <c r="T509" s="63"/>
      <c r="U509" s="63"/>
      <c r="V509" s="63"/>
      <c r="W509" s="63"/>
      <c r="X509" s="63"/>
      <c r="Y509" s="63"/>
      <c r="Z509" s="63"/>
      <c r="AA509" s="63"/>
      <c r="AB509" s="63"/>
      <c r="AC509" s="63"/>
      <c r="AD509" s="63"/>
      <c r="AE509" s="63"/>
      <c r="AF509" s="63"/>
    </row>
    <row r="510">
      <c r="A510" s="69"/>
      <c r="B510" s="38" t="s">
        <v>76</v>
      </c>
      <c r="C510" s="204" t="s">
        <v>80</v>
      </c>
      <c r="D510" s="125" t="s">
        <v>2801</v>
      </c>
      <c r="E510" s="125" t="s">
        <v>2802</v>
      </c>
      <c r="F510" s="208" t="s">
        <v>3501</v>
      </c>
      <c r="G510" s="212" t="s">
        <v>3567</v>
      </c>
      <c r="H510" s="193" t="s">
        <v>3568</v>
      </c>
      <c r="I510" s="213" t="s">
        <v>2804</v>
      </c>
      <c r="J510" s="63"/>
      <c r="K510" s="66"/>
      <c r="L510" s="63"/>
      <c r="M510" s="63"/>
      <c r="N510" s="63"/>
      <c r="O510" s="63"/>
      <c r="P510" s="63"/>
      <c r="Q510" s="63"/>
      <c r="R510" s="63"/>
      <c r="S510" s="63"/>
      <c r="T510" s="63"/>
      <c r="U510" s="63"/>
      <c r="V510" s="63"/>
      <c r="W510" s="63"/>
      <c r="X510" s="63"/>
      <c r="Y510" s="63"/>
      <c r="Z510" s="63"/>
      <c r="AA510" s="63"/>
      <c r="AB510" s="63"/>
      <c r="AC510" s="63"/>
      <c r="AD510" s="63"/>
      <c r="AE510" s="63"/>
      <c r="AF510" s="63"/>
    </row>
    <row r="511">
      <c r="A511" s="69"/>
      <c r="B511" s="38" t="s">
        <v>76</v>
      </c>
      <c r="C511" s="210" t="s">
        <v>110</v>
      </c>
      <c r="D511" s="81" t="s">
        <v>195</v>
      </c>
      <c r="E511" s="81" t="s">
        <v>196</v>
      </c>
      <c r="F511" s="157">
        <v>0.7083333333333334</v>
      </c>
      <c r="G511" s="146" t="s">
        <v>3510</v>
      </c>
      <c r="H511" s="147" t="s">
        <v>3511</v>
      </c>
      <c r="I511" s="81" t="s">
        <v>198</v>
      </c>
      <c r="J511" s="102" t="s">
        <v>3569</v>
      </c>
      <c r="K511" s="66"/>
      <c r="L511" s="63"/>
      <c r="M511" s="63"/>
      <c r="N511" s="63"/>
      <c r="O511" s="63"/>
      <c r="P511" s="63"/>
      <c r="Q511" s="63"/>
      <c r="R511" s="63"/>
      <c r="S511" s="63"/>
      <c r="T511" s="63"/>
      <c r="U511" s="63"/>
      <c r="V511" s="63"/>
      <c r="W511" s="63"/>
      <c r="X511" s="63"/>
      <c r="Y511" s="63"/>
      <c r="Z511" s="63"/>
      <c r="AA511" s="63"/>
      <c r="AB511" s="63"/>
      <c r="AC511" s="63"/>
      <c r="AD511" s="63"/>
      <c r="AE511" s="63"/>
      <c r="AF511" s="63"/>
    </row>
    <row r="512">
      <c r="A512" s="79"/>
      <c r="B512" s="38" t="s">
        <v>76</v>
      </c>
      <c r="C512" s="102"/>
      <c r="D512" s="109"/>
      <c r="E512" s="109"/>
      <c r="F512" s="167"/>
      <c r="G512" s="159"/>
      <c r="H512" s="102"/>
      <c r="I512" s="71"/>
      <c r="J512" s="209"/>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c r="A513" s="189"/>
      <c r="B513" s="190">
        <v>44599.0</v>
      </c>
      <c r="C513" s="102"/>
      <c r="D513" s="109"/>
      <c r="E513" s="109"/>
      <c r="F513" s="167"/>
      <c r="G513" s="159"/>
      <c r="H513" s="102"/>
      <c r="I513" s="71"/>
      <c r="J513" s="209"/>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c r="A514" s="203" t="s">
        <v>3478</v>
      </c>
      <c r="B514" s="38" t="s">
        <v>76</v>
      </c>
      <c r="C514" s="102"/>
      <c r="D514" s="202" t="s">
        <v>3570</v>
      </c>
      <c r="E514" s="62"/>
      <c r="F514" s="167"/>
      <c r="G514" s="159"/>
      <c r="H514" s="102"/>
      <c r="I514" s="71"/>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c r="A515" s="69"/>
      <c r="B515" s="38" t="s">
        <v>76</v>
      </c>
      <c r="C515" s="102"/>
      <c r="D515" s="109"/>
      <c r="E515" s="109"/>
      <c r="F515" s="167"/>
      <c r="G515" s="159"/>
      <c r="H515" s="102"/>
      <c r="I515" s="71"/>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c r="A516" s="69"/>
      <c r="B516" s="38" t="s">
        <v>76</v>
      </c>
      <c r="C516" s="193" t="s">
        <v>127</v>
      </c>
      <c r="D516" s="125" t="s">
        <v>1045</v>
      </c>
      <c r="E516" s="125" t="s">
        <v>1046</v>
      </c>
      <c r="F516" s="191">
        <v>0.4583333333333333</v>
      </c>
      <c r="G516" s="192" t="s">
        <v>2941</v>
      </c>
      <c r="H516" s="193" t="s">
        <v>3571</v>
      </c>
      <c r="I516" s="125" t="s">
        <v>1049</v>
      </c>
      <c r="J516" s="211"/>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c r="A517" s="69"/>
      <c r="B517" s="38" t="s">
        <v>76</v>
      </c>
      <c r="C517" s="236" t="s">
        <v>127</v>
      </c>
      <c r="D517" s="223" t="s">
        <v>479</v>
      </c>
      <c r="E517" s="223" t="s">
        <v>480</v>
      </c>
      <c r="F517" s="126">
        <v>0.5416666666666666</v>
      </c>
      <c r="G517" s="236" t="s">
        <v>3572</v>
      </c>
      <c r="H517" s="236" t="s">
        <v>3573</v>
      </c>
      <c r="I517" s="237" t="s">
        <v>483</v>
      </c>
      <c r="J517" s="211"/>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c r="A518" s="69"/>
      <c r="B518" s="38" t="s">
        <v>76</v>
      </c>
      <c r="C518" s="193" t="s">
        <v>127</v>
      </c>
      <c r="D518" s="125" t="s">
        <v>1026</v>
      </c>
      <c r="E518" s="125" t="s">
        <v>1027</v>
      </c>
      <c r="F518" s="191">
        <v>0.625</v>
      </c>
      <c r="G518" s="192" t="s">
        <v>3574</v>
      </c>
      <c r="H518" s="193" t="s">
        <v>3575</v>
      </c>
      <c r="I518" s="125" t="s">
        <v>3576</v>
      </c>
      <c r="J518" s="211"/>
      <c r="K518" s="63"/>
      <c r="L518" s="66"/>
      <c r="M518" s="63"/>
      <c r="N518" s="63"/>
      <c r="O518" s="63"/>
      <c r="P518" s="63"/>
      <c r="Q518" s="63"/>
      <c r="R518" s="63"/>
      <c r="S518" s="63"/>
      <c r="T518" s="63"/>
      <c r="U518" s="63"/>
      <c r="V518" s="63"/>
      <c r="W518" s="63"/>
      <c r="X518" s="63"/>
      <c r="Y518" s="63"/>
      <c r="Z518" s="63"/>
      <c r="AA518" s="63"/>
      <c r="AB518" s="63"/>
      <c r="AC518" s="63"/>
      <c r="AD518" s="63"/>
      <c r="AE518" s="63"/>
      <c r="AF518" s="63"/>
    </row>
    <row r="519">
      <c r="A519" s="69"/>
      <c r="B519" s="38" t="s">
        <v>76</v>
      </c>
      <c r="C519" s="147" t="s">
        <v>127</v>
      </c>
      <c r="D519" s="81" t="s">
        <v>3577</v>
      </c>
      <c r="E519" s="81" t="s">
        <v>3578</v>
      </c>
      <c r="F519" s="96">
        <v>0.7083333333333334</v>
      </c>
      <c r="G519" s="112" t="s">
        <v>2956</v>
      </c>
      <c r="H519" s="112" t="s">
        <v>3579</v>
      </c>
      <c r="I519" s="81" t="s">
        <v>3580</v>
      </c>
      <c r="J519" s="238"/>
      <c r="K519" s="102" t="s">
        <v>3581</v>
      </c>
      <c r="L519" s="66"/>
      <c r="M519" s="63"/>
      <c r="N519" s="63"/>
      <c r="O519" s="63"/>
      <c r="P519" s="63"/>
      <c r="Q519" s="63"/>
      <c r="R519" s="63"/>
      <c r="S519" s="63"/>
      <c r="T519" s="63"/>
      <c r="U519" s="63"/>
      <c r="V519" s="63"/>
      <c r="W519" s="63"/>
      <c r="X519" s="63"/>
      <c r="Y519" s="63"/>
      <c r="Z519" s="63"/>
      <c r="AA519" s="63"/>
      <c r="AB519" s="63"/>
      <c r="AC519" s="63"/>
      <c r="AD519" s="63"/>
      <c r="AE519" s="63"/>
      <c r="AF519" s="63"/>
    </row>
    <row r="520">
      <c r="A520" s="69"/>
      <c r="B520" s="38" t="s">
        <v>76</v>
      </c>
      <c r="C520" s="193" t="s">
        <v>127</v>
      </c>
      <c r="D520" s="125" t="s">
        <v>712</v>
      </c>
      <c r="E520" s="125" t="s">
        <v>713</v>
      </c>
      <c r="F520" s="191">
        <v>0.5833333333333334</v>
      </c>
      <c r="G520" s="227" t="s">
        <v>2956</v>
      </c>
      <c r="H520" s="193" t="s">
        <v>3582</v>
      </c>
      <c r="I520" s="125" t="s">
        <v>715</v>
      </c>
      <c r="J520" s="211"/>
      <c r="K520" s="63"/>
      <c r="L520" s="66"/>
      <c r="M520" s="63"/>
      <c r="N520" s="63"/>
      <c r="O520" s="63"/>
      <c r="P520" s="63"/>
      <c r="Q520" s="63"/>
      <c r="R520" s="63"/>
      <c r="S520" s="63"/>
      <c r="T520" s="63"/>
      <c r="U520" s="63"/>
      <c r="V520" s="63"/>
      <c r="W520" s="63"/>
      <c r="X520" s="63"/>
      <c r="Y520" s="63"/>
      <c r="Z520" s="63"/>
      <c r="AA520" s="63"/>
      <c r="AB520" s="63"/>
      <c r="AC520" s="63"/>
      <c r="AD520" s="63"/>
      <c r="AE520" s="63"/>
      <c r="AF520" s="63"/>
    </row>
    <row r="521">
      <c r="A521" s="69"/>
      <c r="B521" s="38" t="s">
        <v>76</v>
      </c>
      <c r="C521" s="204" t="s">
        <v>140</v>
      </c>
      <c r="D521" s="125" t="s">
        <v>2382</v>
      </c>
      <c r="E521" s="125" t="s">
        <v>2383</v>
      </c>
      <c r="F521" s="191">
        <v>0.6666666666666666</v>
      </c>
      <c r="G521" s="192" t="s">
        <v>3583</v>
      </c>
      <c r="H521" s="193" t="s">
        <v>3584</v>
      </c>
      <c r="I521" s="125" t="s">
        <v>2385</v>
      </c>
      <c r="J521" s="211"/>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c r="A522" s="69"/>
      <c r="B522" s="38" t="s">
        <v>76</v>
      </c>
      <c r="C522" s="204" t="s">
        <v>140</v>
      </c>
      <c r="D522" s="125" t="s">
        <v>330</v>
      </c>
      <c r="E522" s="125" t="s">
        <v>331</v>
      </c>
      <c r="F522" s="191">
        <v>0.75</v>
      </c>
      <c r="G522" s="192" t="s">
        <v>3585</v>
      </c>
      <c r="H522" s="193" t="s">
        <v>3586</v>
      </c>
      <c r="I522" s="125" t="s">
        <v>3587</v>
      </c>
      <c r="J522" s="211"/>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c r="A523" s="79"/>
      <c r="B523" s="190">
        <v>44600.0</v>
      </c>
      <c r="C523" s="102"/>
      <c r="D523" s="202" t="s">
        <v>3570</v>
      </c>
      <c r="E523" s="62"/>
      <c r="F523" s="167"/>
      <c r="G523" s="159"/>
      <c r="H523" s="102"/>
      <c r="I523" s="71"/>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c r="A524" s="239" t="s">
        <v>3478</v>
      </c>
      <c r="B524" s="35" t="s">
        <v>76</v>
      </c>
      <c r="C524" s="66"/>
      <c r="D524" s="66"/>
      <c r="E524" s="66"/>
      <c r="F524" s="240"/>
      <c r="G524" s="66"/>
      <c r="H524" s="66"/>
      <c r="I524" s="66"/>
      <c r="J524" s="66"/>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c r="A525" s="69"/>
      <c r="B525" s="35" t="s">
        <v>76</v>
      </c>
      <c r="C525" s="102"/>
      <c r="D525" s="102"/>
      <c r="E525" s="66"/>
      <c r="F525" s="241"/>
      <c r="G525" s="128"/>
      <c r="H525" s="70"/>
      <c r="I525" s="70"/>
      <c r="J525" s="242"/>
      <c r="K525" s="107"/>
      <c r="L525" s="63"/>
      <c r="M525" s="63"/>
      <c r="N525" s="63"/>
      <c r="O525" s="63"/>
      <c r="P525" s="63"/>
      <c r="Q525" s="63"/>
      <c r="R525" s="63"/>
      <c r="S525" s="63"/>
      <c r="T525" s="63"/>
      <c r="U525" s="63"/>
      <c r="V525" s="63"/>
      <c r="W525" s="63"/>
      <c r="X525" s="63"/>
      <c r="Y525" s="63"/>
      <c r="Z525" s="63"/>
      <c r="AA525" s="63"/>
      <c r="AB525" s="63"/>
      <c r="AC525" s="63"/>
      <c r="AD525" s="63"/>
      <c r="AE525" s="63"/>
      <c r="AF525" s="63"/>
    </row>
    <row r="526">
      <c r="A526" s="69"/>
      <c r="B526" s="35" t="s">
        <v>76</v>
      </c>
      <c r="C526" s="16"/>
      <c r="D526" s="102"/>
      <c r="E526" s="243"/>
      <c r="F526" s="241"/>
      <c r="G526" s="128"/>
      <c r="H526" s="70"/>
      <c r="I526" s="70"/>
      <c r="J526" s="242"/>
      <c r="K526" s="107"/>
      <c r="L526" s="63"/>
      <c r="M526" s="63"/>
      <c r="N526" s="63"/>
      <c r="O526" s="63"/>
      <c r="P526" s="63"/>
      <c r="Q526" s="63"/>
      <c r="R526" s="63"/>
      <c r="S526" s="63"/>
      <c r="T526" s="63"/>
      <c r="U526" s="63"/>
      <c r="V526" s="63"/>
      <c r="W526" s="63"/>
      <c r="X526" s="63"/>
      <c r="Y526" s="63"/>
      <c r="Z526" s="63"/>
      <c r="AA526" s="63"/>
      <c r="AB526" s="63"/>
      <c r="AC526" s="63"/>
      <c r="AD526" s="63"/>
      <c r="AE526" s="63"/>
      <c r="AF526" s="63"/>
    </row>
    <row r="527">
      <c r="A527" s="69"/>
      <c r="B527" s="35" t="s">
        <v>76</v>
      </c>
      <c r="C527" s="236" t="s">
        <v>110</v>
      </c>
      <c r="D527" s="213" t="s">
        <v>1521</v>
      </c>
      <c r="E527" s="223" t="s">
        <v>1522</v>
      </c>
      <c r="F527" s="244">
        <v>0.625</v>
      </c>
      <c r="G527" s="245" t="s">
        <v>3588</v>
      </c>
      <c r="H527" s="236" t="s">
        <v>3589</v>
      </c>
      <c r="I527" s="237" t="s">
        <v>1525</v>
      </c>
      <c r="J527" s="236"/>
      <c r="K527" s="246"/>
      <c r="L527" s="107"/>
      <c r="M527" s="63"/>
      <c r="N527" s="63"/>
      <c r="O527" s="63"/>
      <c r="P527" s="63"/>
      <c r="Q527" s="63"/>
      <c r="R527" s="63"/>
      <c r="S527" s="63"/>
      <c r="T527" s="63"/>
      <c r="U527" s="63"/>
      <c r="V527" s="63"/>
      <c r="W527" s="63"/>
      <c r="X527" s="63"/>
      <c r="Y527" s="63"/>
      <c r="Z527" s="63"/>
      <c r="AA527" s="63"/>
      <c r="AB527" s="63"/>
      <c r="AC527" s="63"/>
      <c r="AD527" s="63"/>
      <c r="AE527" s="63"/>
      <c r="AF527" s="63"/>
    </row>
    <row r="528">
      <c r="A528" s="69"/>
      <c r="B528" s="35" t="s">
        <v>76</v>
      </c>
      <c r="C528" s="236" t="s">
        <v>110</v>
      </c>
      <c r="D528" s="213" t="s">
        <v>657</v>
      </c>
      <c r="E528" s="223" t="s">
        <v>658</v>
      </c>
      <c r="F528" s="244">
        <v>0.6666666666666666</v>
      </c>
      <c r="G528" s="245" t="s">
        <v>3590</v>
      </c>
      <c r="H528" s="236" t="s">
        <v>3591</v>
      </c>
      <c r="I528" s="237" t="s">
        <v>660</v>
      </c>
      <c r="J528" s="236"/>
      <c r="K528" s="246"/>
      <c r="L528" s="107"/>
      <c r="M528" s="63"/>
      <c r="N528" s="63"/>
      <c r="O528" s="63"/>
      <c r="P528" s="63"/>
      <c r="Q528" s="63"/>
      <c r="R528" s="63"/>
      <c r="S528" s="63"/>
      <c r="T528" s="63"/>
      <c r="U528" s="63"/>
      <c r="V528" s="63"/>
      <c r="W528" s="63"/>
      <c r="X528" s="63"/>
      <c r="Y528" s="63"/>
      <c r="Z528" s="63"/>
      <c r="AA528" s="63"/>
      <c r="AB528" s="63"/>
      <c r="AC528" s="63"/>
      <c r="AD528" s="63"/>
      <c r="AE528" s="63"/>
      <c r="AF528" s="63"/>
    </row>
    <row r="529">
      <c r="A529" s="69"/>
      <c r="B529" s="35" t="s">
        <v>76</v>
      </c>
      <c r="C529" s="236" t="s">
        <v>110</v>
      </c>
      <c r="D529" s="247" t="s">
        <v>1616</v>
      </c>
      <c r="E529" s="248" t="s">
        <v>1617</v>
      </c>
      <c r="F529" s="244">
        <v>0.6666666666666666</v>
      </c>
      <c r="G529" s="236" t="s">
        <v>3590</v>
      </c>
      <c r="H529" s="236" t="s">
        <v>3591</v>
      </c>
      <c r="I529" s="228" t="s">
        <v>660</v>
      </c>
      <c r="J529" s="249" t="s">
        <v>3592</v>
      </c>
      <c r="K529" s="246"/>
      <c r="L529" s="107"/>
      <c r="M529" s="63"/>
      <c r="N529" s="63"/>
      <c r="O529" s="63"/>
      <c r="P529" s="63"/>
      <c r="Q529" s="63"/>
      <c r="R529" s="63"/>
      <c r="S529" s="63"/>
      <c r="T529" s="63"/>
      <c r="U529" s="63"/>
      <c r="V529" s="63"/>
      <c r="W529" s="63"/>
      <c r="X529" s="63"/>
      <c r="Y529" s="63"/>
      <c r="Z529" s="63"/>
      <c r="AA529" s="63"/>
      <c r="AB529" s="63"/>
      <c r="AC529" s="63"/>
      <c r="AD529" s="63"/>
      <c r="AE529" s="63"/>
      <c r="AF529" s="63"/>
    </row>
    <row r="530">
      <c r="A530" s="69"/>
      <c r="B530" s="35" t="s">
        <v>76</v>
      </c>
      <c r="C530" s="236" t="s">
        <v>110</v>
      </c>
      <c r="D530" s="250" t="s">
        <v>1316</v>
      </c>
      <c r="E530" s="250" t="s">
        <v>1317</v>
      </c>
      <c r="F530" s="244">
        <v>0.7083333333333334</v>
      </c>
      <c r="G530" s="236" t="s">
        <v>3593</v>
      </c>
      <c r="H530" s="236" t="s">
        <v>3594</v>
      </c>
      <c r="I530" s="237" t="s">
        <v>1319</v>
      </c>
      <c r="J530" s="246"/>
      <c r="K530" s="246"/>
      <c r="L530" s="107"/>
      <c r="M530" s="63"/>
      <c r="N530" s="63"/>
      <c r="O530" s="63"/>
      <c r="P530" s="63"/>
      <c r="Q530" s="63"/>
      <c r="R530" s="63"/>
      <c r="S530" s="63"/>
      <c r="T530" s="63"/>
      <c r="U530" s="63"/>
      <c r="V530" s="63"/>
      <c r="W530" s="63"/>
      <c r="X530" s="63"/>
      <c r="Y530" s="63"/>
      <c r="Z530" s="63"/>
      <c r="AA530" s="63"/>
      <c r="AB530" s="63"/>
      <c r="AC530" s="63"/>
      <c r="AD530" s="63"/>
      <c r="AE530" s="63"/>
      <c r="AF530" s="63"/>
    </row>
    <row r="531">
      <c r="A531" s="79"/>
      <c r="B531" s="35" t="s">
        <v>76</v>
      </c>
      <c r="C531" s="70"/>
      <c r="D531" s="243"/>
      <c r="E531" s="229"/>
      <c r="F531" s="128"/>
      <c r="G531" s="70"/>
      <c r="H531" s="70"/>
      <c r="I531" s="241"/>
      <c r="J531" s="251"/>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c r="A532" s="189"/>
      <c r="B532" s="190">
        <v>44601.0</v>
      </c>
      <c r="C532" s="70"/>
      <c r="D532" s="229"/>
      <c r="E532" s="229"/>
      <c r="F532" s="128"/>
      <c r="G532" s="70"/>
      <c r="H532" s="70"/>
      <c r="I532" s="242"/>
      <c r="J532" s="107"/>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c r="A533" s="239" t="s">
        <v>3478</v>
      </c>
      <c r="B533" s="35" t="s">
        <v>76</v>
      </c>
      <c r="C533" s="102"/>
      <c r="D533" s="109"/>
      <c r="E533" s="109"/>
      <c r="F533" s="167"/>
      <c r="G533" s="159"/>
      <c r="H533" s="102"/>
      <c r="I533" s="71"/>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c r="A534" s="69"/>
      <c r="B534" s="35" t="s">
        <v>76</v>
      </c>
      <c r="C534" s="193" t="s">
        <v>127</v>
      </c>
      <c r="D534" s="125" t="s">
        <v>717</v>
      </c>
      <c r="E534" s="125" t="s">
        <v>718</v>
      </c>
      <c r="F534" s="191">
        <v>0.5</v>
      </c>
      <c r="G534" s="192" t="s">
        <v>3090</v>
      </c>
      <c r="H534" s="193" t="s">
        <v>3595</v>
      </c>
      <c r="I534" s="125" t="s">
        <v>720</v>
      </c>
      <c r="J534" s="63"/>
      <c r="K534" s="66"/>
      <c r="L534" s="63"/>
      <c r="M534" s="63"/>
      <c r="N534" s="63"/>
      <c r="O534" s="63"/>
      <c r="P534" s="63"/>
      <c r="Q534" s="63"/>
      <c r="R534" s="63"/>
      <c r="S534" s="63"/>
      <c r="T534" s="63"/>
      <c r="U534" s="63"/>
      <c r="V534" s="63"/>
      <c r="W534" s="63"/>
      <c r="X534" s="63"/>
      <c r="Y534" s="63"/>
      <c r="Z534" s="63"/>
      <c r="AA534" s="63"/>
      <c r="AB534" s="63"/>
      <c r="AC534" s="63"/>
      <c r="AD534" s="63"/>
      <c r="AE534" s="63"/>
      <c r="AF534" s="63"/>
    </row>
    <row r="535">
      <c r="A535" s="69"/>
      <c r="B535" s="35" t="s">
        <v>76</v>
      </c>
      <c r="C535" s="236" t="s">
        <v>127</v>
      </c>
      <c r="D535" s="223" t="s">
        <v>894</v>
      </c>
      <c r="E535" s="223" t="s">
        <v>895</v>
      </c>
      <c r="F535" s="252">
        <v>0.5833333333333334</v>
      </c>
      <c r="G535" s="236" t="s">
        <v>3557</v>
      </c>
      <c r="H535" s="236" t="s">
        <v>3558</v>
      </c>
      <c r="I535" s="237" t="s">
        <v>897</v>
      </c>
      <c r="J535" s="63"/>
      <c r="K535" s="66"/>
      <c r="L535" s="63"/>
      <c r="M535" s="63"/>
      <c r="N535" s="63"/>
      <c r="O535" s="63"/>
      <c r="P535" s="63"/>
      <c r="Q535" s="63"/>
      <c r="R535" s="63"/>
      <c r="S535" s="63"/>
      <c r="T535" s="63"/>
      <c r="U535" s="63"/>
      <c r="V535" s="63"/>
      <c r="W535" s="63"/>
      <c r="X535" s="63"/>
      <c r="Y535" s="63"/>
      <c r="Z535" s="63"/>
      <c r="AA535" s="63"/>
      <c r="AB535" s="63"/>
      <c r="AC535" s="63"/>
      <c r="AD535" s="63"/>
      <c r="AE535" s="63"/>
      <c r="AF535" s="63"/>
    </row>
    <row r="536">
      <c r="A536" s="69"/>
      <c r="B536" s="35" t="s">
        <v>76</v>
      </c>
      <c r="C536" s="131" t="s">
        <v>3461</v>
      </c>
      <c r="D536" s="81" t="s">
        <v>1234</v>
      </c>
      <c r="E536" s="81" t="s">
        <v>1235</v>
      </c>
      <c r="F536" s="234" t="s">
        <v>3596</v>
      </c>
      <c r="G536" s="112" t="s">
        <v>3155</v>
      </c>
      <c r="H536" s="112" t="s">
        <v>3597</v>
      </c>
      <c r="I536" s="81" t="s">
        <v>1237</v>
      </c>
      <c r="J536" s="102" t="s">
        <v>3598</v>
      </c>
      <c r="K536" s="66"/>
      <c r="L536" s="63"/>
      <c r="M536" s="63"/>
      <c r="N536" s="63"/>
      <c r="O536" s="63"/>
      <c r="P536" s="63"/>
      <c r="Q536" s="63"/>
      <c r="R536" s="63"/>
      <c r="S536" s="63"/>
      <c r="T536" s="63"/>
      <c r="U536" s="63"/>
      <c r="V536" s="63"/>
      <c r="W536" s="63"/>
      <c r="X536" s="63"/>
      <c r="Y536" s="63"/>
      <c r="Z536" s="63"/>
      <c r="AA536" s="63"/>
      <c r="AB536" s="63"/>
      <c r="AC536" s="63"/>
      <c r="AD536" s="63"/>
      <c r="AE536" s="63"/>
      <c r="AF536" s="63"/>
    </row>
    <row r="537">
      <c r="A537" s="69"/>
      <c r="B537" s="35" t="s">
        <v>76</v>
      </c>
      <c r="C537" s="193" t="s">
        <v>127</v>
      </c>
      <c r="D537" s="125" t="s">
        <v>1094</v>
      </c>
      <c r="E537" s="125" t="s">
        <v>1095</v>
      </c>
      <c r="F537" s="208" t="s">
        <v>3599</v>
      </c>
      <c r="G537" s="192" t="s">
        <v>3386</v>
      </c>
      <c r="H537" s="193" t="s">
        <v>3600</v>
      </c>
      <c r="I537" s="125" t="s">
        <v>1097</v>
      </c>
      <c r="J537" s="63"/>
      <c r="K537" s="66"/>
      <c r="L537" s="63"/>
      <c r="M537" s="63"/>
      <c r="N537" s="63"/>
      <c r="O537" s="63"/>
      <c r="P537" s="63"/>
      <c r="Q537" s="63"/>
      <c r="R537" s="63"/>
      <c r="S537" s="63"/>
      <c r="T537" s="63"/>
      <c r="U537" s="63"/>
      <c r="V537" s="63"/>
      <c r="W537" s="63"/>
      <c r="X537" s="63"/>
      <c r="Y537" s="63"/>
      <c r="Z537" s="63"/>
      <c r="AA537" s="63"/>
      <c r="AB537" s="63"/>
      <c r="AC537" s="63"/>
      <c r="AD537" s="63"/>
      <c r="AE537" s="63"/>
      <c r="AF537" s="63"/>
    </row>
    <row r="538">
      <c r="A538" s="69"/>
      <c r="B538" s="35" t="s">
        <v>76</v>
      </c>
      <c r="C538" s="214" t="s">
        <v>3461</v>
      </c>
      <c r="D538" s="125" t="s">
        <v>2747</v>
      </c>
      <c r="E538" s="125" t="s">
        <v>2748</v>
      </c>
      <c r="F538" s="208" t="s">
        <v>3601</v>
      </c>
      <c r="G538" s="192" t="s">
        <v>3113</v>
      </c>
      <c r="H538" s="193" t="s">
        <v>3602</v>
      </c>
      <c r="I538" s="125" t="s">
        <v>2750</v>
      </c>
      <c r="J538" s="63"/>
      <c r="K538" s="66"/>
      <c r="L538" s="63"/>
      <c r="M538" s="63"/>
      <c r="N538" s="63"/>
      <c r="O538" s="63"/>
      <c r="P538" s="63"/>
      <c r="Q538" s="63"/>
      <c r="R538" s="63"/>
      <c r="S538" s="63"/>
      <c r="T538" s="63"/>
      <c r="U538" s="63"/>
      <c r="V538" s="63"/>
      <c r="W538" s="63"/>
      <c r="X538" s="63"/>
      <c r="Y538" s="63"/>
      <c r="Z538" s="63"/>
      <c r="AA538" s="63"/>
      <c r="AB538" s="63"/>
      <c r="AC538" s="63"/>
      <c r="AD538" s="63"/>
      <c r="AE538" s="63"/>
      <c r="AF538" s="63"/>
    </row>
    <row r="539">
      <c r="A539" s="79"/>
      <c r="B539" s="35" t="s">
        <v>76</v>
      </c>
      <c r="C539" s="214" t="s">
        <v>3461</v>
      </c>
      <c r="D539" s="223" t="s">
        <v>2506</v>
      </c>
      <c r="E539" s="223" t="s">
        <v>2507</v>
      </c>
      <c r="F539" s="253" t="s">
        <v>3601</v>
      </c>
      <c r="G539" s="192" t="s">
        <v>3106</v>
      </c>
      <c r="H539" s="204" t="s">
        <v>2508</v>
      </c>
      <c r="I539" s="228" t="s">
        <v>1720</v>
      </c>
      <c r="J539" s="102" t="s">
        <v>3603</v>
      </c>
      <c r="K539" s="66"/>
      <c r="L539" s="63"/>
      <c r="M539" s="63"/>
      <c r="N539" s="63"/>
      <c r="O539" s="63"/>
      <c r="P539" s="63"/>
      <c r="Q539" s="63"/>
      <c r="R539" s="63"/>
      <c r="S539" s="63"/>
      <c r="T539" s="63"/>
      <c r="U539" s="63"/>
      <c r="V539" s="63"/>
      <c r="W539" s="63"/>
      <c r="X539" s="63"/>
      <c r="Y539" s="63"/>
      <c r="Z539" s="63"/>
      <c r="AA539" s="63"/>
      <c r="AB539" s="63"/>
      <c r="AC539" s="63"/>
      <c r="AD539" s="63"/>
      <c r="AE539" s="63"/>
      <c r="AF539" s="63"/>
    </row>
    <row r="540">
      <c r="A540" s="189"/>
      <c r="B540" s="190">
        <v>44602.0</v>
      </c>
      <c r="C540" s="102"/>
      <c r="D540" s="109"/>
      <c r="E540" s="109"/>
      <c r="F540" s="167"/>
      <c r="G540" s="159"/>
      <c r="H540" s="102"/>
      <c r="I540" s="71"/>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c r="A541" s="239" t="s">
        <v>3478</v>
      </c>
      <c r="B541" s="35" t="s">
        <v>76</v>
      </c>
      <c r="C541" s="102"/>
      <c r="D541" s="109"/>
      <c r="E541" s="109"/>
      <c r="F541" s="167"/>
      <c r="G541" s="159"/>
      <c r="H541" s="102"/>
      <c r="I541" s="71"/>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c r="A542" s="69"/>
      <c r="B542" s="35" t="s">
        <v>76</v>
      </c>
      <c r="C542" s="102"/>
      <c r="D542" s="109"/>
      <c r="E542" s="221" t="s">
        <v>3604</v>
      </c>
      <c r="F542" s="167"/>
      <c r="G542" s="159"/>
      <c r="H542" s="102"/>
      <c r="I542" s="71"/>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c r="A543" s="69"/>
      <c r="B543" s="35" t="s">
        <v>76</v>
      </c>
      <c r="C543" s="102"/>
      <c r="D543" s="109"/>
      <c r="E543" s="109"/>
      <c r="F543" s="167"/>
      <c r="G543" s="159"/>
      <c r="H543" s="102"/>
      <c r="I543" s="71"/>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c r="A544" s="69"/>
      <c r="B544" s="35" t="s">
        <v>76</v>
      </c>
      <c r="C544" s="204" t="s">
        <v>110</v>
      </c>
      <c r="D544" s="214" t="s">
        <v>642</v>
      </c>
      <c r="E544" s="213" t="s">
        <v>643</v>
      </c>
      <c r="F544" s="191">
        <v>0.5416666666666666</v>
      </c>
      <c r="G544" s="192" t="s">
        <v>3510</v>
      </c>
      <c r="H544" s="193" t="s">
        <v>3605</v>
      </c>
      <c r="I544" s="125" t="s">
        <v>645</v>
      </c>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c r="A545" s="69"/>
      <c r="B545" s="35" t="s">
        <v>76</v>
      </c>
      <c r="C545" s="204" t="s">
        <v>110</v>
      </c>
      <c r="D545" s="125" t="s">
        <v>1370</v>
      </c>
      <c r="E545" s="125" t="s">
        <v>1371</v>
      </c>
      <c r="F545" s="191">
        <v>0.625</v>
      </c>
      <c r="G545" s="192" t="s">
        <v>3510</v>
      </c>
      <c r="H545" s="193" t="s">
        <v>3606</v>
      </c>
      <c r="I545" s="125" t="s">
        <v>1373</v>
      </c>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c r="A546" s="69"/>
      <c r="B546" s="35" t="s">
        <v>76</v>
      </c>
      <c r="C546" s="210" t="s">
        <v>110</v>
      </c>
      <c r="D546" s="81" t="s">
        <v>195</v>
      </c>
      <c r="E546" s="81" t="s">
        <v>196</v>
      </c>
      <c r="F546" s="157">
        <v>0.7083333333333334</v>
      </c>
      <c r="G546" s="146" t="s">
        <v>3510</v>
      </c>
      <c r="H546" s="147" t="s">
        <v>3511</v>
      </c>
      <c r="I546" s="81" t="s">
        <v>198</v>
      </c>
      <c r="J546" s="216" t="s">
        <v>3607</v>
      </c>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c r="A547" s="79"/>
      <c r="B547" s="35" t="s">
        <v>76</v>
      </c>
      <c r="C547" s="204" t="s">
        <v>110</v>
      </c>
      <c r="D547" s="125" t="s">
        <v>1555</v>
      </c>
      <c r="E547" s="125" t="s">
        <v>1556</v>
      </c>
      <c r="F547" s="191">
        <v>0.7708333333333334</v>
      </c>
      <c r="G547" s="192" t="s">
        <v>3510</v>
      </c>
      <c r="H547" s="193" t="s">
        <v>3608</v>
      </c>
      <c r="I547" s="125" t="s">
        <v>1558</v>
      </c>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c r="A548" s="189"/>
      <c r="B548" s="190">
        <v>44603.0</v>
      </c>
      <c r="C548" s="102"/>
      <c r="D548" s="109"/>
      <c r="E548" s="109"/>
      <c r="F548" s="167"/>
      <c r="G548" s="159"/>
      <c r="H548" s="102"/>
      <c r="I548" s="71"/>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c r="A549" s="239" t="s">
        <v>3478</v>
      </c>
      <c r="B549" s="35" t="s">
        <v>76</v>
      </c>
      <c r="C549" s="102"/>
      <c r="D549" s="109"/>
      <c r="E549" s="109"/>
      <c r="F549" s="167"/>
      <c r="G549" s="159"/>
      <c r="H549" s="102"/>
      <c r="I549" s="71"/>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c r="A550" s="69"/>
      <c r="B550" s="35" t="s">
        <v>76</v>
      </c>
      <c r="C550" s="102"/>
      <c r="D550" s="109"/>
      <c r="E550" s="221" t="s">
        <v>3609</v>
      </c>
      <c r="F550" s="167"/>
      <c r="G550" s="159"/>
      <c r="H550" s="102"/>
      <c r="I550" s="71"/>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c r="A551" s="69"/>
      <c r="B551" s="35" t="s">
        <v>76</v>
      </c>
      <c r="C551" s="210" t="s">
        <v>110</v>
      </c>
      <c r="D551" s="81" t="s">
        <v>104</v>
      </c>
      <c r="E551" s="81" t="s">
        <v>105</v>
      </c>
      <c r="F551" s="157">
        <v>0.5833333333333334</v>
      </c>
      <c r="G551" s="146" t="s">
        <v>3516</v>
      </c>
      <c r="H551" s="147" t="s">
        <v>3517</v>
      </c>
      <c r="I551" s="81" t="s">
        <v>108</v>
      </c>
      <c r="J551" s="238"/>
      <c r="K551" s="102" t="s">
        <v>3610</v>
      </c>
      <c r="L551" s="102"/>
      <c r="M551" s="63"/>
      <c r="N551" s="63"/>
      <c r="O551" s="63"/>
      <c r="P551" s="63"/>
      <c r="Q551" s="63"/>
      <c r="R551" s="63"/>
      <c r="S551" s="63"/>
      <c r="T551" s="63"/>
      <c r="U551" s="63"/>
      <c r="V551" s="63"/>
      <c r="W551" s="63"/>
      <c r="X551" s="63"/>
      <c r="Y551" s="63"/>
      <c r="Z551" s="63"/>
      <c r="AA551" s="63"/>
      <c r="AB551" s="63"/>
      <c r="AC551" s="63"/>
      <c r="AD551" s="63"/>
      <c r="AE551" s="63"/>
      <c r="AF551" s="63"/>
    </row>
    <row r="552">
      <c r="A552" s="69"/>
      <c r="B552" s="35" t="s">
        <v>76</v>
      </c>
      <c r="C552" s="210" t="s">
        <v>110</v>
      </c>
      <c r="D552" s="81" t="s">
        <v>1175</v>
      </c>
      <c r="E552" s="81" t="s">
        <v>1176</v>
      </c>
      <c r="F552" s="157">
        <v>0.5833333333333334</v>
      </c>
      <c r="G552" s="146" t="s">
        <v>3516</v>
      </c>
      <c r="H552" s="147" t="s">
        <v>3517</v>
      </c>
      <c r="I552" s="81" t="s">
        <v>108</v>
      </c>
      <c r="J552" s="238"/>
      <c r="K552" s="102" t="s">
        <v>3610</v>
      </c>
      <c r="L552" s="102"/>
      <c r="M552" s="63"/>
      <c r="N552" s="63"/>
      <c r="O552" s="63"/>
      <c r="P552" s="63"/>
      <c r="Q552" s="63"/>
      <c r="R552" s="63"/>
      <c r="S552" s="63"/>
      <c r="T552" s="63"/>
      <c r="U552" s="63"/>
      <c r="V552" s="63"/>
      <c r="W552" s="63"/>
      <c r="X552" s="63"/>
      <c r="Y552" s="63"/>
      <c r="Z552" s="63"/>
      <c r="AA552" s="63"/>
      <c r="AB552" s="63"/>
      <c r="AC552" s="63"/>
      <c r="AD552" s="63"/>
      <c r="AE552" s="63"/>
      <c r="AF552" s="63"/>
    </row>
    <row r="553">
      <c r="A553" s="69"/>
      <c r="B553" s="35" t="s">
        <v>76</v>
      </c>
      <c r="C553" s="210" t="s">
        <v>110</v>
      </c>
      <c r="D553" s="81" t="s">
        <v>1962</v>
      </c>
      <c r="E553" s="81" t="s">
        <v>1963</v>
      </c>
      <c r="F553" s="157">
        <v>0.6458333333333334</v>
      </c>
      <c r="G553" s="146" t="s">
        <v>3611</v>
      </c>
      <c r="H553" s="147" t="s">
        <v>3612</v>
      </c>
      <c r="I553" s="81" t="s">
        <v>1965</v>
      </c>
      <c r="J553" s="163"/>
      <c r="K553" s="102" t="s">
        <v>3613</v>
      </c>
      <c r="L553" s="102"/>
      <c r="M553" s="63"/>
      <c r="N553" s="63"/>
      <c r="O553" s="63"/>
      <c r="P553" s="63"/>
      <c r="Q553" s="63"/>
      <c r="R553" s="63"/>
      <c r="S553" s="63"/>
      <c r="T553" s="63"/>
      <c r="U553" s="63"/>
      <c r="V553" s="63"/>
      <c r="W553" s="63"/>
      <c r="X553" s="63"/>
      <c r="Y553" s="63"/>
      <c r="Z553" s="63"/>
      <c r="AA553" s="63"/>
      <c r="AB553" s="63"/>
      <c r="AC553" s="63"/>
      <c r="AD553" s="63"/>
      <c r="AE553" s="63"/>
      <c r="AF553" s="63"/>
    </row>
    <row r="554">
      <c r="A554" s="69"/>
      <c r="B554" s="35" t="s">
        <v>76</v>
      </c>
      <c r="C554" s="204" t="s">
        <v>110</v>
      </c>
      <c r="D554" s="125" t="s">
        <v>388</v>
      </c>
      <c r="E554" s="125" t="s">
        <v>389</v>
      </c>
      <c r="F554" s="191">
        <v>0.7083333333333334</v>
      </c>
      <c r="G554" s="192" t="s">
        <v>3528</v>
      </c>
      <c r="H554" s="193" t="s">
        <v>3614</v>
      </c>
      <c r="I554" s="125" t="s">
        <v>392</v>
      </c>
      <c r="J554" s="211"/>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c r="A555" s="79"/>
      <c r="B555" s="35" t="s">
        <v>76</v>
      </c>
      <c r="C555" s="214" t="s">
        <v>3461</v>
      </c>
      <c r="D555" s="125" t="s">
        <v>881</v>
      </c>
      <c r="E555" s="125" t="s">
        <v>882</v>
      </c>
      <c r="F555" s="208" t="s">
        <v>3249</v>
      </c>
      <c r="G555" s="192" t="s">
        <v>3615</v>
      </c>
      <c r="H555" s="193" t="s">
        <v>3616</v>
      </c>
      <c r="I555" s="125" t="s">
        <v>885</v>
      </c>
      <c r="J555" s="211"/>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c r="A556" s="189"/>
      <c r="B556" s="190">
        <v>44606.0</v>
      </c>
      <c r="C556" s="102"/>
      <c r="D556" s="109"/>
      <c r="E556" s="109"/>
      <c r="F556" s="167"/>
      <c r="G556" s="159"/>
      <c r="H556" s="102"/>
      <c r="I556" s="71"/>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c r="A557" s="239" t="s">
        <v>3478</v>
      </c>
      <c r="B557" s="35" t="s">
        <v>76</v>
      </c>
      <c r="C557" s="102"/>
      <c r="D557" s="109"/>
      <c r="E557" s="109"/>
      <c r="F557" s="167"/>
      <c r="G557" s="159"/>
      <c r="H557" s="102"/>
      <c r="I557" s="71"/>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c r="A558" s="69"/>
      <c r="B558" s="35" t="s">
        <v>76</v>
      </c>
      <c r="C558" s="193" t="s">
        <v>127</v>
      </c>
      <c r="D558" s="125" t="s">
        <v>623</v>
      </c>
      <c r="E558" s="125" t="s">
        <v>624</v>
      </c>
      <c r="F558" s="191">
        <v>0.4166666666666667</v>
      </c>
      <c r="G558" s="192" t="s">
        <v>3617</v>
      </c>
      <c r="H558" s="193" t="s">
        <v>3618</v>
      </c>
      <c r="I558" s="125" t="s">
        <v>626</v>
      </c>
      <c r="J558" s="193" t="s">
        <v>627</v>
      </c>
      <c r="K558" s="211"/>
      <c r="L558" s="63"/>
      <c r="M558" s="63"/>
      <c r="N558" s="63"/>
      <c r="O558" s="63"/>
      <c r="P558" s="63"/>
      <c r="Q558" s="63"/>
      <c r="R558" s="63"/>
      <c r="S558" s="63"/>
      <c r="T558" s="63"/>
      <c r="U558" s="63"/>
      <c r="V558" s="63"/>
      <c r="W558" s="63"/>
      <c r="X558" s="63"/>
      <c r="Y558" s="63"/>
      <c r="Z558" s="63"/>
      <c r="AA558" s="63"/>
      <c r="AB558" s="63"/>
      <c r="AC558" s="63"/>
      <c r="AD558" s="63"/>
      <c r="AE558" s="63"/>
      <c r="AF558" s="63"/>
    </row>
    <row r="559">
      <c r="A559" s="69"/>
      <c r="B559" s="35" t="s">
        <v>76</v>
      </c>
      <c r="C559" s="214" t="s">
        <v>3619</v>
      </c>
      <c r="D559" s="125" t="s">
        <v>104</v>
      </c>
      <c r="E559" s="125" t="s">
        <v>105</v>
      </c>
      <c r="F559" s="191">
        <v>0.5833333333333334</v>
      </c>
      <c r="G559" s="192" t="s">
        <v>3516</v>
      </c>
      <c r="H559" s="193" t="s">
        <v>3517</v>
      </c>
      <c r="I559" s="125" t="s">
        <v>108</v>
      </c>
      <c r="J559" s="254"/>
      <c r="K559" s="211"/>
      <c r="L559" s="63"/>
      <c r="M559" s="63"/>
      <c r="N559" s="63"/>
      <c r="O559" s="63"/>
      <c r="P559" s="63"/>
      <c r="Q559" s="63"/>
      <c r="R559" s="63"/>
      <c r="S559" s="63"/>
      <c r="T559" s="63"/>
      <c r="U559" s="63"/>
      <c r="V559" s="63"/>
      <c r="W559" s="63"/>
      <c r="X559" s="63"/>
      <c r="Y559" s="63"/>
      <c r="Z559" s="63"/>
      <c r="AA559" s="63"/>
      <c r="AB559" s="63"/>
      <c r="AC559" s="63"/>
      <c r="AD559" s="63"/>
      <c r="AE559" s="63"/>
      <c r="AF559" s="63"/>
    </row>
    <row r="560">
      <c r="A560" s="69"/>
      <c r="B560" s="35" t="s">
        <v>76</v>
      </c>
      <c r="C560" s="214" t="s">
        <v>3619</v>
      </c>
      <c r="D560" s="125" t="s">
        <v>1175</v>
      </c>
      <c r="E560" s="125" t="s">
        <v>1176</v>
      </c>
      <c r="F560" s="191">
        <v>0.5833333333333334</v>
      </c>
      <c r="G560" s="192" t="s">
        <v>3516</v>
      </c>
      <c r="H560" s="193" t="s">
        <v>3517</v>
      </c>
      <c r="I560" s="125" t="s">
        <v>108</v>
      </c>
      <c r="J560" s="254"/>
      <c r="K560" s="211"/>
      <c r="L560" s="63"/>
      <c r="M560" s="63"/>
      <c r="N560" s="63"/>
      <c r="O560" s="63"/>
      <c r="P560" s="63"/>
      <c r="Q560" s="63"/>
      <c r="R560" s="63"/>
      <c r="S560" s="63"/>
      <c r="T560" s="63"/>
      <c r="U560" s="63"/>
      <c r="V560" s="63"/>
      <c r="W560" s="63"/>
      <c r="X560" s="63"/>
      <c r="Y560" s="63"/>
      <c r="Z560" s="63"/>
      <c r="AA560" s="63"/>
      <c r="AB560" s="63"/>
      <c r="AC560" s="63"/>
      <c r="AD560" s="63"/>
      <c r="AE560" s="63"/>
      <c r="AF560" s="63"/>
    </row>
    <row r="561">
      <c r="A561" s="69"/>
      <c r="B561" s="35" t="s">
        <v>76</v>
      </c>
      <c r="C561" s="214" t="s">
        <v>3619</v>
      </c>
      <c r="D561" s="125" t="s">
        <v>522</v>
      </c>
      <c r="E561" s="125" t="s">
        <v>523</v>
      </c>
      <c r="F561" s="208" t="s">
        <v>3049</v>
      </c>
      <c r="G561" s="192" t="s">
        <v>3620</v>
      </c>
      <c r="H561" s="193" t="s">
        <v>3621</v>
      </c>
      <c r="I561" s="125" t="s">
        <v>526</v>
      </c>
      <c r="J561" s="211"/>
      <c r="K561" s="211"/>
      <c r="L561" s="63"/>
      <c r="M561" s="63"/>
      <c r="N561" s="63"/>
      <c r="O561" s="63"/>
      <c r="P561" s="63"/>
      <c r="Q561" s="63"/>
      <c r="R561" s="63"/>
      <c r="S561" s="63"/>
      <c r="T561" s="63"/>
      <c r="U561" s="63"/>
      <c r="V561" s="63"/>
      <c r="W561" s="63"/>
      <c r="X561" s="63"/>
      <c r="Y561" s="63"/>
      <c r="Z561" s="63"/>
      <c r="AA561" s="63"/>
      <c r="AB561" s="63"/>
      <c r="AC561" s="63"/>
      <c r="AD561" s="63"/>
      <c r="AE561" s="63"/>
      <c r="AF561" s="63"/>
    </row>
    <row r="562">
      <c r="A562" s="79"/>
      <c r="B562" s="35" t="s">
        <v>76</v>
      </c>
      <c r="C562" s="214" t="s">
        <v>3619</v>
      </c>
      <c r="D562" s="255" t="s">
        <v>152</v>
      </c>
      <c r="E562" s="255" t="s">
        <v>153</v>
      </c>
      <c r="F562" s="208" t="s">
        <v>3249</v>
      </c>
      <c r="G562" s="192" t="s">
        <v>3622</v>
      </c>
      <c r="H562" s="193" t="s">
        <v>3623</v>
      </c>
      <c r="I562" s="125" t="s">
        <v>156</v>
      </c>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c r="A563" s="189"/>
      <c r="B563" s="190">
        <v>44607.0</v>
      </c>
      <c r="C563" s="102"/>
      <c r="D563" s="109"/>
      <c r="E563" s="109"/>
      <c r="F563" s="167"/>
      <c r="G563" s="159"/>
      <c r="H563" s="102"/>
      <c r="I563" s="71"/>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c r="A564" s="239" t="s">
        <v>3478</v>
      </c>
      <c r="B564" s="35" t="s">
        <v>76</v>
      </c>
      <c r="C564" s="102"/>
      <c r="D564" s="109"/>
      <c r="E564" s="109"/>
      <c r="F564" s="167"/>
      <c r="G564" s="159"/>
      <c r="H564" s="102"/>
      <c r="I564" s="71"/>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c r="A565" s="69"/>
      <c r="B565" s="35" t="s">
        <v>76</v>
      </c>
      <c r="C565" s="193" t="s">
        <v>86</v>
      </c>
      <c r="D565" s="125" t="s">
        <v>2118</v>
      </c>
      <c r="E565" s="125" t="s">
        <v>2119</v>
      </c>
      <c r="F565" s="191">
        <v>0.5</v>
      </c>
      <c r="G565" s="192" t="s">
        <v>3125</v>
      </c>
      <c r="H565" s="125" t="s">
        <v>3624</v>
      </c>
      <c r="I565" s="125" t="s">
        <v>2121</v>
      </c>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c r="A566" s="69"/>
      <c r="B566" s="35" t="s">
        <v>76</v>
      </c>
      <c r="C566" s="193" t="s">
        <v>86</v>
      </c>
      <c r="D566" s="125" t="s">
        <v>927</v>
      </c>
      <c r="E566" s="125" t="s">
        <v>928</v>
      </c>
      <c r="F566" s="191">
        <v>0.5416666666666666</v>
      </c>
      <c r="G566" s="192" t="s">
        <v>3113</v>
      </c>
      <c r="H566" s="193" t="s">
        <v>3625</v>
      </c>
      <c r="I566" s="125" t="s">
        <v>930</v>
      </c>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c r="A567" s="69"/>
      <c r="B567" s="35" t="s">
        <v>76</v>
      </c>
      <c r="C567" s="214" t="s">
        <v>3461</v>
      </c>
      <c r="D567" s="125" t="s">
        <v>2797</v>
      </c>
      <c r="E567" s="125" t="s">
        <v>2798</v>
      </c>
      <c r="F567" s="208" t="s">
        <v>3014</v>
      </c>
      <c r="G567" s="192" t="s">
        <v>3113</v>
      </c>
      <c r="H567" s="193" t="s">
        <v>3626</v>
      </c>
      <c r="I567" s="125" t="s">
        <v>2800</v>
      </c>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c r="A568" s="69"/>
      <c r="B568" s="35" t="s">
        <v>76</v>
      </c>
      <c r="C568" s="193" t="s">
        <v>86</v>
      </c>
      <c r="D568" s="125" t="s">
        <v>571</v>
      </c>
      <c r="E568" s="125" t="s">
        <v>572</v>
      </c>
      <c r="F568" s="191">
        <v>0.7083333333333334</v>
      </c>
      <c r="G568" s="192" t="s">
        <v>3113</v>
      </c>
      <c r="H568" s="193" t="s">
        <v>3627</v>
      </c>
      <c r="I568" s="125" t="s">
        <v>574</v>
      </c>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c r="A569" s="69"/>
      <c r="B569" s="35" t="s">
        <v>76</v>
      </c>
      <c r="C569" s="102"/>
      <c r="D569" s="109"/>
      <c r="E569" s="109"/>
      <c r="F569" s="167"/>
      <c r="G569" s="159"/>
      <c r="H569" s="102"/>
      <c r="I569" s="71"/>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c r="A570" s="79"/>
      <c r="B570" s="35" t="s">
        <v>76</v>
      </c>
      <c r="C570" s="102"/>
      <c r="D570" s="109"/>
      <c r="E570" s="109"/>
      <c r="F570" s="167"/>
      <c r="G570" s="159"/>
      <c r="H570" s="102"/>
      <c r="I570" s="71"/>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c r="A571" s="189"/>
      <c r="B571" s="190">
        <v>44608.0</v>
      </c>
      <c r="C571" s="102"/>
      <c r="D571" s="109"/>
      <c r="E571" s="109"/>
      <c r="F571" s="167"/>
      <c r="G571" s="159"/>
      <c r="H571" s="102"/>
      <c r="I571" s="71"/>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c r="A572" s="239" t="s">
        <v>3478</v>
      </c>
      <c r="B572" s="35" t="s">
        <v>76</v>
      </c>
      <c r="C572" s="193" t="s">
        <v>3628</v>
      </c>
      <c r="D572" s="223" t="s">
        <v>1744</v>
      </c>
      <c r="E572" s="228" t="s">
        <v>1745</v>
      </c>
      <c r="F572" s="191">
        <v>0.4166666666666667</v>
      </c>
      <c r="G572" s="192" t="s">
        <v>3629</v>
      </c>
      <c r="H572" s="213" t="s">
        <v>3630</v>
      </c>
      <c r="I572" s="225" t="s">
        <v>3631</v>
      </c>
      <c r="J572" s="193" t="s">
        <v>3632</v>
      </c>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c r="A573" s="69"/>
      <c r="B573" s="35" t="s">
        <v>76</v>
      </c>
      <c r="C573" s="193" t="s">
        <v>3628</v>
      </c>
      <c r="D573" s="125" t="s">
        <v>2725</v>
      </c>
      <c r="E573" s="125" t="s">
        <v>2726</v>
      </c>
      <c r="F573" s="222">
        <v>0.5</v>
      </c>
      <c r="G573" s="227" t="s">
        <v>3633</v>
      </c>
      <c r="H573" s="193" t="s">
        <v>3634</v>
      </c>
      <c r="I573" s="125" t="s">
        <v>3635</v>
      </c>
      <c r="J573" s="211"/>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c r="A574" s="69"/>
      <c r="B574" s="35" t="s">
        <v>76</v>
      </c>
      <c r="C574" s="204" t="s">
        <v>110</v>
      </c>
      <c r="D574" s="125" t="s">
        <v>1962</v>
      </c>
      <c r="E574" s="125" t="s">
        <v>1963</v>
      </c>
      <c r="F574" s="191">
        <v>0.6458333333333334</v>
      </c>
      <c r="G574" s="192" t="s">
        <v>3611</v>
      </c>
      <c r="H574" s="193" t="s">
        <v>3612</v>
      </c>
      <c r="I574" s="125" t="s">
        <v>1965</v>
      </c>
      <c r="J574" s="211"/>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c r="A575" s="69"/>
      <c r="B575" s="35" t="s">
        <v>76</v>
      </c>
      <c r="C575" s="193" t="s">
        <v>3628</v>
      </c>
      <c r="D575" s="223" t="s">
        <v>2602</v>
      </c>
      <c r="E575" s="223" t="s">
        <v>2603</v>
      </c>
      <c r="F575" s="222">
        <v>0.7291666666666666</v>
      </c>
      <c r="G575" s="227" t="s">
        <v>3633</v>
      </c>
      <c r="H575" s="227" t="s">
        <v>3636</v>
      </c>
      <c r="I575" s="228" t="s">
        <v>2605</v>
      </c>
      <c r="J575" s="211"/>
      <c r="K575" s="209"/>
      <c r="L575" s="63"/>
      <c r="M575" s="63"/>
      <c r="N575" s="63"/>
      <c r="O575" s="63"/>
      <c r="P575" s="63"/>
      <c r="Q575" s="63"/>
      <c r="R575" s="63"/>
      <c r="S575" s="63"/>
      <c r="T575" s="63"/>
      <c r="U575" s="63"/>
      <c r="V575" s="63"/>
      <c r="W575" s="63"/>
      <c r="X575" s="63"/>
      <c r="Y575" s="63"/>
      <c r="Z575" s="63"/>
      <c r="AA575" s="63"/>
      <c r="AB575" s="63"/>
      <c r="AC575" s="63"/>
      <c r="AD575" s="63"/>
      <c r="AE575" s="63"/>
      <c r="AF575" s="63"/>
    </row>
    <row r="576">
      <c r="A576" s="69"/>
      <c r="B576" s="35" t="s">
        <v>76</v>
      </c>
      <c r="C576" s="102"/>
      <c r="D576" s="66"/>
      <c r="E576" s="66"/>
      <c r="F576" s="66"/>
      <c r="G576" s="159"/>
      <c r="H576" s="102"/>
      <c r="I576" s="71"/>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c r="A577" s="69"/>
      <c r="B577" s="35" t="s">
        <v>76</v>
      </c>
      <c r="C577" s="102"/>
      <c r="D577" s="109"/>
      <c r="E577" s="109"/>
      <c r="F577" s="167"/>
      <c r="G577" s="159"/>
      <c r="H577" s="102"/>
      <c r="I577" s="71"/>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c r="A578" s="79"/>
      <c r="B578" s="35" t="s">
        <v>76</v>
      </c>
      <c r="C578" s="102"/>
      <c r="D578" s="109"/>
      <c r="E578" s="109"/>
      <c r="F578" s="167"/>
      <c r="G578" s="159"/>
      <c r="H578" s="102"/>
      <c r="I578" s="71"/>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c r="A579" s="189"/>
      <c r="B579" s="190">
        <v>44609.0</v>
      </c>
      <c r="C579" s="102"/>
      <c r="D579" s="109"/>
      <c r="E579" s="109"/>
      <c r="F579" s="167"/>
      <c r="G579" s="159"/>
      <c r="H579" s="102"/>
      <c r="I579" s="71"/>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c r="A580" s="239" t="s">
        <v>3478</v>
      </c>
      <c r="B580" s="35" t="s">
        <v>76</v>
      </c>
      <c r="C580" s="102"/>
      <c r="D580" s="109"/>
      <c r="E580" s="137"/>
      <c r="F580" s="158"/>
      <c r="G580" s="159"/>
      <c r="H580" s="102"/>
      <c r="I580" s="71"/>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c r="A581" s="69"/>
      <c r="B581" s="35" t="s">
        <v>76</v>
      </c>
      <c r="C581" s="147" t="s">
        <v>3628</v>
      </c>
      <c r="D581" s="81" t="s">
        <v>3129</v>
      </c>
      <c r="E581" s="81" t="s">
        <v>3130</v>
      </c>
      <c r="F581" s="157">
        <v>0.5</v>
      </c>
      <c r="G581" s="146" t="s">
        <v>3113</v>
      </c>
      <c r="H581" s="147" t="s">
        <v>3637</v>
      </c>
      <c r="I581" s="81" t="s">
        <v>3132</v>
      </c>
      <c r="J581" s="163"/>
      <c r="K581" s="102" t="s">
        <v>3638</v>
      </c>
      <c r="L581" s="63"/>
      <c r="M581" s="63"/>
      <c r="N581" s="63"/>
      <c r="O581" s="63"/>
      <c r="P581" s="63"/>
      <c r="Q581" s="63"/>
      <c r="R581" s="63"/>
      <c r="S581" s="63"/>
      <c r="T581" s="63"/>
      <c r="U581" s="63"/>
      <c r="V581" s="63"/>
      <c r="W581" s="63"/>
      <c r="X581" s="63"/>
      <c r="Y581" s="63"/>
      <c r="Z581" s="63"/>
      <c r="AA581" s="63"/>
      <c r="AB581" s="63"/>
      <c r="AC581" s="63"/>
      <c r="AD581" s="63"/>
      <c r="AE581" s="63"/>
      <c r="AF581" s="63"/>
    </row>
    <row r="582">
      <c r="A582" s="69"/>
      <c r="B582" s="35" t="s">
        <v>76</v>
      </c>
      <c r="C582" s="193" t="s">
        <v>3628</v>
      </c>
      <c r="D582" s="223" t="s">
        <v>1124</v>
      </c>
      <c r="E582" s="223" t="s">
        <v>1125</v>
      </c>
      <c r="F582" s="191">
        <v>0.5833333333333334</v>
      </c>
      <c r="G582" s="192" t="s">
        <v>3113</v>
      </c>
      <c r="H582" s="193" t="s">
        <v>3639</v>
      </c>
      <c r="I582" s="223" t="s">
        <v>287</v>
      </c>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c r="A583" s="69"/>
      <c r="B583" s="35" t="s">
        <v>76</v>
      </c>
      <c r="C583" s="193" t="s">
        <v>3628</v>
      </c>
      <c r="D583" s="223" t="s">
        <v>2184</v>
      </c>
      <c r="E583" s="223" t="s">
        <v>2185</v>
      </c>
      <c r="F583" s="256">
        <v>0.6666666666666666</v>
      </c>
      <c r="G583" s="192" t="s">
        <v>3113</v>
      </c>
      <c r="H583" s="236" t="s">
        <v>3640</v>
      </c>
      <c r="I583" s="228" t="s">
        <v>2187</v>
      </c>
      <c r="J583" s="66"/>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c r="A584" s="69"/>
      <c r="B584" s="35" t="s">
        <v>76</v>
      </c>
      <c r="C584" s="193" t="s">
        <v>3628</v>
      </c>
      <c r="D584" s="223" t="s">
        <v>2151</v>
      </c>
      <c r="E584" s="223" t="s">
        <v>2152</v>
      </c>
      <c r="F584" s="222">
        <v>0.75</v>
      </c>
      <c r="G584" s="192" t="s">
        <v>3113</v>
      </c>
      <c r="H584" s="236" t="s">
        <v>2155</v>
      </c>
      <c r="I584" s="228" t="s">
        <v>2154</v>
      </c>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c r="A585" s="69"/>
      <c r="B585" s="35" t="s">
        <v>76</v>
      </c>
      <c r="C585" s="214" t="s">
        <v>3461</v>
      </c>
      <c r="D585" s="125" t="s">
        <v>2279</v>
      </c>
      <c r="E585" s="125" t="s">
        <v>2280</v>
      </c>
      <c r="F585" s="257" t="s">
        <v>3249</v>
      </c>
      <c r="G585" s="227" t="s">
        <v>3113</v>
      </c>
      <c r="H585" s="193" t="s">
        <v>3641</v>
      </c>
      <c r="I585" s="125" t="s">
        <v>2281</v>
      </c>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c r="A586" s="79"/>
      <c r="B586" s="35" t="s">
        <v>76</v>
      </c>
      <c r="C586" s="131" t="s">
        <v>3461</v>
      </c>
      <c r="D586" s="81" t="s">
        <v>2317</v>
      </c>
      <c r="E586" s="81" t="s">
        <v>2318</v>
      </c>
      <c r="F586" s="160" t="s">
        <v>3249</v>
      </c>
      <c r="G586" s="146" t="s">
        <v>3106</v>
      </c>
      <c r="H586" s="147" t="s">
        <v>3642</v>
      </c>
      <c r="I586" s="81" t="s">
        <v>2320</v>
      </c>
      <c r="J586" s="102" t="s">
        <v>3643</v>
      </c>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c r="A587" s="189"/>
      <c r="B587" s="190">
        <v>44610.0</v>
      </c>
      <c r="C587" s="102"/>
      <c r="D587" s="109"/>
      <c r="E587" s="109"/>
      <c r="F587" s="167"/>
      <c r="G587" s="159"/>
      <c r="H587" s="102"/>
      <c r="I587" s="71"/>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c r="A588" s="239" t="s">
        <v>3478</v>
      </c>
      <c r="B588" s="35" t="s">
        <v>76</v>
      </c>
      <c r="C588" s="102"/>
      <c r="D588" s="109"/>
      <c r="E588" s="109"/>
      <c r="F588" s="167"/>
      <c r="G588" s="159"/>
      <c r="H588" s="102"/>
      <c r="I588" s="71"/>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c r="A589" s="69"/>
      <c r="B589" s="35" t="s">
        <v>76</v>
      </c>
      <c r="C589" s="102"/>
      <c r="D589" s="109"/>
      <c r="E589" s="109"/>
      <c r="F589" s="167"/>
      <c r="G589" s="159"/>
      <c r="H589" s="102"/>
      <c r="I589" s="71"/>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c r="A590" s="69"/>
      <c r="B590" s="35" t="s">
        <v>76</v>
      </c>
      <c r="C590" s="102"/>
      <c r="D590" s="109"/>
      <c r="E590" s="109"/>
      <c r="F590" s="167"/>
      <c r="G590" s="159"/>
      <c r="H590" s="102"/>
      <c r="I590" s="71"/>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c r="A591" s="69"/>
      <c r="B591" s="35" t="s">
        <v>76</v>
      </c>
      <c r="C591" s="204" t="s">
        <v>80</v>
      </c>
      <c r="D591" s="125" t="s">
        <v>800</v>
      </c>
      <c r="E591" s="125" t="s">
        <v>801</v>
      </c>
      <c r="F591" s="208" t="s">
        <v>3219</v>
      </c>
      <c r="G591" s="212" t="s">
        <v>2928</v>
      </c>
      <c r="H591" s="193" t="s">
        <v>3644</v>
      </c>
      <c r="I591" s="213" t="s">
        <v>803</v>
      </c>
      <c r="J591" s="211"/>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c r="A592" s="69"/>
      <c r="B592" s="35" t="s">
        <v>76</v>
      </c>
      <c r="C592" s="204" t="s">
        <v>80</v>
      </c>
      <c r="D592" s="125" t="s">
        <v>98</v>
      </c>
      <c r="E592" s="125" t="s">
        <v>99</v>
      </c>
      <c r="F592" s="208" t="s">
        <v>3011</v>
      </c>
      <c r="G592" s="212" t="s">
        <v>2925</v>
      </c>
      <c r="H592" s="193" t="s">
        <v>3645</v>
      </c>
      <c r="I592" s="213" t="s">
        <v>103</v>
      </c>
      <c r="J592" s="211"/>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c r="A593" s="69"/>
      <c r="B593" s="35" t="s">
        <v>76</v>
      </c>
      <c r="C593" s="204" t="s">
        <v>80</v>
      </c>
      <c r="D593" s="223" t="s">
        <v>662</v>
      </c>
      <c r="E593" s="223" t="s">
        <v>663</v>
      </c>
      <c r="F593" s="208" t="s">
        <v>3014</v>
      </c>
      <c r="G593" s="212" t="s">
        <v>2973</v>
      </c>
      <c r="H593" s="193" t="s">
        <v>3646</v>
      </c>
      <c r="I593" s="213" t="s">
        <v>665</v>
      </c>
      <c r="J593" s="211"/>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c r="A594" s="69"/>
      <c r="B594" s="35" t="s">
        <v>76</v>
      </c>
      <c r="C594" s="204" t="s">
        <v>80</v>
      </c>
      <c r="D594" s="125" t="s">
        <v>2283</v>
      </c>
      <c r="E594" s="125" t="s">
        <v>2284</v>
      </c>
      <c r="F594" s="208" t="s">
        <v>3647</v>
      </c>
      <c r="G594" s="212" t="s">
        <v>2973</v>
      </c>
      <c r="H594" s="193" t="s">
        <v>3648</v>
      </c>
      <c r="I594" s="213" t="s">
        <v>2286</v>
      </c>
      <c r="J594" s="211"/>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c r="A595" s="69"/>
      <c r="B595" s="35" t="s">
        <v>76</v>
      </c>
      <c r="C595" s="214" t="s">
        <v>3461</v>
      </c>
      <c r="D595" s="125" t="s">
        <v>3649</v>
      </c>
      <c r="E595" s="125" t="s">
        <v>3650</v>
      </c>
      <c r="F595" s="208" t="s">
        <v>3249</v>
      </c>
      <c r="G595" s="212" t="s">
        <v>2973</v>
      </c>
      <c r="H595" s="193" t="s">
        <v>3651</v>
      </c>
      <c r="I595" s="213" t="s">
        <v>2286</v>
      </c>
      <c r="J595" s="211"/>
      <c r="K595" s="63"/>
      <c r="L595" s="102" t="s">
        <v>3652</v>
      </c>
      <c r="M595" s="63"/>
      <c r="N595" s="63"/>
      <c r="O595" s="63"/>
      <c r="P595" s="63"/>
      <c r="Q595" s="63"/>
      <c r="R595" s="63"/>
      <c r="S595" s="63"/>
      <c r="T595" s="63"/>
      <c r="U595" s="63"/>
      <c r="V595" s="63"/>
      <c r="W595" s="63"/>
      <c r="X595" s="63"/>
      <c r="Y595" s="63"/>
      <c r="Z595" s="63"/>
      <c r="AA595" s="63"/>
      <c r="AB595" s="63"/>
      <c r="AC595" s="63"/>
      <c r="AD595" s="63"/>
      <c r="AE595" s="63"/>
      <c r="AF595" s="63"/>
    </row>
    <row r="596">
      <c r="A596" s="69"/>
      <c r="B596" s="35" t="s">
        <v>76</v>
      </c>
      <c r="C596" s="214" t="s">
        <v>3461</v>
      </c>
      <c r="D596" s="125" t="s">
        <v>619</v>
      </c>
      <c r="E596" s="125" t="s">
        <v>620</v>
      </c>
      <c r="F596" s="208" t="s">
        <v>3249</v>
      </c>
      <c r="G596" s="192" t="s">
        <v>3653</v>
      </c>
      <c r="H596" s="193" t="s">
        <v>3654</v>
      </c>
      <c r="I596" s="125" t="s">
        <v>622</v>
      </c>
      <c r="J596" s="211"/>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c r="A597" s="79"/>
      <c r="B597" s="35" t="s">
        <v>76</v>
      </c>
      <c r="C597" s="214" t="s">
        <v>3461</v>
      </c>
      <c r="D597" s="125" t="s">
        <v>2274</v>
      </c>
      <c r="E597" s="125" t="s">
        <v>2275</v>
      </c>
      <c r="F597" s="208" t="s">
        <v>3249</v>
      </c>
      <c r="G597" s="192" t="s">
        <v>3655</v>
      </c>
      <c r="H597" s="193" t="s">
        <v>3656</v>
      </c>
      <c r="I597" s="125" t="s">
        <v>2277</v>
      </c>
      <c r="J597" s="211"/>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c r="A598" s="189"/>
      <c r="B598" s="190">
        <v>44613.0</v>
      </c>
      <c r="C598" s="102"/>
      <c r="D598" s="109"/>
      <c r="E598" s="109"/>
      <c r="F598" s="167"/>
      <c r="G598" s="159"/>
      <c r="H598" s="102"/>
      <c r="I598" s="71"/>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c r="A599" s="239" t="s">
        <v>3478</v>
      </c>
      <c r="B599" s="35" t="s">
        <v>76</v>
      </c>
      <c r="C599" s="193" t="s">
        <v>381</v>
      </c>
      <c r="D599" s="125" t="s">
        <v>382</v>
      </c>
      <c r="E599" s="125" t="s">
        <v>383</v>
      </c>
      <c r="F599" s="191">
        <v>0.4166666666666667</v>
      </c>
      <c r="G599" s="125" t="s">
        <v>2928</v>
      </c>
      <c r="H599" s="227" t="s">
        <v>3657</v>
      </c>
      <c r="I599" s="125" t="s">
        <v>3658</v>
      </c>
      <c r="J599" s="211"/>
      <c r="K599" s="211"/>
      <c r="L599" s="63"/>
      <c r="M599" s="63"/>
      <c r="N599" s="63"/>
      <c r="O599" s="63"/>
      <c r="P599" s="63"/>
      <c r="Q599" s="63"/>
      <c r="R599" s="63"/>
      <c r="S599" s="63"/>
      <c r="T599" s="63"/>
      <c r="U599" s="63"/>
      <c r="V599" s="63"/>
      <c r="W599" s="63"/>
      <c r="X599" s="63"/>
      <c r="Y599" s="63"/>
      <c r="Z599" s="63"/>
      <c r="AA599" s="63"/>
      <c r="AB599" s="63"/>
      <c r="AC599" s="63"/>
      <c r="AD599" s="63"/>
      <c r="AE599" s="63"/>
      <c r="AF599" s="63"/>
    </row>
    <row r="600">
      <c r="A600" s="69"/>
      <c r="B600" s="35" t="s">
        <v>76</v>
      </c>
      <c r="C600" s="193" t="s">
        <v>381</v>
      </c>
      <c r="D600" s="125" t="s">
        <v>721</v>
      </c>
      <c r="E600" s="125" t="s">
        <v>3659</v>
      </c>
      <c r="F600" s="191">
        <v>0.5</v>
      </c>
      <c r="G600" s="125" t="s">
        <v>2973</v>
      </c>
      <c r="H600" s="125" t="s">
        <v>3660</v>
      </c>
      <c r="I600" s="125" t="s">
        <v>724</v>
      </c>
      <c r="J600" s="211"/>
      <c r="K600" s="211"/>
      <c r="L600" s="63"/>
      <c r="M600" s="63"/>
      <c r="N600" s="63"/>
      <c r="O600" s="63"/>
      <c r="P600" s="63"/>
      <c r="Q600" s="63"/>
      <c r="R600" s="63"/>
      <c r="S600" s="63"/>
      <c r="T600" s="63"/>
      <c r="U600" s="63"/>
      <c r="V600" s="63"/>
      <c r="W600" s="63"/>
      <c r="X600" s="63"/>
      <c r="Y600" s="63"/>
      <c r="Z600" s="63"/>
      <c r="AA600" s="63"/>
      <c r="AB600" s="63"/>
      <c r="AC600" s="63"/>
      <c r="AD600" s="63"/>
      <c r="AE600" s="63"/>
      <c r="AF600" s="63"/>
    </row>
    <row r="601">
      <c r="A601" s="69"/>
      <c r="B601" s="35" t="s">
        <v>76</v>
      </c>
      <c r="C601" s="214" t="s">
        <v>2616</v>
      </c>
      <c r="D601" s="125" t="s">
        <v>581</v>
      </c>
      <c r="E601" s="125" t="s">
        <v>582</v>
      </c>
      <c r="F601" s="191">
        <v>0.5833333333333334</v>
      </c>
      <c r="G601" s="192" t="s">
        <v>3266</v>
      </c>
      <c r="H601" s="125" t="s">
        <v>3661</v>
      </c>
      <c r="I601" s="125" t="s">
        <v>584</v>
      </c>
      <c r="J601" s="211"/>
      <c r="K601" s="211"/>
      <c r="L601" s="63"/>
      <c r="M601" s="63"/>
      <c r="N601" s="63"/>
      <c r="O601" s="63"/>
      <c r="P601" s="63"/>
      <c r="Q601" s="63"/>
      <c r="R601" s="63"/>
      <c r="S601" s="63"/>
      <c r="T601" s="63"/>
      <c r="U601" s="63"/>
      <c r="V601" s="63"/>
      <c r="W601" s="63"/>
      <c r="X601" s="63"/>
      <c r="Y601" s="63"/>
      <c r="Z601" s="63"/>
      <c r="AA601" s="63"/>
      <c r="AB601" s="63"/>
      <c r="AC601" s="63"/>
      <c r="AD601" s="63"/>
      <c r="AE601" s="63"/>
      <c r="AF601" s="63"/>
    </row>
    <row r="602">
      <c r="A602" s="69"/>
      <c r="B602" s="35" t="s">
        <v>76</v>
      </c>
      <c r="C602" s="214" t="s">
        <v>2616</v>
      </c>
      <c r="D602" s="125" t="s">
        <v>1878</v>
      </c>
      <c r="E602" s="125" t="s">
        <v>1879</v>
      </c>
      <c r="F602" s="191">
        <v>0.625</v>
      </c>
      <c r="G602" s="192" t="s">
        <v>3662</v>
      </c>
      <c r="H602" s="193" t="s">
        <v>3663</v>
      </c>
      <c r="I602" s="125" t="s">
        <v>1881</v>
      </c>
      <c r="J602" s="211"/>
      <c r="K602" s="211"/>
      <c r="L602" s="63"/>
      <c r="M602" s="63"/>
      <c r="N602" s="63"/>
      <c r="O602" s="63"/>
      <c r="P602" s="63"/>
      <c r="Q602" s="63"/>
      <c r="R602" s="63"/>
      <c r="S602" s="63"/>
      <c r="T602" s="63"/>
      <c r="U602" s="63"/>
      <c r="V602" s="63"/>
      <c r="W602" s="63"/>
      <c r="X602" s="63"/>
      <c r="Y602" s="63"/>
      <c r="Z602" s="63"/>
      <c r="AA602" s="63"/>
      <c r="AB602" s="63"/>
      <c r="AC602" s="63"/>
      <c r="AD602" s="63"/>
      <c r="AE602" s="63"/>
      <c r="AF602" s="63"/>
    </row>
    <row r="603">
      <c r="A603" s="69"/>
      <c r="B603" s="35" t="s">
        <v>76</v>
      </c>
      <c r="C603" s="214" t="s">
        <v>2616</v>
      </c>
      <c r="D603" s="125" t="s">
        <v>2395</v>
      </c>
      <c r="E603" s="125" t="s">
        <v>2396</v>
      </c>
      <c r="F603" s="191">
        <v>0.6666666666666666</v>
      </c>
      <c r="G603" s="192" t="s">
        <v>3266</v>
      </c>
      <c r="H603" s="193" t="s">
        <v>3664</v>
      </c>
      <c r="I603" s="125" t="s">
        <v>2398</v>
      </c>
      <c r="J603" s="211"/>
      <c r="L603" s="63"/>
      <c r="M603" s="63"/>
      <c r="N603" s="63"/>
      <c r="O603" s="63"/>
      <c r="P603" s="63"/>
      <c r="Q603" s="63"/>
      <c r="R603" s="63"/>
      <c r="S603" s="63"/>
      <c r="T603" s="63"/>
      <c r="U603" s="63"/>
      <c r="V603" s="63"/>
      <c r="W603" s="63"/>
      <c r="X603" s="63"/>
      <c r="Y603" s="63"/>
      <c r="Z603" s="63"/>
      <c r="AA603" s="63"/>
      <c r="AB603" s="63"/>
      <c r="AC603" s="63"/>
      <c r="AD603" s="63"/>
      <c r="AE603" s="63"/>
      <c r="AF603" s="63"/>
    </row>
    <row r="604">
      <c r="A604" s="69"/>
      <c r="B604" s="35" t="s">
        <v>76</v>
      </c>
      <c r="C604" s="131" t="s">
        <v>2616</v>
      </c>
      <c r="D604" s="81" t="s">
        <v>1850</v>
      </c>
      <c r="E604" s="81" t="s">
        <v>1851</v>
      </c>
      <c r="F604" s="157">
        <v>0.7083333333333334</v>
      </c>
      <c r="G604" s="146" t="s">
        <v>3266</v>
      </c>
      <c r="H604" s="147" t="s">
        <v>3665</v>
      </c>
      <c r="I604" s="81" t="s">
        <v>1853</v>
      </c>
      <c r="J604" s="102" t="s">
        <v>3666</v>
      </c>
      <c r="M604" s="63"/>
      <c r="N604" s="63"/>
      <c r="O604" s="63"/>
      <c r="P604" s="63"/>
      <c r="Q604" s="63"/>
      <c r="R604" s="63"/>
      <c r="S604" s="63"/>
      <c r="T604" s="63"/>
      <c r="U604" s="63"/>
      <c r="V604" s="63"/>
      <c r="W604" s="63"/>
      <c r="X604" s="63"/>
      <c r="Y604" s="63"/>
      <c r="Z604" s="63"/>
      <c r="AA604" s="63"/>
      <c r="AB604" s="63"/>
      <c r="AC604" s="63"/>
      <c r="AD604" s="63"/>
      <c r="AE604" s="63"/>
      <c r="AF604" s="63"/>
    </row>
    <row r="605">
      <c r="A605" s="79"/>
      <c r="B605" s="35" t="s">
        <v>76</v>
      </c>
      <c r="C605" s="147" t="s">
        <v>381</v>
      </c>
      <c r="D605" s="81" t="s">
        <v>741</v>
      </c>
      <c r="E605" s="81" t="s">
        <v>742</v>
      </c>
      <c r="F605" s="157">
        <v>0.75</v>
      </c>
      <c r="G605" s="81" t="s">
        <v>2928</v>
      </c>
      <c r="H605" s="81" t="s">
        <v>3667</v>
      </c>
      <c r="I605" s="81" t="s">
        <v>744</v>
      </c>
      <c r="J605" s="102" t="s">
        <v>3668</v>
      </c>
      <c r="M605" s="63"/>
      <c r="N605" s="63"/>
      <c r="O605" s="63"/>
      <c r="P605" s="63"/>
      <c r="Q605" s="63"/>
      <c r="R605" s="63"/>
      <c r="S605" s="63"/>
      <c r="T605" s="63"/>
      <c r="U605" s="63"/>
      <c r="V605" s="63"/>
      <c r="W605" s="63"/>
      <c r="X605" s="63"/>
      <c r="Y605" s="63"/>
      <c r="Z605" s="63"/>
      <c r="AA605" s="63"/>
      <c r="AB605" s="63"/>
      <c r="AC605" s="63"/>
      <c r="AD605" s="63"/>
      <c r="AE605" s="63"/>
      <c r="AF605" s="63"/>
    </row>
    <row r="606">
      <c r="A606" s="189"/>
      <c r="B606" s="190"/>
      <c r="C606" s="214" t="s">
        <v>3619</v>
      </c>
      <c r="D606" s="214" t="s">
        <v>667</v>
      </c>
      <c r="E606" s="214" t="s">
        <v>668</v>
      </c>
      <c r="F606" s="208" t="s">
        <v>3601</v>
      </c>
      <c r="G606" s="192" t="s">
        <v>3662</v>
      </c>
      <c r="H606" s="193" t="s">
        <v>3669</v>
      </c>
      <c r="I606" s="125" t="s">
        <v>1881</v>
      </c>
      <c r="J606" s="102" t="s">
        <v>3652</v>
      </c>
      <c r="M606" s="63"/>
      <c r="N606" s="63"/>
      <c r="O606" s="63"/>
      <c r="P606" s="63"/>
      <c r="Q606" s="63"/>
      <c r="R606" s="63"/>
      <c r="S606" s="63"/>
      <c r="T606" s="63"/>
      <c r="U606" s="63"/>
      <c r="V606" s="63"/>
      <c r="W606" s="63"/>
      <c r="X606" s="63"/>
      <c r="Y606" s="63"/>
      <c r="Z606" s="63"/>
      <c r="AA606" s="63"/>
      <c r="AB606" s="63"/>
      <c r="AC606" s="63"/>
      <c r="AD606" s="63"/>
      <c r="AE606" s="63"/>
      <c r="AF606" s="63"/>
    </row>
    <row r="607">
      <c r="A607" s="189"/>
      <c r="B607" s="190">
        <v>44614.0</v>
      </c>
      <c r="C607" s="102"/>
      <c r="D607" s="109"/>
      <c r="E607" s="109"/>
      <c r="F607" s="167"/>
      <c r="G607" s="159"/>
      <c r="H607" s="102"/>
      <c r="I607" s="71"/>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c r="A608" s="239" t="s">
        <v>3478</v>
      </c>
      <c r="B608" s="35" t="s">
        <v>76</v>
      </c>
      <c r="C608" s="102"/>
      <c r="D608" s="137"/>
      <c r="E608" s="137"/>
      <c r="F608" s="167"/>
      <c r="G608" s="159"/>
      <c r="H608" s="102"/>
      <c r="I608" s="71"/>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c r="A609" s="69"/>
      <c r="B609" s="35" t="s">
        <v>76</v>
      </c>
      <c r="C609" s="214" t="s">
        <v>66</v>
      </c>
      <c r="D609" s="258" t="s">
        <v>1966</v>
      </c>
      <c r="E609" s="258" t="s">
        <v>1967</v>
      </c>
      <c r="F609" s="191">
        <v>0.5</v>
      </c>
      <c r="G609" s="192" t="s">
        <v>3266</v>
      </c>
      <c r="H609" s="259" t="s">
        <v>1970</v>
      </c>
      <c r="I609" s="258" t="s">
        <v>1969</v>
      </c>
      <c r="J609" s="211"/>
      <c r="K609" s="209"/>
      <c r="L609" s="63"/>
      <c r="M609" s="63"/>
      <c r="N609" s="63"/>
      <c r="O609" s="63"/>
      <c r="P609" s="63"/>
      <c r="Q609" s="63"/>
      <c r="R609" s="63"/>
      <c r="S609" s="63"/>
      <c r="T609" s="63"/>
      <c r="U609" s="63"/>
      <c r="V609" s="63"/>
      <c r="W609" s="63"/>
      <c r="X609" s="63"/>
      <c r="Y609" s="63"/>
      <c r="Z609" s="63"/>
      <c r="AA609" s="63"/>
      <c r="AB609" s="63"/>
      <c r="AC609" s="63"/>
      <c r="AD609" s="63"/>
      <c r="AE609" s="63"/>
      <c r="AF609" s="63"/>
    </row>
    <row r="610">
      <c r="A610" s="69"/>
      <c r="B610" s="35" t="s">
        <v>76</v>
      </c>
      <c r="C610" s="131" t="s">
        <v>2616</v>
      </c>
      <c r="D610" s="81" t="s">
        <v>1975</v>
      </c>
      <c r="E610" s="81" t="s">
        <v>1976</v>
      </c>
      <c r="F610" s="157">
        <v>0.5833333333333334</v>
      </c>
      <c r="G610" s="146" t="s">
        <v>3266</v>
      </c>
      <c r="H610" s="81" t="s">
        <v>3670</v>
      </c>
      <c r="I610" s="81" t="s">
        <v>1978</v>
      </c>
      <c r="J610" s="102" t="s">
        <v>3671</v>
      </c>
      <c r="L610" s="102"/>
      <c r="M610" s="63"/>
      <c r="N610" s="63"/>
      <c r="O610" s="63"/>
      <c r="P610" s="63"/>
      <c r="Q610" s="63"/>
      <c r="R610" s="63"/>
      <c r="S610" s="63"/>
      <c r="T610" s="63"/>
      <c r="U610" s="63"/>
      <c r="V610" s="63"/>
      <c r="W610" s="63"/>
      <c r="X610" s="63"/>
      <c r="Y610" s="63"/>
      <c r="Z610" s="63"/>
      <c r="AA610" s="63"/>
      <c r="AB610" s="63"/>
      <c r="AC610" s="63"/>
      <c r="AD610" s="63"/>
      <c r="AE610" s="63"/>
      <c r="AF610" s="63"/>
    </row>
    <row r="611">
      <c r="A611" s="69"/>
      <c r="B611" s="35" t="s">
        <v>76</v>
      </c>
      <c r="C611" s="193" t="s">
        <v>381</v>
      </c>
      <c r="D611" s="255" t="s">
        <v>585</v>
      </c>
      <c r="E611" s="255" t="s">
        <v>586</v>
      </c>
      <c r="F611" s="191">
        <v>0.6666666666666666</v>
      </c>
      <c r="G611" s="125" t="s">
        <v>2963</v>
      </c>
      <c r="H611" s="125" t="s">
        <v>3672</v>
      </c>
      <c r="I611" s="255" t="s">
        <v>589</v>
      </c>
      <c r="J611" s="211"/>
      <c r="K611" s="209"/>
      <c r="L611" s="63"/>
      <c r="M611" s="63"/>
      <c r="N611" s="63"/>
      <c r="O611" s="63"/>
      <c r="P611" s="63"/>
      <c r="Q611" s="63"/>
      <c r="R611" s="63"/>
      <c r="S611" s="63"/>
      <c r="T611" s="63"/>
      <c r="U611" s="63"/>
      <c r="V611" s="63"/>
      <c r="W611" s="63"/>
      <c r="X611" s="63"/>
      <c r="Y611" s="63"/>
      <c r="Z611" s="63"/>
      <c r="AA611" s="63"/>
      <c r="AB611" s="63"/>
      <c r="AC611" s="63"/>
      <c r="AD611" s="63"/>
      <c r="AE611" s="63"/>
      <c r="AF611" s="63"/>
    </row>
    <row r="612">
      <c r="A612" s="69"/>
      <c r="B612" s="35" t="s">
        <v>76</v>
      </c>
      <c r="C612" s="214" t="s">
        <v>66</v>
      </c>
      <c r="D612" s="258" t="s">
        <v>1390</v>
      </c>
      <c r="E612" s="258" t="s">
        <v>1391</v>
      </c>
      <c r="F612" s="191">
        <v>0.75</v>
      </c>
      <c r="G612" s="192" t="s">
        <v>2984</v>
      </c>
      <c r="H612" s="193" t="s">
        <v>3673</v>
      </c>
      <c r="I612" s="258" t="s">
        <v>1393</v>
      </c>
      <c r="J612" s="211"/>
      <c r="K612" s="209"/>
      <c r="L612" s="63"/>
      <c r="M612" s="63"/>
      <c r="N612" s="63"/>
      <c r="O612" s="63"/>
      <c r="P612" s="63"/>
      <c r="Q612" s="63"/>
      <c r="R612" s="63"/>
      <c r="S612" s="63"/>
      <c r="T612" s="63"/>
      <c r="U612" s="63"/>
      <c r="V612" s="63"/>
      <c r="W612" s="63"/>
      <c r="X612" s="63"/>
      <c r="Y612" s="63"/>
      <c r="Z612" s="63"/>
      <c r="AA612" s="63"/>
      <c r="AB612" s="63"/>
      <c r="AC612" s="63"/>
      <c r="AD612" s="63"/>
      <c r="AE612" s="63"/>
      <c r="AF612" s="63"/>
    </row>
    <row r="613">
      <c r="A613" s="79"/>
      <c r="B613" s="35" t="s">
        <v>76</v>
      </c>
      <c r="C613" s="214" t="s">
        <v>75</v>
      </c>
      <c r="D613" s="258" t="s">
        <v>1077</v>
      </c>
      <c r="E613" s="258" t="s">
        <v>1078</v>
      </c>
      <c r="F613" s="208" t="s">
        <v>3249</v>
      </c>
      <c r="G613" s="192" t="s">
        <v>3674</v>
      </c>
      <c r="H613" s="193" t="s">
        <v>3675</v>
      </c>
      <c r="I613" s="125" t="s">
        <v>1080</v>
      </c>
      <c r="J613" s="211"/>
      <c r="K613" s="209"/>
      <c r="L613" s="63"/>
      <c r="M613" s="63"/>
      <c r="N613" s="63"/>
      <c r="O613" s="63"/>
      <c r="P613" s="63"/>
      <c r="Q613" s="63"/>
      <c r="R613" s="63"/>
      <c r="S613" s="63"/>
      <c r="T613" s="63"/>
      <c r="U613" s="63"/>
      <c r="V613" s="63"/>
      <c r="W613" s="63"/>
      <c r="X613" s="63"/>
      <c r="Y613" s="63"/>
      <c r="Z613" s="63"/>
      <c r="AA613" s="63"/>
      <c r="AB613" s="63"/>
      <c r="AC613" s="63"/>
      <c r="AD613" s="63"/>
      <c r="AE613" s="63"/>
      <c r="AF613" s="63"/>
    </row>
    <row r="614">
      <c r="A614" s="239" t="s">
        <v>3478</v>
      </c>
      <c r="B614" s="35" t="s">
        <v>76</v>
      </c>
      <c r="C614" s="102"/>
      <c r="D614" s="109"/>
      <c r="E614" s="109"/>
      <c r="F614" s="167"/>
      <c r="G614" s="159"/>
      <c r="H614" s="102"/>
      <c r="I614" s="71"/>
      <c r="J614" s="63"/>
      <c r="K614" s="209"/>
      <c r="L614" s="63"/>
      <c r="M614" s="63"/>
      <c r="N614" s="63"/>
      <c r="O614" s="63"/>
      <c r="P614" s="63"/>
      <c r="Q614" s="63"/>
      <c r="R614" s="63"/>
      <c r="S614" s="63"/>
      <c r="T614" s="63"/>
      <c r="U614" s="63"/>
      <c r="V614" s="63"/>
      <c r="W614" s="63"/>
      <c r="X614" s="63"/>
      <c r="Y614" s="63"/>
      <c r="Z614" s="63"/>
      <c r="AA614" s="63"/>
      <c r="AB614" s="63"/>
      <c r="AC614" s="63"/>
      <c r="AD614" s="63"/>
      <c r="AE614" s="63"/>
      <c r="AF614" s="63"/>
    </row>
    <row r="615">
      <c r="A615" s="69"/>
      <c r="B615" s="35" t="s">
        <v>76</v>
      </c>
      <c r="C615" s="102"/>
      <c r="D615" s="102"/>
      <c r="E615" s="71"/>
      <c r="F615" s="158"/>
      <c r="G615" s="159"/>
      <c r="H615" s="16"/>
      <c r="I615" s="11"/>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c r="A616" s="79"/>
      <c r="B616" s="35" t="s">
        <v>76</v>
      </c>
      <c r="C616" s="102"/>
      <c r="D616" s="102"/>
      <c r="E616" s="109"/>
      <c r="F616" s="167"/>
      <c r="G616" s="159"/>
      <c r="H616" s="102"/>
      <c r="I616" s="71"/>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c r="A617" s="189"/>
      <c r="B617" s="190">
        <v>44615.0</v>
      </c>
      <c r="C617" s="102"/>
      <c r="D617" s="109"/>
      <c r="E617" s="109"/>
      <c r="F617" s="167"/>
      <c r="G617" s="159"/>
      <c r="H617" s="102"/>
      <c r="I617" s="71"/>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c r="A618" s="239" t="s">
        <v>3478</v>
      </c>
      <c r="B618" s="35" t="s">
        <v>76</v>
      </c>
      <c r="C618" s="102"/>
      <c r="D618" s="109"/>
      <c r="E618" s="109"/>
      <c r="F618" s="167"/>
      <c r="G618" s="159"/>
      <c r="H618" s="102"/>
      <c r="I618" s="71"/>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c r="A619" s="69"/>
      <c r="B619" s="35" t="s">
        <v>76</v>
      </c>
      <c r="C619" s="102"/>
      <c r="D619" s="260"/>
      <c r="E619" s="260"/>
      <c r="F619" s="167"/>
      <c r="G619" s="159"/>
      <c r="H619" s="102"/>
      <c r="I619" s="71"/>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c r="A620" s="69"/>
      <c r="B620" s="35" t="s">
        <v>76</v>
      </c>
      <c r="C620" s="259" t="s">
        <v>110</v>
      </c>
      <c r="D620" s="258" t="s">
        <v>2810</v>
      </c>
      <c r="E620" s="258" t="s">
        <v>2811</v>
      </c>
      <c r="F620" s="191">
        <v>0.5</v>
      </c>
      <c r="G620" s="192" t="s">
        <v>3676</v>
      </c>
      <c r="H620" s="193" t="s">
        <v>3677</v>
      </c>
      <c r="I620" s="258" t="s">
        <v>2813</v>
      </c>
      <c r="J620" s="211"/>
      <c r="K620" s="211"/>
      <c r="L620" s="63"/>
      <c r="M620" s="63"/>
      <c r="N620" s="63"/>
      <c r="O620" s="63"/>
      <c r="P620" s="63"/>
      <c r="Q620" s="63"/>
      <c r="R620" s="63"/>
      <c r="S620" s="63"/>
      <c r="T620" s="63"/>
      <c r="U620" s="63"/>
      <c r="V620" s="63"/>
      <c r="W620" s="63"/>
      <c r="X620" s="63"/>
      <c r="Y620" s="63"/>
      <c r="Z620" s="63"/>
      <c r="AA620" s="63"/>
      <c r="AB620" s="63"/>
      <c r="AC620" s="63"/>
      <c r="AD620" s="63"/>
      <c r="AE620" s="63"/>
      <c r="AF620" s="63"/>
    </row>
    <row r="621">
      <c r="A621" s="69"/>
      <c r="B621" s="35" t="s">
        <v>76</v>
      </c>
      <c r="C621" s="261" t="s">
        <v>110</v>
      </c>
      <c r="D621" s="81" t="s">
        <v>2339</v>
      </c>
      <c r="E621" s="81" t="s">
        <v>2340</v>
      </c>
      <c r="F621" s="157">
        <v>0.5416666666666666</v>
      </c>
      <c r="G621" s="146" t="s">
        <v>3429</v>
      </c>
      <c r="H621" s="147" t="s">
        <v>3678</v>
      </c>
      <c r="I621" s="81" t="s">
        <v>2342</v>
      </c>
      <c r="J621" s="102" t="s">
        <v>3679</v>
      </c>
      <c r="K621" s="163"/>
      <c r="M621" s="63"/>
      <c r="N621" s="63"/>
      <c r="O621" s="63"/>
      <c r="P621" s="63"/>
      <c r="Q621" s="63"/>
      <c r="R621" s="63"/>
      <c r="S621" s="63"/>
      <c r="T621" s="63"/>
      <c r="U621" s="63"/>
      <c r="V621" s="63"/>
      <c r="W621" s="63"/>
      <c r="X621" s="63"/>
      <c r="Y621" s="63"/>
      <c r="Z621" s="63"/>
      <c r="AA621" s="63"/>
      <c r="AB621" s="63"/>
      <c r="AC621" s="63"/>
      <c r="AD621" s="63"/>
      <c r="AE621" s="63"/>
      <c r="AF621" s="63"/>
    </row>
    <row r="622">
      <c r="A622" s="69"/>
      <c r="B622" s="35" t="s">
        <v>76</v>
      </c>
      <c r="C622" s="259" t="s">
        <v>80</v>
      </c>
      <c r="D622" s="125" t="s">
        <v>2491</v>
      </c>
      <c r="E622" s="125" t="s">
        <v>2492</v>
      </c>
      <c r="F622" s="191">
        <v>0.6041666666666666</v>
      </c>
      <c r="G622" s="212" t="s">
        <v>3680</v>
      </c>
      <c r="H622" s="193" t="s">
        <v>3681</v>
      </c>
      <c r="I622" s="213" t="s">
        <v>2495</v>
      </c>
      <c r="J622" s="211"/>
      <c r="K622" s="211"/>
      <c r="L622" s="63"/>
      <c r="M622" s="63"/>
      <c r="N622" s="63"/>
      <c r="O622" s="63"/>
      <c r="P622" s="63"/>
      <c r="Q622" s="63"/>
      <c r="R622" s="63"/>
      <c r="S622" s="63"/>
      <c r="T622" s="63"/>
      <c r="U622" s="63"/>
      <c r="V622" s="63"/>
      <c r="W622" s="63"/>
      <c r="X622" s="63"/>
      <c r="Y622" s="63"/>
      <c r="Z622" s="63"/>
      <c r="AA622" s="63"/>
      <c r="AB622" s="63"/>
      <c r="AC622" s="63"/>
      <c r="AD622" s="63"/>
      <c r="AE622" s="63"/>
      <c r="AF622" s="63"/>
    </row>
    <row r="623">
      <c r="A623" s="69"/>
      <c r="B623" s="35" t="s">
        <v>76</v>
      </c>
      <c r="C623" s="259" t="s">
        <v>110</v>
      </c>
      <c r="D623" s="125" t="s">
        <v>122</v>
      </c>
      <c r="E623" s="125" t="s">
        <v>123</v>
      </c>
      <c r="F623" s="191">
        <v>0.6666666666666666</v>
      </c>
      <c r="G623" s="192" t="s">
        <v>3682</v>
      </c>
      <c r="H623" s="193" t="s">
        <v>3683</v>
      </c>
      <c r="I623" s="125" t="s">
        <v>126</v>
      </c>
      <c r="J623" s="211"/>
      <c r="K623" s="211"/>
      <c r="L623" s="63"/>
      <c r="M623" s="63"/>
      <c r="N623" s="63"/>
      <c r="O623" s="63"/>
      <c r="P623" s="63"/>
      <c r="Q623" s="63"/>
      <c r="R623" s="63"/>
      <c r="S623" s="63"/>
      <c r="T623" s="63"/>
      <c r="U623" s="63"/>
      <c r="V623" s="63"/>
      <c r="W623" s="63"/>
      <c r="X623" s="63"/>
      <c r="Y623" s="63"/>
      <c r="Z623" s="63"/>
      <c r="AA623" s="63"/>
      <c r="AB623" s="63"/>
      <c r="AC623" s="63"/>
      <c r="AD623" s="63"/>
      <c r="AE623" s="63"/>
      <c r="AF623" s="63"/>
    </row>
    <row r="624">
      <c r="A624" s="69"/>
      <c r="B624" s="35" t="s">
        <v>76</v>
      </c>
      <c r="C624" s="214" t="s">
        <v>75</v>
      </c>
      <c r="D624" s="214" t="s">
        <v>3684</v>
      </c>
      <c r="E624" s="214" t="s">
        <v>3685</v>
      </c>
      <c r="F624" s="208" t="s">
        <v>3249</v>
      </c>
      <c r="G624" s="192" t="s">
        <v>3682</v>
      </c>
      <c r="H624" s="193" t="s">
        <v>3686</v>
      </c>
      <c r="I624" s="125" t="s">
        <v>126</v>
      </c>
      <c r="J624" s="193" t="s">
        <v>3652</v>
      </c>
      <c r="L624" s="63"/>
      <c r="M624" s="63"/>
      <c r="N624" s="63"/>
      <c r="O624" s="63"/>
      <c r="P624" s="63"/>
      <c r="Q624" s="63"/>
      <c r="R624" s="63"/>
      <c r="S624" s="63"/>
      <c r="T624" s="63"/>
      <c r="U624" s="63"/>
      <c r="V624" s="63"/>
      <c r="W624" s="63"/>
      <c r="X624" s="63"/>
      <c r="Y624" s="63"/>
      <c r="Z624" s="63"/>
      <c r="AA624" s="63"/>
      <c r="AB624" s="63"/>
      <c r="AC624" s="63"/>
      <c r="AD624" s="63"/>
      <c r="AE624" s="63"/>
      <c r="AF624" s="63"/>
    </row>
    <row r="625">
      <c r="A625" s="69"/>
      <c r="B625" s="35" t="s">
        <v>76</v>
      </c>
      <c r="C625" s="102"/>
      <c r="D625" s="109"/>
      <c r="E625" s="109"/>
      <c r="F625" s="167"/>
      <c r="G625" s="159"/>
      <c r="H625" s="102"/>
      <c r="I625" s="71"/>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c r="A626" s="79"/>
      <c r="B626" s="35" t="s">
        <v>76</v>
      </c>
      <c r="C626" s="102"/>
      <c r="D626" s="109"/>
      <c r="E626" s="109"/>
      <c r="F626" s="167"/>
      <c r="G626" s="159"/>
      <c r="H626" s="102"/>
      <c r="I626" s="71"/>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c r="A627" s="189"/>
      <c r="B627" s="190">
        <v>44616.0</v>
      </c>
      <c r="C627" s="102"/>
      <c r="D627" s="109"/>
      <c r="E627" s="109"/>
      <c r="F627" s="167"/>
      <c r="G627" s="159"/>
      <c r="H627" s="102"/>
      <c r="I627" s="71"/>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c r="A628" s="239" t="s">
        <v>3478</v>
      </c>
      <c r="B628" s="35" t="s">
        <v>76</v>
      </c>
      <c r="C628" s="102"/>
      <c r="D628" s="109"/>
      <c r="E628" s="109"/>
      <c r="F628" s="167"/>
      <c r="G628" s="159"/>
      <c r="H628" s="102"/>
      <c r="I628" s="71"/>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c r="A629" s="69"/>
      <c r="B629" s="35" t="s">
        <v>76</v>
      </c>
      <c r="C629" s="102"/>
      <c r="D629" s="109"/>
      <c r="E629" s="109"/>
      <c r="F629" s="167"/>
      <c r="G629" s="159"/>
      <c r="H629" s="102"/>
      <c r="I629" s="71"/>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c r="A630" s="69"/>
      <c r="B630" s="35" t="s">
        <v>76</v>
      </c>
      <c r="C630" s="214" t="s">
        <v>3619</v>
      </c>
      <c r="D630" s="258" t="s">
        <v>2572</v>
      </c>
      <c r="E630" s="258" t="s">
        <v>2573</v>
      </c>
      <c r="F630" s="208" t="s">
        <v>3219</v>
      </c>
      <c r="G630" s="192" t="s">
        <v>3113</v>
      </c>
      <c r="H630" s="193" t="s">
        <v>3687</v>
      </c>
      <c r="I630" s="125" t="s">
        <v>2575</v>
      </c>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c r="A631" s="69"/>
      <c r="B631" s="35" t="s">
        <v>76</v>
      </c>
      <c r="C631" s="214" t="s">
        <v>3619</v>
      </c>
      <c r="D631" s="258" t="s">
        <v>1713</v>
      </c>
      <c r="E631" s="258" t="s">
        <v>1714</v>
      </c>
      <c r="F631" s="208" t="s">
        <v>3057</v>
      </c>
      <c r="G631" s="192" t="s">
        <v>3688</v>
      </c>
      <c r="H631" s="193" t="s">
        <v>3689</v>
      </c>
      <c r="I631" s="125" t="s">
        <v>1716</v>
      </c>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c r="A632" s="69"/>
      <c r="B632" s="35" t="s">
        <v>76</v>
      </c>
      <c r="C632" s="214" t="s">
        <v>3619</v>
      </c>
      <c r="D632" s="258" t="s">
        <v>1700</v>
      </c>
      <c r="E632" s="258" t="s">
        <v>1701</v>
      </c>
      <c r="F632" s="208" t="s">
        <v>3044</v>
      </c>
      <c r="G632" s="192" t="s">
        <v>3688</v>
      </c>
      <c r="H632" s="193" t="s">
        <v>3690</v>
      </c>
      <c r="I632" s="125" t="s">
        <v>1704</v>
      </c>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c r="A633" s="69"/>
      <c r="B633" s="35" t="s">
        <v>76</v>
      </c>
      <c r="C633" s="214" t="s">
        <v>3619</v>
      </c>
      <c r="D633" s="258" t="s">
        <v>1864</v>
      </c>
      <c r="E633" s="258" t="s">
        <v>1865</v>
      </c>
      <c r="F633" s="208" t="s">
        <v>3049</v>
      </c>
      <c r="G633" s="192" t="s">
        <v>3106</v>
      </c>
      <c r="H633" s="193" t="s">
        <v>3691</v>
      </c>
      <c r="I633" s="125" t="s">
        <v>1867</v>
      </c>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c r="A634" s="69"/>
      <c r="B634" s="35" t="s">
        <v>76</v>
      </c>
      <c r="C634" s="214" t="s">
        <v>3619</v>
      </c>
      <c r="D634" s="214" t="s">
        <v>1141</v>
      </c>
      <c r="E634" s="214" t="s">
        <v>1142</v>
      </c>
      <c r="F634" s="208" t="s">
        <v>3249</v>
      </c>
      <c r="G634" s="192" t="s">
        <v>3113</v>
      </c>
      <c r="H634" s="193" t="s">
        <v>3692</v>
      </c>
      <c r="I634" s="125" t="s">
        <v>3693</v>
      </c>
      <c r="J634" s="102" t="s">
        <v>3694</v>
      </c>
      <c r="L634" s="63"/>
      <c r="M634" s="63"/>
      <c r="N634" s="63"/>
      <c r="O634" s="63"/>
      <c r="P634" s="63"/>
      <c r="Q634" s="63"/>
      <c r="R634" s="63"/>
      <c r="S634" s="63"/>
      <c r="T634" s="63"/>
      <c r="U634" s="63"/>
      <c r="V634" s="63"/>
      <c r="W634" s="63"/>
      <c r="X634" s="63"/>
      <c r="Y634" s="63"/>
      <c r="Z634" s="63"/>
      <c r="AA634" s="63"/>
      <c r="AB634" s="63"/>
      <c r="AC634" s="63"/>
      <c r="AD634" s="63"/>
      <c r="AE634" s="63"/>
      <c r="AF634" s="63"/>
    </row>
    <row r="635">
      <c r="A635" s="69"/>
      <c r="B635" s="35" t="s">
        <v>76</v>
      </c>
      <c r="C635" s="102"/>
      <c r="D635" s="109"/>
      <c r="E635" s="109"/>
      <c r="F635" s="167"/>
      <c r="G635" s="159"/>
      <c r="H635" s="102"/>
      <c r="I635" s="71"/>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c r="A636" s="79"/>
      <c r="B636" s="35" t="s">
        <v>76</v>
      </c>
      <c r="C636" s="102"/>
      <c r="D636" s="109"/>
      <c r="E636" s="109"/>
      <c r="F636" s="167"/>
      <c r="G636" s="159"/>
      <c r="H636" s="102"/>
      <c r="I636" s="71"/>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c r="A637" s="189"/>
      <c r="B637" s="190">
        <v>44617.0</v>
      </c>
      <c r="C637" s="102"/>
      <c r="D637" s="109"/>
      <c r="E637" s="109"/>
      <c r="F637" s="167"/>
      <c r="G637" s="159"/>
      <c r="H637" s="102"/>
      <c r="I637" s="71"/>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c r="A638" s="239" t="s">
        <v>3478</v>
      </c>
      <c r="B638" s="35" t="s">
        <v>76</v>
      </c>
      <c r="C638" s="102"/>
      <c r="D638" s="109"/>
      <c r="E638" s="109"/>
      <c r="F638" s="167"/>
      <c r="G638" s="159"/>
      <c r="H638" s="102"/>
      <c r="I638" s="71"/>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c r="A639" s="69"/>
      <c r="B639" s="35" t="s">
        <v>76</v>
      </c>
      <c r="C639" s="102"/>
      <c r="D639" s="109"/>
      <c r="E639" s="109"/>
      <c r="F639" s="167"/>
      <c r="G639" s="159"/>
      <c r="H639" s="102"/>
      <c r="I639" s="71"/>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c r="A640" s="69"/>
      <c r="B640" s="35" t="s">
        <v>76</v>
      </c>
      <c r="C640" s="102"/>
      <c r="D640" s="109"/>
      <c r="E640" s="109"/>
      <c r="F640" s="167"/>
      <c r="G640" s="159"/>
      <c r="H640" s="102"/>
      <c r="I640" s="71"/>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c r="A641" s="69"/>
      <c r="B641" s="35" t="s">
        <v>76</v>
      </c>
      <c r="C641" s="102"/>
      <c r="D641" s="109"/>
      <c r="E641" s="109"/>
      <c r="F641" s="167"/>
      <c r="G641" s="159"/>
      <c r="H641" s="102"/>
      <c r="I641" s="71"/>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c r="A642" s="69"/>
      <c r="B642" s="35" t="s">
        <v>76</v>
      </c>
      <c r="C642" s="214" t="s">
        <v>66</v>
      </c>
      <c r="D642" s="125" t="s">
        <v>1892</v>
      </c>
      <c r="E642" s="125" t="s">
        <v>1893</v>
      </c>
      <c r="F642" s="191">
        <v>0.4583333333333333</v>
      </c>
      <c r="G642" s="192" t="s">
        <v>3695</v>
      </c>
      <c r="H642" s="193" t="s">
        <v>3696</v>
      </c>
      <c r="I642" s="125" t="s">
        <v>1895</v>
      </c>
      <c r="J642" s="211"/>
      <c r="K642" s="211"/>
      <c r="L642" s="63"/>
      <c r="M642" s="63"/>
      <c r="N642" s="63"/>
      <c r="O642" s="63"/>
      <c r="P642" s="63"/>
      <c r="Q642" s="63"/>
      <c r="R642" s="63"/>
      <c r="S642" s="63"/>
      <c r="T642" s="63"/>
      <c r="U642" s="63"/>
      <c r="V642" s="63"/>
      <c r="W642" s="63"/>
      <c r="X642" s="63"/>
      <c r="Y642" s="63"/>
      <c r="Z642" s="63"/>
      <c r="AA642" s="63"/>
      <c r="AB642" s="63"/>
      <c r="AC642" s="63"/>
      <c r="AD642" s="63"/>
      <c r="AE642" s="63"/>
      <c r="AF642" s="63"/>
    </row>
    <row r="643">
      <c r="A643" s="69"/>
      <c r="B643" s="35" t="s">
        <v>76</v>
      </c>
      <c r="C643" s="131" t="s">
        <v>66</v>
      </c>
      <c r="D643" s="81" t="s">
        <v>221</v>
      </c>
      <c r="E643" s="81" t="s">
        <v>222</v>
      </c>
      <c r="F643" s="157">
        <v>0.625</v>
      </c>
      <c r="G643" s="146" t="s">
        <v>3695</v>
      </c>
      <c r="H643" s="210" t="s">
        <v>226</v>
      </c>
      <c r="I643" s="81" t="s">
        <v>225</v>
      </c>
      <c r="J643" s="102" t="s">
        <v>3697</v>
      </c>
      <c r="K643" s="63"/>
      <c r="M643" s="63"/>
      <c r="N643" s="63"/>
      <c r="O643" s="63"/>
      <c r="P643" s="63"/>
      <c r="Q643" s="63"/>
      <c r="R643" s="63"/>
      <c r="S643" s="63"/>
      <c r="T643" s="63"/>
      <c r="U643" s="63"/>
      <c r="V643" s="63"/>
      <c r="W643" s="63"/>
      <c r="X643" s="63"/>
      <c r="Y643" s="63"/>
      <c r="Z643" s="63"/>
      <c r="AA643" s="63"/>
      <c r="AB643" s="63"/>
      <c r="AC643" s="63"/>
      <c r="AD643" s="63"/>
      <c r="AE643" s="63"/>
      <c r="AF643" s="63"/>
    </row>
    <row r="644">
      <c r="A644" s="69"/>
      <c r="B644" s="35" t="s">
        <v>76</v>
      </c>
      <c r="C644" s="131" t="s">
        <v>66</v>
      </c>
      <c r="D644" s="81" t="s">
        <v>2146</v>
      </c>
      <c r="E644" s="81" t="s">
        <v>2147</v>
      </c>
      <c r="F644" s="157">
        <v>0.6666666666666666</v>
      </c>
      <c r="G644" s="146" t="s">
        <v>3695</v>
      </c>
      <c r="H644" s="210" t="s">
        <v>226</v>
      </c>
      <c r="I644" s="81" t="s">
        <v>2148</v>
      </c>
      <c r="J644" s="102" t="s">
        <v>3697</v>
      </c>
      <c r="K644" s="63"/>
      <c r="M644" s="63"/>
      <c r="N644" s="63"/>
      <c r="O644" s="63"/>
      <c r="P644" s="63"/>
      <c r="Q644" s="63"/>
      <c r="R644" s="63"/>
      <c r="S644" s="63"/>
      <c r="T644" s="63"/>
      <c r="U644" s="63"/>
      <c r="V644" s="63"/>
      <c r="W644" s="63"/>
      <c r="X644" s="63"/>
      <c r="Y644" s="63"/>
      <c r="Z644" s="63"/>
      <c r="AA644" s="63"/>
      <c r="AB644" s="63"/>
      <c r="AC644" s="63"/>
      <c r="AD644" s="63"/>
      <c r="AE644" s="63"/>
      <c r="AF644" s="63"/>
    </row>
    <row r="645">
      <c r="A645" s="69"/>
      <c r="B645" s="35" t="s">
        <v>76</v>
      </c>
      <c r="C645" s="131" t="s">
        <v>66</v>
      </c>
      <c r="D645" s="81" t="s">
        <v>2149</v>
      </c>
      <c r="E645" s="81" t="s">
        <v>2150</v>
      </c>
      <c r="F645" s="157">
        <v>0.7083333333333334</v>
      </c>
      <c r="G645" s="146" t="s">
        <v>3695</v>
      </c>
      <c r="H645" s="210" t="s">
        <v>226</v>
      </c>
      <c r="I645" s="81" t="s">
        <v>2148</v>
      </c>
      <c r="J645" s="102" t="s">
        <v>3697</v>
      </c>
      <c r="K645" s="63"/>
      <c r="M645" s="63"/>
      <c r="N645" s="63"/>
      <c r="O645" s="63"/>
      <c r="P645" s="63"/>
      <c r="Q645" s="63"/>
      <c r="R645" s="63"/>
      <c r="S645" s="63"/>
      <c r="T645" s="63"/>
      <c r="U645" s="63"/>
      <c r="V645" s="63"/>
      <c r="W645" s="63"/>
      <c r="X645" s="63"/>
      <c r="Y645" s="63"/>
      <c r="Z645" s="63"/>
      <c r="AA645" s="63"/>
      <c r="AB645" s="63"/>
      <c r="AC645" s="63"/>
      <c r="AD645" s="63"/>
      <c r="AE645" s="63"/>
      <c r="AF645" s="63"/>
    </row>
    <row r="646">
      <c r="A646" s="79"/>
      <c r="B646" s="35" t="s">
        <v>76</v>
      </c>
      <c r="C646" s="214" t="s">
        <v>75</v>
      </c>
      <c r="D646" s="258" t="s">
        <v>839</v>
      </c>
      <c r="E646" s="258" t="s">
        <v>840</v>
      </c>
      <c r="F646" s="208" t="s">
        <v>3249</v>
      </c>
      <c r="G646" s="192" t="s">
        <v>3063</v>
      </c>
      <c r="H646" s="193" t="s">
        <v>3698</v>
      </c>
      <c r="I646" s="125" t="s">
        <v>842</v>
      </c>
      <c r="J646" s="102"/>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c r="A647" s="189"/>
      <c r="B647" s="190">
        <v>44620.0</v>
      </c>
      <c r="C647" s="102"/>
      <c r="D647" s="109"/>
      <c r="E647" s="109"/>
      <c r="F647" s="167"/>
      <c r="G647" s="159"/>
      <c r="H647" s="102"/>
      <c r="I647" s="71"/>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c r="A648" s="239" t="s">
        <v>3478</v>
      </c>
      <c r="B648" s="35" t="s">
        <v>76</v>
      </c>
      <c r="C648" s="102"/>
      <c r="D648" s="109"/>
      <c r="E648" s="109"/>
      <c r="F648" s="167"/>
      <c r="G648" s="159"/>
      <c r="H648" s="102"/>
      <c r="I648" s="71"/>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c r="A649" s="69"/>
      <c r="B649" s="35" t="s">
        <v>76</v>
      </c>
      <c r="C649" s="102"/>
      <c r="D649" s="202" t="s">
        <v>3699</v>
      </c>
      <c r="E649" s="61"/>
      <c r="F649" s="62"/>
      <c r="G649" s="159"/>
      <c r="H649" s="102"/>
      <c r="I649" s="71"/>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c r="A650" s="69"/>
      <c r="B650" s="35" t="s">
        <v>76</v>
      </c>
      <c r="C650" s="102"/>
      <c r="D650" s="109"/>
      <c r="E650" s="109"/>
      <c r="F650" s="167"/>
      <c r="G650" s="159"/>
      <c r="H650" s="102"/>
      <c r="I650" s="71"/>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c r="A651" s="69"/>
      <c r="B651" s="35" t="s">
        <v>76</v>
      </c>
      <c r="C651" s="102"/>
      <c r="D651" s="109"/>
      <c r="E651" s="109"/>
      <c r="F651" s="167"/>
      <c r="G651" s="159"/>
      <c r="H651" s="102"/>
      <c r="I651" s="71"/>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c r="A652" s="69"/>
      <c r="B652" s="35" t="s">
        <v>76</v>
      </c>
      <c r="C652" s="214" t="s">
        <v>75</v>
      </c>
      <c r="D652" s="258" t="s">
        <v>2361</v>
      </c>
      <c r="E652" s="258" t="s">
        <v>2362</v>
      </c>
      <c r="F652" s="208" t="s">
        <v>3057</v>
      </c>
      <c r="G652" s="192" t="s">
        <v>3700</v>
      </c>
      <c r="H652" s="193" t="s">
        <v>3701</v>
      </c>
      <c r="I652" s="125" t="s">
        <v>1397</v>
      </c>
      <c r="J652" s="211"/>
      <c r="K652" s="211"/>
      <c r="L652" s="63"/>
      <c r="M652" s="63"/>
      <c r="N652" s="63"/>
      <c r="O652" s="63"/>
      <c r="P652" s="63"/>
      <c r="Q652" s="63"/>
      <c r="R652" s="63"/>
      <c r="S652" s="63"/>
      <c r="T652" s="63"/>
      <c r="U652" s="63"/>
      <c r="V652" s="63"/>
      <c r="W652" s="63"/>
      <c r="X652" s="63"/>
      <c r="Y652" s="63"/>
      <c r="Z652" s="63"/>
      <c r="AA652" s="63"/>
      <c r="AB652" s="63"/>
      <c r="AC652" s="63"/>
      <c r="AD652" s="63"/>
      <c r="AE652" s="63"/>
      <c r="AF652" s="63"/>
    </row>
    <row r="653">
      <c r="A653" s="69"/>
      <c r="B653" s="35" t="s">
        <v>76</v>
      </c>
      <c r="C653" s="214" t="s">
        <v>75</v>
      </c>
      <c r="D653" s="258" t="s">
        <v>576</v>
      </c>
      <c r="E653" s="258" t="s">
        <v>577</v>
      </c>
      <c r="F653" s="208" t="s">
        <v>3044</v>
      </c>
      <c r="G653" s="192" t="s">
        <v>3702</v>
      </c>
      <c r="H653" s="193" t="s">
        <v>3703</v>
      </c>
      <c r="I653" s="125" t="s">
        <v>580</v>
      </c>
      <c r="J653" s="211"/>
      <c r="K653" s="211"/>
      <c r="L653" s="63"/>
      <c r="M653" s="63"/>
      <c r="N653" s="63"/>
      <c r="O653" s="63"/>
      <c r="P653" s="63"/>
      <c r="Q653" s="63"/>
      <c r="R653" s="63"/>
      <c r="S653" s="63"/>
      <c r="T653" s="63"/>
      <c r="U653" s="63"/>
      <c r="V653" s="63"/>
      <c r="W653" s="63"/>
      <c r="X653" s="63"/>
      <c r="Y653" s="63"/>
      <c r="Z653" s="63"/>
      <c r="AA653" s="63"/>
      <c r="AB653" s="63"/>
      <c r="AC653" s="63"/>
      <c r="AD653" s="63"/>
      <c r="AE653" s="63"/>
      <c r="AF653" s="63"/>
    </row>
    <row r="654">
      <c r="A654" s="69"/>
      <c r="B654" s="35" t="s">
        <v>76</v>
      </c>
      <c r="C654" s="214" t="s">
        <v>75</v>
      </c>
      <c r="D654" s="258" t="s">
        <v>336</v>
      </c>
      <c r="E654" s="258" t="s">
        <v>337</v>
      </c>
      <c r="F654" s="208" t="s">
        <v>3049</v>
      </c>
      <c r="G654" s="192" t="s">
        <v>3704</v>
      </c>
      <c r="H654" s="193" t="s">
        <v>3705</v>
      </c>
      <c r="I654" s="125" t="s">
        <v>340</v>
      </c>
      <c r="J654" s="211"/>
      <c r="K654" s="211"/>
      <c r="L654" s="63"/>
      <c r="M654" s="63"/>
      <c r="N654" s="63"/>
      <c r="O654" s="63"/>
      <c r="P654" s="63"/>
      <c r="Q654" s="63"/>
      <c r="R654" s="63"/>
      <c r="S654" s="63"/>
      <c r="T654" s="63"/>
      <c r="U654" s="63"/>
      <c r="V654" s="63"/>
      <c r="W654" s="63"/>
      <c r="X654" s="63"/>
      <c r="Y654" s="63"/>
      <c r="Z654" s="63"/>
      <c r="AA654" s="63"/>
      <c r="AB654" s="63"/>
      <c r="AC654" s="63"/>
      <c r="AD654" s="63"/>
      <c r="AE654" s="63"/>
      <c r="AF654" s="63"/>
    </row>
    <row r="655">
      <c r="A655" s="69"/>
      <c r="B655" s="35" t="s">
        <v>76</v>
      </c>
      <c r="C655" s="131" t="s">
        <v>75</v>
      </c>
      <c r="D655" s="262" t="s">
        <v>2624</v>
      </c>
      <c r="E655" s="262" t="s">
        <v>2625</v>
      </c>
      <c r="F655" s="160" t="s">
        <v>3040</v>
      </c>
      <c r="G655" s="146" t="s">
        <v>3706</v>
      </c>
      <c r="H655" s="147" t="s">
        <v>3707</v>
      </c>
      <c r="I655" s="81" t="s">
        <v>2627</v>
      </c>
      <c r="J655" s="163"/>
      <c r="K655" s="163"/>
      <c r="L655" s="102" t="s">
        <v>3708</v>
      </c>
      <c r="M655" s="63"/>
      <c r="N655" s="63"/>
      <c r="O655" s="63"/>
      <c r="P655" s="63"/>
      <c r="Q655" s="63"/>
      <c r="R655" s="63"/>
      <c r="S655" s="63"/>
      <c r="T655" s="63"/>
      <c r="U655" s="63"/>
      <c r="V655" s="63"/>
      <c r="W655" s="63"/>
      <c r="X655" s="63"/>
      <c r="Y655" s="63"/>
      <c r="Z655" s="63"/>
      <c r="AA655" s="63"/>
      <c r="AB655" s="63"/>
      <c r="AC655" s="63"/>
      <c r="AD655" s="63"/>
      <c r="AE655" s="63"/>
      <c r="AF655" s="63"/>
    </row>
    <row r="656">
      <c r="A656" s="79"/>
      <c r="B656" s="35" t="s">
        <v>76</v>
      </c>
      <c r="C656" s="102"/>
      <c r="D656" s="109"/>
      <c r="E656" s="109"/>
      <c r="F656" s="167"/>
      <c r="G656" s="159"/>
      <c r="H656" s="102"/>
      <c r="I656" s="71"/>
      <c r="J656" s="63"/>
      <c r="K656" s="63"/>
      <c r="L656" s="102"/>
      <c r="M656" s="63"/>
      <c r="N656" s="63"/>
      <c r="O656" s="63"/>
      <c r="P656" s="63"/>
      <c r="Q656" s="63"/>
      <c r="R656" s="63"/>
      <c r="S656" s="63"/>
      <c r="T656" s="63"/>
      <c r="U656" s="63"/>
      <c r="V656" s="63"/>
      <c r="W656" s="63"/>
      <c r="X656" s="63"/>
      <c r="Y656" s="63"/>
      <c r="Z656" s="63"/>
      <c r="AA656" s="63"/>
      <c r="AB656" s="63"/>
      <c r="AC656" s="63"/>
      <c r="AD656" s="63"/>
      <c r="AE656" s="63"/>
      <c r="AF656" s="63"/>
    </row>
    <row r="657">
      <c r="A657" s="189"/>
      <c r="B657" s="190">
        <v>44621.0</v>
      </c>
      <c r="C657" s="102"/>
      <c r="D657" s="109"/>
      <c r="E657" s="109"/>
      <c r="F657" s="167"/>
      <c r="G657" s="159"/>
      <c r="H657" s="102"/>
      <c r="I657" s="71"/>
      <c r="J657" s="63"/>
      <c r="K657" s="63"/>
      <c r="L657" s="102" t="s">
        <v>3709</v>
      </c>
      <c r="M657" s="63"/>
      <c r="N657" s="63"/>
      <c r="O657" s="63"/>
      <c r="P657" s="63"/>
      <c r="Q657" s="63"/>
      <c r="R657" s="63"/>
      <c r="S657" s="63"/>
      <c r="T657" s="63"/>
      <c r="U657" s="63"/>
      <c r="V657" s="63"/>
      <c r="W657" s="63"/>
      <c r="X657" s="63"/>
      <c r="Y657" s="63"/>
      <c r="Z657" s="63"/>
      <c r="AA657" s="63"/>
      <c r="AB657" s="63"/>
      <c r="AC657" s="63"/>
      <c r="AD657" s="63"/>
      <c r="AE657" s="63"/>
      <c r="AF657" s="63"/>
    </row>
    <row r="658">
      <c r="A658" s="239" t="s">
        <v>3478</v>
      </c>
      <c r="B658" s="35" t="s">
        <v>76</v>
      </c>
      <c r="C658" s="102"/>
      <c r="D658" s="202" t="s">
        <v>3710</v>
      </c>
      <c r="E658" s="61"/>
      <c r="F658" s="61"/>
      <c r="G658" s="62"/>
      <c r="H658" s="102"/>
      <c r="I658" s="71"/>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c r="A659" s="69"/>
      <c r="B659" s="35" t="s">
        <v>76</v>
      </c>
      <c r="C659" s="102"/>
      <c r="D659" s="109"/>
      <c r="E659" s="109"/>
      <c r="F659" s="167"/>
      <c r="G659" s="159"/>
      <c r="H659" s="102"/>
      <c r="I659" s="71"/>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c r="A660" s="69"/>
      <c r="B660" s="35" t="s">
        <v>76</v>
      </c>
      <c r="C660" s="102"/>
      <c r="D660" s="109"/>
      <c r="E660" s="109"/>
      <c r="F660" s="167"/>
      <c r="G660" s="159"/>
      <c r="H660" s="102"/>
      <c r="I660" s="71"/>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c r="A661" s="69"/>
      <c r="B661" s="35" t="s">
        <v>76</v>
      </c>
      <c r="C661" s="102"/>
      <c r="D661" s="109"/>
      <c r="E661" s="109"/>
      <c r="F661" s="167"/>
      <c r="G661" s="159"/>
      <c r="H661" s="102"/>
      <c r="I661" s="71"/>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c r="A662" s="69"/>
      <c r="B662" s="35" t="s">
        <v>76</v>
      </c>
      <c r="C662" s="263" t="s">
        <v>140</v>
      </c>
      <c r="D662" s="258" t="s">
        <v>1938</v>
      </c>
      <c r="E662" s="258" t="s">
        <v>1939</v>
      </c>
      <c r="F662" s="191">
        <v>0.5</v>
      </c>
      <c r="G662" s="192" t="s">
        <v>3113</v>
      </c>
      <c r="H662" s="193" t="s">
        <v>3711</v>
      </c>
      <c r="I662" s="258" t="s">
        <v>1941</v>
      </c>
      <c r="J662" s="193" t="s">
        <v>3712</v>
      </c>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c r="A663" s="69"/>
      <c r="B663" s="35" t="s">
        <v>76</v>
      </c>
      <c r="C663" s="263" t="s">
        <v>140</v>
      </c>
      <c r="D663" s="258" t="s">
        <v>2577</v>
      </c>
      <c r="E663" s="258" t="s">
        <v>2578</v>
      </c>
      <c r="F663" s="208" t="s">
        <v>3483</v>
      </c>
      <c r="G663" s="192" t="s">
        <v>3113</v>
      </c>
      <c r="H663" s="193" t="s">
        <v>3713</v>
      </c>
      <c r="I663" s="258" t="s">
        <v>2580</v>
      </c>
      <c r="J663" s="211"/>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c r="A664" s="69"/>
      <c r="B664" s="35" t="s">
        <v>76</v>
      </c>
      <c r="C664" s="214" t="s">
        <v>75</v>
      </c>
      <c r="D664" s="258" t="s">
        <v>834</v>
      </c>
      <c r="E664" s="258" t="s">
        <v>835</v>
      </c>
      <c r="F664" s="208" t="s">
        <v>3049</v>
      </c>
      <c r="G664" s="192" t="s">
        <v>3113</v>
      </c>
      <c r="H664" s="193" t="s">
        <v>3714</v>
      </c>
      <c r="I664" s="258" t="s">
        <v>837</v>
      </c>
      <c r="J664" s="211"/>
      <c r="K664" s="102"/>
      <c r="L664" s="63"/>
      <c r="M664" s="63"/>
      <c r="N664" s="63"/>
      <c r="O664" s="63"/>
      <c r="P664" s="63"/>
      <c r="Q664" s="63"/>
      <c r="R664" s="63"/>
      <c r="S664" s="63"/>
      <c r="T664" s="63"/>
      <c r="U664" s="63"/>
      <c r="V664" s="63"/>
      <c r="W664" s="63"/>
      <c r="X664" s="63"/>
      <c r="Y664" s="63"/>
      <c r="Z664" s="63"/>
      <c r="AA664" s="63"/>
      <c r="AB664" s="63"/>
      <c r="AC664" s="63"/>
      <c r="AD664" s="63"/>
      <c r="AE664" s="63"/>
      <c r="AF664" s="63"/>
    </row>
    <row r="665">
      <c r="A665" s="79"/>
      <c r="B665" s="35" t="s">
        <v>76</v>
      </c>
      <c r="C665" s="131" t="s">
        <v>75</v>
      </c>
      <c r="D665" s="262" t="s">
        <v>603</v>
      </c>
      <c r="E665" s="262" t="s">
        <v>604</v>
      </c>
      <c r="F665" s="160" t="s">
        <v>3715</v>
      </c>
      <c r="G665" s="146" t="s">
        <v>3113</v>
      </c>
      <c r="H665" s="147" t="s">
        <v>3716</v>
      </c>
      <c r="I665" s="81" t="s">
        <v>606</v>
      </c>
      <c r="J665" s="163"/>
      <c r="K665" s="102" t="s">
        <v>3717</v>
      </c>
      <c r="L665" s="63"/>
      <c r="M665" s="63"/>
      <c r="N665" s="63"/>
      <c r="O665" s="63"/>
      <c r="P665" s="63"/>
      <c r="Q665" s="63"/>
      <c r="R665" s="63"/>
      <c r="S665" s="63"/>
      <c r="T665" s="63"/>
      <c r="U665" s="63"/>
      <c r="V665" s="63"/>
      <c r="W665" s="63"/>
      <c r="X665" s="63"/>
      <c r="Y665" s="63"/>
      <c r="Z665" s="63"/>
      <c r="AA665" s="63"/>
      <c r="AB665" s="63"/>
      <c r="AC665" s="63"/>
      <c r="AD665" s="63"/>
      <c r="AE665" s="63"/>
      <c r="AF665" s="63"/>
    </row>
    <row r="666">
      <c r="A666" s="189"/>
      <c r="B666" s="190">
        <v>44622.0</v>
      </c>
      <c r="C666" s="102"/>
      <c r="D666" s="109"/>
      <c r="E666" s="109"/>
      <c r="F666" s="167"/>
      <c r="G666" s="159"/>
      <c r="H666" s="102"/>
      <c r="I666" s="71"/>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c r="A667" s="239" t="s">
        <v>3478</v>
      </c>
      <c r="B667" s="35" t="s">
        <v>76</v>
      </c>
      <c r="C667" s="102"/>
      <c r="D667" s="109"/>
      <c r="E667" s="109"/>
      <c r="F667" s="167"/>
      <c r="G667" s="159"/>
      <c r="H667" s="102"/>
      <c r="I667" s="71"/>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c r="A668" s="69"/>
      <c r="B668" s="35" t="s">
        <v>76</v>
      </c>
      <c r="C668" s="102"/>
      <c r="D668" s="109"/>
      <c r="E668" s="109"/>
      <c r="F668" s="167"/>
      <c r="G668" s="159"/>
      <c r="H668" s="102"/>
      <c r="I668" s="71"/>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c r="A669" s="69"/>
      <c r="B669" s="35" t="s">
        <v>76</v>
      </c>
      <c r="C669" s="204" t="s">
        <v>110</v>
      </c>
      <c r="D669" s="258" t="s">
        <v>1837</v>
      </c>
      <c r="E669" s="258" t="s">
        <v>1838</v>
      </c>
      <c r="F669" s="191">
        <v>0.5</v>
      </c>
      <c r="G669" s="192" t="s">
        <v>3718</v>
      </c>
      <c r="H669" s="193" t="s">
        <v>3719</v>
      </c>
      <c r="I669" s="258" t="s">
        <v>1840</v>
      </c>
      <c r="J669" s="211"/>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c r="A670" s="69"/>
      <c r="B670" s="35" t="s">
        <v>76</v>
      </c>
      <c r="C670" s="204" t="s">
        <v>110</v>
      </c>
      <c r="D670" s="125" t="s">
        <v>633</v>
      </c>
      <c r="E670" s="125" t="s">
        <v>634</v>
      </c>
      <c r="F670" s="191">
        <v>0.5833333333333334</v>
      </c>
      <c r="G670" s="192" t="s">
        <v>3720</v>
      </c>
      <c r="H670" s="193" t="s">
        <v>3721</v>
      </c>
      <c r="I670" s="125" t="s">
        <v>636</v>
      </c>
      <c r="J670" s="211"/>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c r="A671" s="69"/>
      <c r="B671" s="35" t="s">
        <v>76</v>
      </c>
      <c r="C671" s="204" t="s">
        <v>110</v>
      </c>
      <c r="D671" s="258" t="s">
        <v>211</v>
      </c>
      <c r="E671" s="258" t="s">
        <v>212</v>
      </c>
      <c r="F671" s="208" t="s">
        <v>3049</v>
      </c>
      <c r="G671" s="192" t="s">
        <v>3722</v>
      </c>
      <c r="H671" s="193" t="s">
        <v>3723</v>
      </c>
      <c r="I671" s="258" t="s">
        <v>215</v>
      </c>
      <c r="J671" s="211"/>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c r="A672" s="69"/>
      <c r="B672" s="35" t="s">
        <v>76</v>
      </c>
      <c r="C672" s="210" t="s">
        <v>110</v>
      </c>
      <c r="D672" s="262" t="s">
        <v>540</v>
      </c>
      <c r="E672" s="262" t="s">
        <v>541</v>
      </c>
      <c r="F672" s="264">
        <v>0.75</v>
      </c>
      <c r="G672" s="112" t="s">
        <v>3724</v>
      </c>
      <c r="H672" s="112" t="s">
        <v>3725</v>
      </c>
      <c r="I672" s="262" t="s">
        <v>544</v>
      </c>
      <c r="J672" s="238"/>
      <c r="K672" s="74" t="s">
        <v>3726</v>
      </c>
      <c r="L672" s="63"/>
      <c r="M672" s="63"/>
      <c r="N672" s="63"/>
      <c r="O672" s="63"/>
      <c r="P672" s="63"/>
      <c r="Q672" s="63"/>
      <c r="R672" s="63"/>
      <c r="S672" s="63"/>
      <c r="T672" s="63"/>
      <c r="U672" s="63"/>
      <c r="V672" s="63"/>
      <c r="W672" s="63"/>
      <c r="X672" s="63"/>
      <c r="Y672" s="63"/>
      <c r="Z672" s="63"/>
      <c r="AA672" s="63"/>
      <c r="AB672" s="63"/>
      <c r="AC672" s="63"/>
      <c r="AD672" s="63"/>
      <c r="AE672" s="63"/>
      <c r="AF672" s="63"/>
    </row>
    <row r="673">
      <c r="A673" s="69"/>
      <c r="B673" s="35" t="s">
        <v>76</v>
      </c>
      <c r="C673" s="214" t="s">
        <v>75</v>
      </c>
      <c r="D673" s="125" t="s">
        <v>1850</v>
      </c>
      <c r="E673" s="125" t="s">
        <v>1851</v>
      </c>
      <c r="F673" s="191">
        <v>0.7083333333333334</v>
      </c>
      <c r="G673" s="192" t="s">
        <v>3266</v>
      </c>
      <c r="H673" s="193" t="s">
        <v>3665</v>
      </c>
      <c r="I673" s="125" t="s">
        <v>1853</v>
      </c>
      <c r="J673" s="211"/>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c r="A674" s="69"/>
      <c r="B674" s="35" t="s">
        <v>76</v>
      </c>
      <c r="C674" s="102"/>
      <c r="D674" s="109"/>
      <c r="E674" s="109"/>
      <c r="F674" s="167"/>
      <c r="G674" s="159"/>
      <c r="H674" s="102"/>
      <c r="I674" s="71"/>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c r="A675" s="79"/>
      <c r="B675" s="35" t="s">
        <v>76</v>
      </c>
      <c r="C675" s="102"/>
      <c r="D675" s="109"/>
      <c r="E675" s="109"/>
      <c r="F675" s="167"/>
      <c r="G675" s="159"/>
      <c r="H675" s="102"/>
      <c r="I675" s="71"/>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c r="A676" s="189"/>
      <c r="B676" s="190">
        <v>44623.0</v>
      </c>
      <c r="C676" s="102"/>
      <c r="D676" s="109"/>
      <c r="E676" s="109"/>
      <c r="F676" s="167"/>
      <c r="G676" s="159"/>
      <c r="H676" s="102"/>
      <c r="I676" s="71"/>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c r="A677" s="239" t="s">
        <v>3478</v>
      </c>
      <c r="B677" s="35" t="s">
        <v>76</v>
      </c>
      <c r="C677" s="102"/>
      <c r="D677" s="109"/>
      <c r="E677" s="109"/>
      <c r="F677" s="167"/>
      <c r="G677" s="159"/>
      <c r="H677" s="102"/>
      <c r="I677" s="71"/>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c r="A678" s="69"/>
      <c r="B678" s="35" t="s">
        <v>76</v>
      </c>
      <c r="C678" s="102"/>
      <c r="D678" s="109"/>
      <c r="E678" s="109"/>
      <c r="F678" s="167"/>
      <c r="G678" s="159"/>
      <c r="H678" s="102"/>
      <c r="I678" s="71"/>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c r="A679" s="69"/>
      <c r="B679" s="35" t="s">
        <v>76</v>
      </c>
      <c r="C679" s="102"/>
      <c r="D679" s="109"/>
      <c r="E679" s="109"/>
      <c r="F679" s="167"/>
      <c r="G679" s="159"/>
      <c r="H679" s="102"/>
      <c r="I679" s="71"/>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c r="A680" s="69"/>
      <c r="B680" s="35" t="s">
        <v>76</v>
      </c>
      <c r="C680" s="102"/>
      <c r="D680" s="109"/>
      <c r="E680" s="109"/>
      <c r="F680" s="167"/>
      <c r="G680" s="159"/>
      <c r="H680" s="102"/>
      <c r="I680" s="71"/>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c r="A681" s="69"/>
      <c r="B681" s="35" t="s">
        <v>76</v>
      </c>
      <c r="C681" s="102"/>
      <c r="D681" s="109"/>
      <c r="E681" s="109"/>
      <c r="F681" s="167"/>
      <c r="G681" s="159"/>
      <c r="H681" s="102"/>
      <c r="I681" s="71"/>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c r="A682" s="69"/>
      <c r="B682" s="35" t="s">
        <v>76</v>
      </c>
      <c r="C682" s="214" t="s">
        <v>75</v>
      </c>
      <c r="D682" s="258" t="s">
        <v>1677</v>
      </c>
      <c r="E682" s="258" t="s">
        <v>1678</v>
      </c>
      <c r="F682" s="208" t="s">
        <v>3044</v>
      </c>
      <c r="G682" s="192" t="s">
        <v>3166</v>
      </c>
      <c r="H682" s="193" t="s">
        <v>3727</v>
      </c>
      <c r="I682" s="125" t="s">
        <v>3728</v>
      </c>
      <c r="J682" s="211"/>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c r="A683" s="69"/>
      <c r="B683" s="35" t="s">
        <v>76</v>
      </c>
      <c r="C683" s="214" t="s">
        <v>75</v>
      </c>
      <c r="D683" s="258" t="s">
        <v>1526</v>
      </c>
      <c r="E683" s="258" t="s">
        <v>1527</v>
      </c>
      <c r="F683" s="208" t="s">
        <v>3014</v>
      </c>
      <c r="G683" s="192" t="s">
        <v>3113</v>
      </c>
      <c r="H683" s="193" t="s">
        <v>3729</v>
      </c>
      <c r="I683" s="125" t="s">
        <v>1529</v>
      </c>
      <c r="J683" s="211"/>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c r="A684" s="69"/>
      <c r="B684" s="35" t="s">
        <v>76</v>
      </c>
      <c r="C684" s="131" t="s">
        <v>75</v>
      </c>
      <c r="D684" s="81" t="s">
        <v>2680</v>
      </c>
      <c r="E684" s="81" t="s">
        <v>2681</v>
      </c>
      <c r="F684" s="160" t="s">
        <v>3049</v>
      </c>
      <c r="G684" s="146" t="s">
        <v>3538</v>
      </c>
      <c r="H684" s="147" t="s">
        <v>3539</v>
      </c>
      <c r="I684" s="81" t="s">
        <v>2683</v>
      </c>
      <c r="J684" s="163"/>
      <c r="K684" s="102" t="s">
        <v>3730</v>
      </c>
      <c r="L684" s="63"/>
      <c r="M684" s="63"/>
      <c r="N684" s="63"/>
      <c r="O684" s="63"/>
      <c r="P684" s="63"/>
      <c r="Q684" s="63"/>
      <c r="R684" s="63"/>
      <c r="S684" s="63"/>
      <c r="T684" s="63"/>
      <c r="U684" s="63"/>
      <c r="V684" s="63"/>
      <c r="W684" s="63"/>
      <c r="X684" s="63"/>
      <c r="Y684" s="63"/>
      <c r="Z684" s="63"/>
      <c r="AA684" s="63"/>
      <c r="AB684" s="63"/>
      <c r="AC684" s="63"/>
      <c r="AD684" s="63"/>
      <c r="AE684" s="63"/>
      <c r="AF684" s="63"/>
    </row>
    <row r="685">
      <c r="A685" s="69"/>
      <c r="B685" s="35" t="s">
        <v>76</v>
      </c>
      <c r="C685" s="261" t="s">
        <v>110</v>
      </c>
      <c r="D685" s="262" t="s">
        <v>1234</v>
      </c>
      <c r="E685" s="262" t="s">
        <v>1235</v>
      </c>
      <c r="F685" s="157">
        <v>0.7291666666666666</v>
      </c>
      <c r="G685" s="146" t="s">
        <v>3731</v>
      </c>
      <c r="H685" s="147" t="s">
        <v>3732</v>
      </c>
      <c r="I685" s="262" t="s">
        <v>1237</v>
      </c>
      <c r="J685" s="163"/>
      <c r="K685" s="102" t="s">
        <v>3733</v>
      </c>
      <c r="M685" s="63"/>
      <c r="N685" s="63"/>
      <c r="O685" s="63"/>
      <c r="P685" s="63"/>
      <c r="Q685" s="63"/>
      <c r="R685" s="63"/>
      <c r="S685" s="63"/>
      <c r="T685" s="63"/>
      <c r="U685" s="63"/>
      <c r="V685" s="63"/>
      <c r="W685" s="63"/>
      <c r="X685" s="63"/>
      <c r="Y685" s="63"/>
      <c r="Z685" s="63"/>
      <c r="AA685" s="63"/>
      <c r="AB685" s="63"/>
      <c r="AC685" s="63"/>
      <c r="AD685" s="63"/>
      <c r="AE685" s="63"/>
      <c r="AF685" s="63"/>
    </row>
    <row r="686">
      <c r="A686" s="79"/>
      <c r="B686" s="35" t="s">
        <v>76</v>
      </c>
      <c r="C686" s="214" t="s">
        <v>75</v>
      </c>
      <c r="D686" s="214" t="s">
        <v>3734</v>
      </c>
      <c r="E686" s="265"/>
      <c r="F686" s="208" t="s">
        <v>3249</v>
      </c>
      <c r="G686" s="192" t="s">
        <v>3735</v>
      </c>
      <c r="H686" s="193" t="s">
        <v>3736</v>
      </c>
      <c r="I686" s="125" t="s">
        <v>3737</v>
      </c>
      <c r="J686" s="211"/>
      <c r="K686" s="63"/>
      <c r="L686" s="102" t="s">
        <v>3738</v>
      </c>
      <c r="M686" s="63"/>
      <c r="N686" s="63"/>
      <c r="O686" s="63"/>
      <c r="P686" s="63"/>
      <c r="Q686" s="63"/>
      <c r="R686" s="63"/>
      <c r="S686" s="63"/>
      <c r="T686" s="63"/>
      <c r="U686" s="63"/>
      <c r="V686" s="63"/>
      <c r="W686" s="63"/>
      <c r="X686" s="63"/>
      <c r="Y686" s="63"/>
      <c r="Z686" s="63"/>
      <c r="AA686" s="63"/>
      <c r="AB686" s="63"/>
      <c r="AC686" s="63"/>
      <c r="AD686" s="63"/>
      <c r="AE686" s="63"/>
      <c r="AF686" s="63"/>
    </row>
    <row r="687">
      <c r="A687" s="189"/>
      <c r="B687" s="190">
        <v>44624.0</v>
      </c>
      <c r="C687" s="214" t="s">
        <v>75</v>
      </c>
      <c r="D687" s="258" t="s">
        <v>603</v>
      </c>
      <c r="E687" s="258" t="s">
        <v>604</v>
      </c>
      <c r="F687" s="208" t="s">
        <v>3249</v>
      </c>
      <c r="G687" s="192" t="s">
        <v>3113</v>
      </c>
      <c r="H687" s="193" t="s">
        <v>3716</v>
      </c>
      <c r="I687" s="125" t="s">
        <v>606</v>
      </c>
      <c r="J687" s="211"/>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c r="A688" s="239" t="s">
        <v>3478</v>
      </c>
      <c r="B688" s="35" t="s">
        <v>76</v>
      </c>
      <c r="C688" s="102"/>
      <c r="D688" s="109"/>
      <c r="E688" s="109"/>
      <c r="F688" s="167"/>
      <c r="G688" s="159"/>
      <c r="H688" s="102"/>
      <c r="I688" s="71"/>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c r="A689" s="69"/>
      <c r="B689" s="35" t="s">
        <v>76</v>
      </c>
      <c r="C689" s="102"/>
      <c r="D689" s="109"/>
      <c r="E689" s="109"/>
      <c r="F689" s="167"/>
      <c r="G689" s="159"/>
      <c r="H689" s="102"/>
      <c r="I689" s="71"/>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c r="A690" s="69"/>
      <c r="B690" s="35" t="s">
        <v>76</v>
      </c>
      <c r="C690" s="204" t="s">
        <v>80</v>
      </c>
      <c r="D690" s="125" t="s">
        <v>2789</v>
      </c>
      <c r="E690" s="125" t="s">
        <v>2790</v>
      </c>
      <c r="F690" s="208" t="s">
        <v>3057</v>
      </c>
      <c r="G690" s="266" t="s">
        <v>3078</v>
      </c>
      <c r="H690" s="193" t="s">
        <v>3423</v>
      </c>
      <c r="I690" s="267" t="s">
        <v>2793</v>
      </c>
      <c r="J690" s="102" t="s">
        <v>1185</v>
      </c>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c r="A691" s="69"/>
      <c r="B691" s="35" t="s">
        <v>76</v>
      </c>
      <c r="C691" s="204" t="s">
        <v>80</v>
      </c>
      <c r="D691" s="125" t="s">
        <v>1181</v>
      </c>
      <c r="E691" s="125" t="s">
        <v>1182</v>
      </c>
      <c r="F691" s="208" t="s">
        <v>3044</v>
      </c>
      <c r="G691" s="266" t="s">
        <v>3739</v>
      </c>
      <c r="H691" s="193" t="s">
        <v>3740</v>
      </c>
      <c r="I691" s="267" t="s">
        <v>1184</v>
      </c>
      <c r="J691" s="102" t="s">
        <v>1185</v>
      </c>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c r="A692" s="69"/>
      <c r="B692" s="35" t="s">
        <v>76</v>
      </c>
      <c r="C692" s="210" t="s">
        <v>110</v>
      </c>
      <c r="D692" s="81" t="s">
        <v>2223</v>
      </c>
      <c r="E692" s="81" t="s">
        <v>2224</v>
      </c>
      <c r="F692" s="157">
        <v>0.6666666666666666</v>
      </c>
      <c r="G692" s="146" t="s">
        <v>3440</v>
      </c>
      <c r="H692" s="147" t="s">
        <v>3741</v>
      </c>
      <c r="I692" s="81" t="s">
        <v>2226</v>
      </c>
      <c r="J692" s="1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c r="A693" s="69"/>
      <c r="B693" s="35" t="s">
        <v>76</v>
      </c>
      <c r="C693" s="204" t="s">
        <v>80</v>
      </c>
      <c r="D693" s="125" t="s">
        <v>462</v>
      </c>
      <c r="E693" s="258" t="s">
        <v>463</v>
      </c>
      <c r="F693" s="208" t="s">
        <v>3040</v>
      </c>
      <c r="G693" s="266" t="s">
        <v>3742</v>
      </c>
      <c r="H693" s="193" t="s">
        <v>3743</v>
      </c>
      <c r="I693" s="267" t="s">
        <v>465</v>
      </c>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c r="A694" s="69"/>
      <c r="B694" s="35" t="s">
        <v>76</v>
      </c>
      <c r="C694" s="102"/>
      <c r="D694" s="109"/>
      <c r="E694" s="109"/>
      <c r="F694" s="167"/>
      <c r="G694" s="159"/>
      <c r="H694" s="102"/>
      <c r="I694" s="71"/>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c r="A695" s="69"/>
      <c r="B695" s="35" t="s">
        <v>76</v>
      </c>
      <c r="C695" s="102"/>
      <c r="D695" s="109"/>
      <c r="E695" s="109"/>
      <c r="F695" s="167"/>
      <c r="G695" s="159"/>
      <c r="H695" s="102"/>
      <c r="I695" s="71"/>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c r="A696" s="79"/>
      <c r="B696" s="35" t="s">
        <v>76</v>
      </c>
      <c r="C696" s="102"/>
      <c r="D696" s="109"/>
      <c r="E696" s="109"/>
      <c r="F696" s="167"/>
      <c r="G696" s="159"/>
      <c r="H696" s="102"/>
      <c r="I696" s="71"/>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c r="A697" s="189"/>
      <c r="B697" s="190">
        <v>44627.0</v>
      </c>
      <c r="C697" s="102"/>
      <c r="D697" s="109"/>
      <c r="E697" s="109"/>
      <c r="F697" s="167"/>
      <c r="G697" s="159"/>
      <c r="H697" s="102"/>
      <c r="I697" s="71"/>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c r="A698" s="239" t="s">
        <v>3478</v>
      </c>
      <c r="B698" s="35" t="s">
        <v>76</v>
      </c>
      <c r="C698" s="102"/>
      <c r="D698" s="109"/>
      <c r="E698" s="109"/>
      <c r="F698" s="167"/>
      <c r="G698" s="159"/>
      <c r="H698" s="102"/>
      <c r="I698" s="71"/>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c r="A699" s="69"/>
      <c r="B699" s="35" t="s">
        <v>76</v>
      </c>
      <c r="C699" s="102"/>
      <c r="D699" s="202" t="s">
        <v>3744</v>
      </c>
      <c r="E699" s="61"/>
      <c r="F699" s="62"/>
      <c r="G699" s="159"/>
      <c r="H699" s="102"/>
      <c r="I699" s="71"/>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c r="A700" s="69"/>
      <c r="B700" s="35" t="s">
        <v>76</v>
      </c>
      <c r="C700" s="102"/>
      <c r="D700" s="109"/>
      <c r="E700" s="109"/>
      <c r="F700" s="167"/>
      <c r="G700" s="159"/>
      <c r="H700" s="102"/>
      <c r="I700" s="71"/>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c r="A701" s="69"/>
      <c r="B701" s="35" t="s">
        <v>76</v>
      </c>
      <c r="C701" s="214" t="s">
        <v>75</v>
      </c>
      <c r="D701" s="258" t="s">
        <v>1479</v>
      </c>
      <c r="E701" s="258" t="s">
        <v>1480</v>
      </c>
      <c r="F701" s="208" t="s">
        <v>3057</v>
      </c>
      <c r="G701" s="192" t="s">
        <v>3745</v>
      </c>
      <c r="H701" s="193" t="s">
        <v>3746</v>
      </c>
      <c r="I701" s="125" t="s">
        <v>1482</v>
      </c>
      <c r="J701" s="211"/>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c r="A702" s="69"/>
      <c r="B702" s="35" t="s">
        <v>76</v>
      </c>
      <c r="C702" s="214" t="s">
        <v>75</v>
      </c>
      <c r="D702" s="258" t="s">
        <v>1909</v>
      </c>
      <c r="E702" s="258" t="s">
        <v>1910</v>
      </c>
      <c r="F702" s="208" t="s">
        <v>3044</v>
      </c>
      <c r="G702" s="192" t="s">
        <v>3747</v>
      </c>
      <c r="H702" s="193" t="s">
        <v>3748</v>
      </c>
      <c r="I702" s="125" t="s">
        <v>1913</v>
      </c>
      <c r="J702" s="211"/>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c r="A703" s="69"/>
      <c r="B703" s="35" t="s">
        <v>76</v>
      </c>
      <c r="C703" s="214" t="s">
        <v>75</v>
      </c>
      <c r="D703" s="258" t="s">
        <v>2090</v>
      </c>
      <c r="E703" s="258" t="s">
        <v>2091</v>
      </c>
      <c r="F703" s="208" t="s">
        <v>3049</v>
      </c>
      <c r="G703" s="192" t="s">
        <v>3745</v>
      </c>
      <c r="H703" s="193" t="s">
        <v>3749</v>
      </c>
      <c r="I703" s="125" t="s">
        <v>2093</v>
      </c>
      <c r="J703" s="211"/>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c r="A704" s="69"/>
      <c r="B704" s="35" t="s">
        <v>76</v>
      </c>
      <c r="C704" s="131" t="s">
        <v>75</v>
      </c>
      <c r="D704" s="262" t="s">
        <v>1254</v>
      </c>
      <c r="E704" s="262" t="s">
        <v>1255</v>
      </c>
      <c r="F704" s="160" t="s">
        <v>3306</v>
      </c>
      <c r="G704" s="146" t="s">
        <v>3750</v>
      </c>
      <c r="H704" s="147" t="s">
        <v>3751</v>
      </c>
      <c r="I704" s="81" t="s">
        <v>1257</v>
      </c>
      <c r="J704" s="163"/>
      <c r="K704" s="102" t="s">
        <v>3752</v>
      </c>
      <c r="L704" s="63"/>
      <c r="M704" s="63"/>
      <c r="N704" s="63"/>
      <c r="O704" s="63"/>
      <c r="P704" s="63"/>
      <c r="Q704" s="63"/>
      <c r="R704" s="63"/>
      <c r="S704" s="63"/>
      <c r="T704" s="63"/>
      <c r="U704" s="63"/>
      <c r="V704" s="63"/>
      <c r="W704" s="63"/>
      <c r="X704" s="63"/>
      <c r="Y704" s="63"/>
      <c r="Z704" s="63"/>
      <c r="AA704" s="63"/>
      <c r="AB704" s="63"/>
      <c r="AC704" s="63"/>
      <c r="AD704" s="63"/>
      <c r="AE704" s="63"/>
      <c r="AF704" s="63"/>
    </row>
    <row r="705">
      <c r="A705" s="69"/>
      <c r="B705" s="35" t="s">
        <v>76</v>
      </c>
      <c r="C705" s="214" t="s">
        <v>75</v>
      </c>
      <c r="D705" s="258" t="s">
        <v>545</v>
      </c>
      <c r="E705" s="258" t="s">
        <v>546</v>
      </c>
      <c r="F705" s="208" t="s">
        <v>3249</v>
      </c>
      <c r="G705" s="192" t="s">
        <v>3753</v>
      </c>
      <c r="H705" s="193" t="s">
        <v>3754</v>
      </c>
      <c r="I705" s="258" t="s">
        <v>549</v>
      </c>
      <c r="J705" s="211"/>
      <c r="K705" s="211"/>
      <c r="L705" s="63"/>
      <c r="M705" s="63"/>
      <c r="N705" s="63"/>
      <c r="O705" s="63"/>
      <c r="P705" s="63"/>
      <c r="Q705" s="63"/>
      <c r="R705" s="63"/>
      <c r="S705" s="63"/>
      <c r="T705" s="63"/>
      <c r="U705" s="63"/>
      <c r="V705" s="63"/>
      <c r="W705" s="63"/>
      <c r="X705" s="63"/>
      <c r="Y705" s="63"/>
      <c r="Z705" s="63"/>
      <c r="AA705" s="63"/>
      <c r="AB705" s="63"/>
      <c r="AC705" s="63"/>
      <c r="AD705" s="63"/>
      <c r="AE705" s="63"/>
      <c r="AF705" s="63"/>
    </row>
    <row r="706">
      <c r="A706" s="69"/>
      <c r="B706" s="35" t="s">
        <v>76</v>
      </c>
      <c r="C706" s="214" t="s">
        <v>75</v>
      </c>
      <c r="D706" s="258" t="s">
        <v>1564</v>
      </c>
      <c r="E706" s="258" t="s">
        <v>1565</v>
      </c>
      <c r="F706" s="208" t="s">
        <v>3755</v>
      </c>
      <c r="G706" s="192" t="s">
        <v>3704</v>
      </c>
      <c r="H706" s="193" t="s">
        <v>3756</v>
      </c>
      <c r="I706" s="258" t="s">
        <v>1567</v>
      </c>
      <c r="J706" s="211"/>
      <c r="K706" s="211"/>
      <c r="L706" s="63"/>
      <c r="M706" s="63"/>
      <c r="N706" s="63"/>
      <c r="O706" s="63"/>
      <c r="P706" s="63"/>
      <c r="Q706" s="63"/>
      <c r="R706" s="63"/>
      <c r="S706" s="63"/>
      <c r="T706" s="63"/>
      <c r="U706" s="63"/>
      <c r="V706" s="63"/>
      <c r="W706" s="63"/>
      <c r="X706" s="63"/>
      <c r="Y706" s="63"/>
      <c r="Z706" s="63"/>
      <c r="AA706" s="63"/>
      <c r="AB706" s="63"/>
      <c r="AC706" s="63"/>
      <c r="AD706" s="63"/>
      <c r="AE706" s="63"/>
      <c r="AF706" s="63"/>
    </row>
    <row r="707">
      <c r="A707" s="79"/>
      <c r="B707" s="35" t="s">
        <v>76</v>
      </c>
      <c r="C707" s="214" t="s">
        <v>75</v>
      </c>
      <c r="D707" s="258" t="s">
        <v>67</v>
      </c>
      <c r="E707" s="258" t="s">
        <v>68</v>
      </c>
      <c r="F707" s="208" t="s">
        <v>3757</v>
      </c>
      <c r="G707" s="192" t="s">
        <v>3758</v>
      </c>
      <c r="H707" s="193" t="s">
        <v>3759</v>
      </c>
      <c r="I707" s="125" t="s">
        <v>73</v>
      </c>
      <c r="J707" s="211"/>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c r="A708" s="189"/>
      <c r="B708" s="190">
        <v>44628.0</v>
      </c>
      <c r="C708" s="102"/>
      <c r="D708" s="109"/>
      <c r="E708" s="109"/>
      <c r="F708" s="167"/>
      <c r="G708" s="159"/>
      <c r="H708" s="102"/>
      <c r="I708" s="71"/>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c r="A709" s="239" t="s">
        <v>3478</v>
      </c>
      <c r="B709" s="35" t="s">
        <v>76</v>
      </c>
      <c r="C709" s="102"/>
      <c r="D709" s="109"/>
      <c r="E709" s="109"/>
      <c r="F709" s="167"/>
      <c r="G709" s="159"/>
      <c r="H709" s="102"/>
      <c r="I709" s="71"/>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c r="A710" s="69"/>
      <c r="B710" s="35" t="s">
        <v>76</v>
      </c>
      <c r="C710" s="102"/>
      <c r="D710" s="109"/>
      <c r="E710" s="109"/>
      <c r="F710" s="167"/>
      <c r="G710" s="159"/>
      <c r="H710" s="102"/>
      <c r="I710" s="71"/>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c r="A711" s="69"/>
      <c r="B711" s="35" t="s">
        <v>76</v>
      </c>
      <c r="C711" s="102"/>
      <c r="D711" s="109"/>
      <c r="E711" s="109"/>
      <c r="F711" s="167"/>
      <c r="G711" s="159"/>
      <c r="H711" s="102"/>
      <c r="I711" s="71"/>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c r="A712" s="69"/>
      <c r="B712" s="35" t="s">
        <v>76</v>
      </c>
      <c r="C712" s="102"/>
      <c r="D712" s="109"/>
      <c r="E712" s="109"/>
      <c r="F712" s="167"/>
      <c r="G712" s="159"/>
      <c r="H712" s="102"/>
      <c r="I712" s="71"/>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c r="A713" s="69"/>
      <c r="B713" s="35" t="s">
        <v>76</v>
      </c>
      <c r="C713" s="214" t="s">
        <v>75</v>
      </c>
      <c r="D713" s="268" t="s">
        <v>1126</v>
      </c>
      <c r="E713" s="269" t="s">
        <v>1127</v>
      </c>
      <c r="F713" s="208" t="s">
        <v>3011</v>
      </c>
      <c r="G713" s="192" t="s">
        <v>3760</v>
      </c>
      <c r="H713" s="193" t="s">
        <v>3761</v>
      </c>
      <c r="I713" s="125" t="s">
        <v>1129</v>
      </c>
      <c r="J713" s="211"/>
      <c r="K713" s="163"/>
      <c r="L713" s="102" t="s">
        <v>3762</v>
      </c>
      <c r="M713" s="63"/>
      <c r="N713" s="63"/>
      <c r="O713" s="63"/>
      <c r="P713" s="63"/>
      <c r="Q713" s="63"/>
      <c r="R713" s="63"/>
      <c r="S713" s="63"/>
      <c r="T713" s="63"/>
      <c r="U713" s="63"/>
      <c r="V713" s="63"/>
      <c r="W713" s="63"/>
      <c r="X713" s="63"/>
      <c r="Y713" s="63"/>
      <c r="Z713" s="63"/>
      <c r="AA713" s="63"/>
      <c r="AB713" s="63"/>
      <c r="AC713" s="63"/>
      <c r="AD713" s="63"/>
      <c r="AE713" s="63"/>
      <c r="AF713" s="63"/>
    </row>
    <row r="714">
      <c r="A714" s="69"/>
      <c r="B714" s="35" t="s">
        <v>76</v>
      </c>
      <c r="C714" s="214" t="s">
        <v>75</v>
      </c>
      <c r="D714" s="268" t="s">
        <v>1131</v>
      </c>
      <c r="E714" s="269" t="s">
        <v>1132</v>
      </c>
      <c r="F714" s="208" t="s">
        <v>3014</v>
      </c>
      <c r="G714" s="192" t="s">
        <v>3763</v>
      </c>
      <c r="H714" s="193" t="s">
        <v>3764</v>
      </c>
      <c r="I714" s="125" t="s">
        <v>1134</v>
      </c>
      <c r="J714" s="211"/>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c r="A715" s="69"/>
      <c r="B715" s="35" t="s">
        <v>76</v>
      </c>
      <c r="C715" s="214" t="s">
        <v>75</v>
      </c>
      <c r="D715" s="268" t="s">
        <v>170</v>
      </c>
      <c r="E715" s="269" t="s">
        <v>171</v>
      </c>
      <c r="F715" s="208" t="s">
        <v>3211</v>
      </c>
      <c r="G715" s="192" t="s">
        <v>3765</v>
      </c>
      <c r="H715" s="193" t="s">
        <v>3766</v>
      </c>
      <c r="I715" s="125" t="s">
        <v>175</v>
      </c>
      <c r="J715" s="211"/>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c r="A716" s="69"/>
      <c r="B716" s="35" t="s">
        <v>76</v>
      </c>
      <c r="C716" s="214" t="s">
        <v>75</v>
      </c>
      <c r="D716" s="270" t="s">
        <v>2714</v>
      </c>
      <c r="E716" s="271" t="s">
        <v>2715</v>
      </c>
      <c r="F716" s="208" t="s">
        <v>3040</v>
      </c>
      <c r="G716" s="192" t="s">
        <v>3767</v>
      </c>
      <c r="H716" s="193" t="s">
        <v>3768</v>
      </c>
      <c r="I716" s="125" t="s">
        <v>1926</v>
      </c>
      <c r="J716" s="211"/>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c r="A717" s="79"/>
      <c r="B717" s="35" t="s">
        <v>76</v>
      </c>
      <c r="C717" s="214" t="s">
        <v>75</v>
      </c>
      <c r="D717" s="214" t="s">
        <v>3769</v>
      </c>
      <c r="E717" s="214" t="s">
        <v>3770</v>
      </c>
      <c r="F717" s="208" t="s">
        <v>3249</v>
      </c>
      <c r="G717" s="192" t="s">
        <v>3771</v>
      </c>
      <c r="H717" s="193" t="s">
        <v>3772</v>
      </c>
      <c r="I717" s="125" t="s">
        <v>3773</v>
      </c>
      <c r="J717" s="211"/>
      <c r="K717" s="102" t="s">
        <v>3774</v>
      </c>
      <c r="L717" s="63"/>
      <c r="M717" s="63"/>
      <c r="N717" s="63"/>
      <c r="O717" s="63"/>
      <c r="P717" s="63"/>
      <c r="Q717" s="63"/>
      <c r="R717" s="63"/>
      <c r="S717" s="63"/>
      <c r="T717" s="63"/>
      <c r="U717" s="63"/>
      <c r="V717" s="63"/>
      <c r="W717" s="63"/>
      <c r="X717" s="63"/>
      <c r="Y717" s="63"/>
      <c r="Z717" s="63"/>
      <c r="AA717" s="63"/>
      <c r="AB717" s="63"/>
      <c r="AC717" s="63"/>
      <c r="AD717" s="63"/>
      <c r="AE717" s="63"/>
      <c r="AF717" s="63"/>
    </row>
    <row r="718">
      <c r="A718" s="189"/>
      <c r="B718" s="190">
        <v>44629.0</v>
      </c>
      <c r="C718" s="102"/>
      <c r="D718" s="109"/>
      <c r="E718" s="109"/>
      <c r="F718" s="167"/>
      <c r="G718" s="159"/>
      <c r="H718" s="102"/>
      <c r="I718" s="71"/>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c r="A719" s="239" t="s">
        <v>3478</v>
      </c>
      <c r="B719" s="35" t="s">
        <v>76</v>
      </c>
      <c r="C719" s="102"/>
      <c r="D719" s="202" t="s">
        <v>3775</v>
      </c>
      <c r="E719" s="62"/>
      <c r="F719" s="167"/>
      <c r="G719" s="159"/>
      <c r="H719" s="102"/>
      <c r="I719" s="71"/>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c r="A720" s="69"/>
      <c r="B720" s="35" t="s">
        <v>76</v>
      </c>
      <c r="C720" s="102"/>
      <c r="D720" s="109"/>
      <c r="E720" s="109"/>
      <c r="F720" s="167"/>
      <c r="G720" s="159"/>
      <c r="H720" s="102"/>
      <c r="I720" s="71"/>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c r="A721" s="69"/>
      <c r="B721" s="35" t="s">
        <v>76</v>
      </c>
      <c r="C721" s="204" t="s">
        <v>80</v>
      </c>
      <c r="D721" s="125" t="s">
        <v>1816</v>
      </c>
      <c r="E721" s="125" t="s">
        <v>1817</v>
      </c>
      <c r="F721" s="208" t="s">
        <v>3219</v>
      </c>
      <c r="G721" s="212" t="s">
        <v>3776</v>
      </c>
      <c r="H721" s="193" t="s">
        <v>3777</v>
      </c>
      <c r="I721" s="213" t="s">
        <v>1819</v>
      </c>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c r="A722" s="69"/>
      <c r="B722" s="35" t="s">
        <v>76</v>
      </c>
      <c r="C722" s="204" t="s">
        <v>80</v>
      </c>
      <c r="D722" s="125" t="s">
        <v>1328</v>
      </c>
      <c r="E722" s="125" t="s">
        <v>1329</v>
      </c>
      <c r="F722" s="208" t="s">
        <v>3044</v>
      </c>
      <c r="G722" s="266" t="s">
        <v>3086</v>
      </c>
      <c r="H722" s="193" t="s">
        <v>3778</v>
      </c>
      <c r="I722" s="213" t="s">
        <v>1331</v>
      </c>
      <c r="J722" s="102" t="s">
        <v>1185</v>
      </c>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c r="A723" s="69"/>
      <c r="B723" s="35" t="s">
        <v>76</v>
      </c>
      <c r="C723" s="210" t="s">
        <v>80</v>
      </c>
      <c r="D723" s="81" t="s">
        <v>804</v>
      </c>
      <c r="E723" s="81" t="s">
        <v>805</v>
      </c>
      <c r="F723" s="160" t="s">
        <v>3014</v>
      </c>
      <c r="G723" s="272" t="s">
        <v>2900</v>
      </c>
      <c r="H723" s="147" t="s">
        <v>3779</v>
      </c>
      <c r="I723" s="273" t="s">
        <v>3780</v>
      </c>
      <c r="J723" s="162" t="s">
        <v>3781</v>
      </c>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c r="A724" s="69"/>
      <c r="B724" s="35" t="s">
        <v>76</v>
      </c>
      <c r="C724" s="204" t="s">
        <v>80</v>
      </c>
      <c r="D724" s="258" t="s">
        <v>990</v>
      </c>
      <c r="E724" s="258" t="s">
        <v>991</v>
      </c>
      <c r="F724" s="274" t="s">
        <v>3647</v>
      </c>
      <c r="G724" s="266" t="s">
        <v>2946</v>
      </c>
      <c r="H724" s="193" t="s">
        <v>3782</v>
      </c>
      <c r="I724" s="213" t="s">
        <v>992</v>
      </c>
      <c r="J724" s="102" t="s">
        <v>1185</v>
      </c>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c r="A725" s="69"/>
      <c r="B725" s="35" t="s">
        <v>76</v>
      </c>
      <c r="C725" s="102"/>
      <c r="D725" s="109"/>
      <c r="E725" s="109"/>
      <c r="F725" s="167"/>
      <c r="G725" s="159"/>
      <c r="H725" s="102"/>
      <c r="I725" s="71"/>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c r="A726" s="69"/>
      <c r="B726" s="35" t="s">
        <v>76</v>
      </c>
      <c r="C726" s="102"/>
      <c r="D726" s="109"/>
      <c r="E726" s="109"/>
      <c r="F726" s="167"/>
      <c r="G726" s="159"/>
      <c r="H726" s="102"/>
      <c r="I726" s="71"/>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c r="A727" s="79"/>
      <c r="B727" s="35" t="s">
        <v>76</v>
      </c>
      <c r="C727" s="102"/>
      <c r="D727" s="109"/>
      <c r="E727" s="109"/>
      <c r="F727" s="167"/>
      <c r="G727" s="159"/>
      <c r="H727" s="102"/>
      <c r="I727" s="71"/>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c r="A728" s="189"/>
      <c r="B728" s="190">
        <v>44630.0</v>
      </c>
      <c r="C728" s="102"/>
      <c r="D728" s="109"/>
      <c r="E728" s="109"/>
      <c r="F728" s="167"/>
      <c r="G728" s="159"/>
      <c r="H728" s="102"/>
      <c r="I728" s="71"/>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c r="A729" s="239" t="s">
        <v>3478</v>
      </c>
      <c r="B729" s="35" t="s">
        <v>76</v>
      </c>
      <c r="C729" s="102"/>
      <c r="D729" s="109"/>
      <c r="E729" s="275" t="s">
        <v>3783</v>
      </c>
      <c r="F729" s="61"/>
      <c r="G729" s="61"/>
      <c r="H729" s="62"/>
      <c r="I729" s="71"/>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c r="A730" s="69"/>
      <c r="B730" s="35" t="s">
        <v>76</v>
      </c>
      <c r="C730" s="102"/>
      <c r="D730" s="109"/>
      <c r="E730" s="109"/>
      <c r="F730" s="167"/>
      <c r="G730" s="159"/>
      <c r="H730" s="102"/>
      <c r="I730" s="71"/>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c r="A731" s="69"/>
      <c r="B731" s="35" t="s">
        <v>76</v>
      </c>
      <c r="C731" s="102"/>
      <c r="D731" s="109"/>
      <c r="E731" s="109"/>
      <c r="F731" s="167"/>
      <c r="G731" s="159"/>
      <c r="H731" s="102"/>
      <c r="I731" s="71"/>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c r="A732" s="69"/>
      <c r="B732" s="35" t="s">
        <v>76</v>
      </c>
      <c r="C732" s="204" t="s">
        <v>80</v>
      </c>
      <c r="D732" s="125" t="s">
        <v>1379</v>
      </c>
      <c r="E732" s="125" t="s">
        <v>1380</v>
      </c>
      <c r="F732" s="208" t="s">
        <v>3044</v>
      </c>
      <c r="G732" s="212" t="s">
        <v>3784</v>
      </c>
      <c r="H732" s="193" t="s">
        <v>3785</v>
      </c>
      <c r="I732" s="213" t="s">
        <v>1383</v>
      </c>
      <c r="J732" s="211"/>
      <c r="K732" s="211"/>
      <c r="L732" s="63"/>
      <c r="M732" s="63"/>
      <c r="N732" s="63"/>
      <c r="O732" s="63"/>
      <c r="P732" s="63"/>
      <c r="Q732" s="63"/>
      <c r="R732" s="63"/>
      <c r="S732" s="63"/>
      <c r="T732" s="63"/>
      <c r="U732" s="63"/>
      <c r="V732" s="63"/>
      <c r="W732" s="63"/>
      <c r="X732" s="63"/>
      <c r="Y732" s="63"/>
      <c r="Z732" s="63"/>
      <c r="AA732" s="63"/>
      <c r="AB732" s="63"/>
      <c r="AC732" s="63"/>
      <c r="AD732" s="63"/>
      <c r="AE732" s="63"/>
      <c r="AF732" s="63"/>
    </row>
    <row r="733">
      <c r="A733" s="69"/>
      <c r="B733" s="35" t="s">
        <v>76</v>
      </c>
      <c r="C733" s="214" t="s">
        <v>3786</v>
      </c>
      <c r="D733" s="125" t="s">
        <v>1497</v>
      </c>
      <c r="E733" s="125" t="s">
        <v>1498</v>
      </c>
      <c r="F733" s="208" t="s">
        <v>3014</v>
      </c>
      <c r="G733" s="192" t="s">
        <v>3787</v>
      </c>
      <c r="H733" s="193" t="s">
        <v>3788</v>
      </c>
      <c r="I733" s="125" t="s">
        <v>1500</v>
      </c>
      <c r="J733" s="211"/>
      <c r="K733" s="211"/>
      <c r="L733" s="63"/>
      <c r="M733" s="63"/>
      <c r="N733" s="63"/>
      <c r="O733" s="63"/>
      <c r="P733" s="63"/>
      <c r="Q733" s="63"/>
      <c r="R733" s="63"/>
      <c r="S733" s="63"/>
      <c r="T733" s="63"/>
      <c r="U733" s="63"/>
      <c r="V733" s="63"/>
      <c r="W733" s="63"/>
      <c r="X733" s="63"/>
      <c r="Y733" s="63"/>
      <c r="Z733" s="63"/>
      <c r="AA733" s="63"/>
      <c r="AB733" s="63"/>
      <c r="AC733" s="63"/>
      <c r="AD733" s="63"/>
      <c r="AE733" s="63"/>
      <c r="AF733" s="63"/>
    </row>
    <row r="734">
      <c r="A734" s="69"/>
      <c r="B734" s="35" t="s">
        <v>76</v>
      </c>
      <c r="C734" s="214" t="s">
        <v>3786</v>
      </c>
      <c r="D734" s="125" t="s">
        <v>540</v>
      </c>
      <c r="E734" s="125" t="s">
        <v>541</v>
      </c>
      <c r="F734" s="208" t="s">
        <v>3049</v>
      </c>
      <c r="G734" s="192" t="s">
        <v>3789</v>
      </c>
      <c r="H734" s="193" t="s">
        <v>3790</v>
      </c>
      <c r="I734" s="125" t="s">
        <v>544</v>
      </c>
      <c r="J734" s="211"/>
      <c r="K734" s="211"/>
      <c r="L734" s="63"/>
      <c r="M734" s="63"/>
      <c r="N734" s="63"/>
      <c r="O734" s="63"/>
      <c r="P734" s="63"/>
      <c r="Q734" s="63"/>
      <c r="R734" s="63"/>
      <c r="S734" s="63"/>
      <c r="T734" s="63"/>
      <c r="U734" s="63"/>
      <c r="V734" s="63"/>
      <c r="W734" s="63"/>
      <c r="X734" s="63"/>
      <c r="Y734" s="63"/>
      <c r="Z734" s="63"/>
      <c r="AA734" s="63"/>
      <c r="AB734" s="63"/>
      <c r="AC734" s="63"/>
      <c r="AD734" s="63"/>
      <c r="AE734" s="63"/>
      <c r="AF734" s="63"/>
    </row>
    <row r="735">
      <c r="A735" s="69"/>
      <c r="B735" s="35" t="s">
        <v>76</v>
      </c>
      <c r="C735" s="214" t="s">
        <v>3786</v>
      </c>
      <c r="D735" s="125" t="s">
        <v>2624</v>
      </c>
      <c r="E735" s="125" t="s">
        <v>2625</v>
      </c>
      <c r="F735" s="208" t="s">
        <v>3040</v>
      </c>
      <c r="G735" s="192" t="s">
        <v>3789</v>
      </c>
      <c r="H735" s="193" t="s">
        <v>3707</v>
      </c>
      <c r="I735" s="125" t="s">
        <v>2627</v>
      </c>
      <c r="J735" s="211"/>
      <c r="K735" s="211"/>
      <c r="L735" s="63"/>
      <c r="M735" s="63"/>
      <c r="N735" s="63"/>
      <c r="O735" s="63"/>
      <c r="P735" s="63"/>
      <c r="Q735" s="63"/>
      <c r="R735" s="63"/>
      <c r="S735" s="63"/>
      <c r="T735" s="63"/>
      <c r="U735" s="63"/>
      <c r="V735" s="63"/>
      <c r="W735" s="63"/>
      <c r="X735" s="63"/>
      <c r="Y735" s="63"/>
      <c r="Z735" s="63"/>
      <c r="AA735" s="63"/>
      <c r="AB735" s="63"/>
      <c r="AC735" s="63"/>
      <c r="AD735" s="63"/>
      <c r="AE735" s="63"/>
      <c r="AF735" s="63"/>
    </row>
    <row r="736">
      <c r="A736" s="69"/>
      <c r="B736" s="35" t="s">
        <v>76</v>
      </c>
      <c r="C736" s="102"/>
      <c r="D736" s="109"/>
      <c r="E736" s="109"/>
      <c r="F736" s="167"/>
      <c r="G736" s="159"/>
      <c r="H736" s="102"/>
      <c r="I736" s="71"/>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c r="A737" s="69"/>
      <c r="B737" s="35" t="s">
        <v>76</v>
      </c>
      <c r="C737" s="102"/>
      <c r="D737" s="109"/>
      <c r="E737" s="109"/>
      <c r="F737" s="167"/>
      <c r="G737" s="159"/>
      <c r="H737" s="102"/>
      <c r="I737" s="71"/>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c r="A738" s="79"/>
      <c r="B738" s="35" t="s">
        <v>76</v>
      </c>
      <c r="C738" s="102"/>
      <c r="D738" s="109"/>
      <c r="E738" s="109"/>
      <c r="F738" s="167"/>
      <c r="G738" s="159"/>
      <c r="H738" s="102"/>
      <c r="I738" s="71"/>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c r="A739" s="189"/>
      <c r="B739" s="190">
        <v>44631.0</v>
      </c>
      <c r="C739" s="102"/>
      <c r="D739" s="109"/>
      <c r="E739" s="109"/>
      <c r="F739" s="167"/>
      <c r="G739" s="159"/>
      <c r="H739" s="102"/>
      <c r="I739" s="71"/>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c r="A740" s="239" t="s">
        <v>3478</v>
      </c>
      <c r="B740" s="35" t="s">
        <v>76</v>
      </c>
      <c r="C740" s="102"/>
      <c r="D740" s="109"/>
      <c r="E740" s="221" t="s">
        <v>3791</v>
      </c>
      <c r="F740" s="276"/>
      <c r="G740" s="277"/>
      <c r="H740" s="278"/>
      <c r="I740" s="71"/>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c r="A741" s="69"/>
      <c r="B741" s="35" t="s">
        <v>76</v>
      </c>
      <c r="C741" s="216"/>
      <c r="D741" s="279"/>
      <c r="E741" s="279"/>
      <c r="F741" s="280"/>
      <c r="G741" s="281"/>
      <c r="H741" s="216"/>
      <c r="I741" s="92"/>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c r="A742" s="69"/>
      <c r="B742" s="35" t="s">
        <v>76</v>
      </c>
      <c r="C742" s="210" t="s">
        <v>80</v>
      </c>
      <c r="D742" s="262" t="s">
        <v>1409</v>
      </c>
      <c r="E742" s="262" t="s">
        <v>1410</v>
      </c>
      <c r="F742" s="160" t="s">
        <v>3044</v>
      </c>
      <c r="G742" s="282" t="s">
        <v>3275</v>
      </c>
      <c r="H742" s="147" t="s">
        <v>3792</v>
      </c>
      <c r="I742" s="283" t="s">
        <v>1412</v>
      </c>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c r="A743" s="69"/>
      <c r="B743" s="35" t="s">
        <v>76</v>
      </c>
      <c r="C743" s="210" t="s">
        <v>80</v>
      </c>
      <c r="D743" s="262" t="s">
        <v>1549</v>
      </c>
      <c r="E743" s="262" t="s">
        <v>1550</v>
      </c>
      <c r="F743" s="160" t="s">
        <v>3014</v>
      </c>
      <c r="G743" s="282" t="s">
        <v>3793</v>
      </c>
      <c r="H743" s="147" t="s">
        <v>3794</v>
      </c>
      <c r="I743" s="283" t="s">
        <v>1553</v>
      </c>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c r="A744" s="69"/>
      <c r="B744" s="35" t="s">
        <v>76</v>
      </c>
      <c r="C744" s="210" t="s">
        <v>80</v>
      </c>
      <c r="D744" s="81" t="s">
        <v>2773</v>
      </c>
      <c r="E744" s="81" t="s">
        <v>2774</v>
      </c>
      <c r="F744" s="160" t="s">
        <v>3049</v>
      </c>
      <c r="G744" s="272" t="s">
        <v>3795</v>
      </c>
      <c r="H744" s="147" t="s">
        <v>3796</v>
      </c>
      <c r="I744" s="273" t="s">
        <v>2776</v>
      </c>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c r="A745" s="69"/>
      <c r="B745" s="35" t="s">
        <v>76</v>
      </c>
      <c r="C745" s="210" t="s">
        <v>80</v>
      </c>
      <c r="D745" s="81" t="s">
        <v>2745</v>
      </c>
      <c r="E745" s="81" t="s">
        <v>2746</v>
      </c>
      <c r="F745" s="160" t="s">
        <v>3306</v>
      </c>
      <c r="G745" s="272" t="s">
        <v>3797</v>
      </c>
      <c r="H745" s="147" t="s">
        <v>3798</v>
      </c>
      <c r="I745" s="273" t="s">
        <v>2744</v>
      </c>
      <c r="J745" s="102" t="s">
        <v>3709</v>
      </c>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c r="A746" s="69"/>
      <c r="B746" s="35" t="s">
        <v>76</v>
      </c>
      <c r="C746" s="66"/>
      <c r="D746" s="66"/>
      <c r="E746" s="66"/>
      <c r="F746" s="66"/>
      <c r="G746" s="66"/>
      <c r="H746" s="66"/>
      <c r="I746" s="66"/>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c r="A747" s="69"/>
      <c r="B747" s="35" t="s">
        <v>76</v>
      </c>
      <c r="C747" s="66"/>
      <c r="D747" s="66"/>
      <c r="E747" s="66"/>
      <c r="F747" s="66"/>
      <c r="G747" s="66"/>
      <c r="H747" s="66"/>
      <c r="I747" s="66"/>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c r="A748" s="69"/>
      <c r="B748" s="35" t="s">
        <v>76</v>
      </c>
      <c r="C748" s="66"/>
      <c r="D748" s="66"/>
      <c r="E748" s="66"/>
      <c r="F748" s="66"/>
      <c r="G748" s="66"/>
      <c r="H748" s="66"/>
      <c r="I748" s="66"/>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c r="A749" s="79"/>
      <c r="B749" s="35" t="s">
        <v>76</v>
      </c>
      <c r="C749" s="109"/>
      <c r="D749" s="109"/>
      <c r="E749" s="167"/>
      <c r="F749" s="159"/>
      <c r="G749" s="102"/>
      <c r="H749" s="71"/>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c r="A750" s="189"/>
      <c r="B750" s="190">
        <v>44634.0</v>
      </c>
      <c r="C750" s="102"/>
      <c r="D750" s="109"/>
      <c r="E750" s="109"/>
      <c r="F750" s="167"/>
      <c r="G750" s="159"/>
      <c r="H750" s="102"/>
      <c r="I750" s="71"/>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c r="A751" s="239" t="s">
        <v>3478</v>
      </c>
      <c r="B751" s="35" t="s">
        <v>76</v>
      </c>
      <c r="C751" s="102"/>
      <c r="D751" s="137" t="s">
        <v>3709</v>
      </c>
      <c r="E751" s="109"/>
      <c r="F751" s="167"/>
      <c r="G751" s="159"/>
      <c r="H751" s="102"/>
      <c r="I751" s="71"/>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c r="A752" s="69"/>
      <c r="B752" s="35" t="s">
        <v>76</v>
      </c>
      <c r="C752" s="214" t="s">
        <v>2616</v>
      </c>
      <c r="D752" s="125" t="s">
        <v>2001</v>
      </c>
      <c r="E752" s="125" t="s">
        <v>2002</v>
      </c>
      <c r="F752" s="191">
        <v>0.4583333333333333</v>
      </c>
      <c r="G752" s="192" t="s">
        <v>3234</v>
      </c>
      <c r="H752" s="193" t="s">
        <v>3799</v>
      </c>
      <c r="I752" s="125" t="s">
        <v>3800</v>
      </c>
      <c r="J752" s="211"/>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c r="A753" s="69"/>
      <c r="B753" s="35" t="s">
        <v>76</v>
      </c>
      <c r="C753" s="193" t="s">
        <v>127</v>
      </c>
      <c r="D753" s="125" t="s">
        <v>2855</v>
      </c>
      <c r="E753" s="125" t="s">
        <v>2856</v>
      </c>
      <c r="F753" s="191">
        <v>0.5416666666666666</v>
      </c>
      <c r="G753" s="192" t="s">
        <v>3084</v>
      </c>
      <c r="H753" s="193" t="s">
        <v>3801</v>
      </c>
      <c r="I753" s="125" t="s">
        <v>2858</v>
      </c>
      <c r="J753" s="193" t="s">
        <v>627</v>
      </c>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c r="A754" s="69"/>
      <c r="B754" s="35" t="s">
        <v>76</v>
      </c>
      <c r="C754" s="204" t="s">
        <v>80</v>
      </c>
      <c r="D754" s="258" t="s">
        <v>1549</v>
      </c>
      <c r="E754" s="258" t="s">
        <v>1550</v>
      </c>
      <c r="F754" s="208" t="s">
        <v>3014</v>
      </c>
      <c r="G754" s="266" t="s">
        <v>3793</v>
      </c>
      <c r="H754" s="193" t="s">
        <v>3794</v>
      </c>
      <c r="I754" s="213" t="s">
        <v>1553</v>
      </c>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c r="A755" s="69"/>
      <c r="B755" s="35" t="s">
        <v>76</v>
      </c>
      <c r="C755" s="214" t="s">
        <v>75</v>
      </c>
      <c r="D755" s="258" t="s">
        <v>1841</v>
      </c>
      <c r="E755" s="258" t="s">
        <v>1842</v>
      </c>
      <c r="F755" s="227" t="s">
        <v>3802</v>
      </c>
      <c r="G755" s="227" t="s">
        <v>3803</v>
      </c>
      <c r="H755" s="227" t="s">
        <v>3804</v>
      </c>
      <c r="I755" s="227" t="s">
        <v>1844</v>
      </c>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c r="A756" s="69"/>
      <c r="B756" s="35" t="s">
        <v>76</v>
      </c>
      <c r="C756" s="204" t="s">
        <v>80</v>
      </c>
      <c r="D756" s="125" t="s">
        <v>1409</v>
      </c>
      <c r="E756" s="125" t="s">
        <v>1410</v>
      </c>
      <c r="F756" s="208" t="s">
        <v>2935</v>
      </c>
      <c r="G756" s="212" t="s">
        <v>3275</v>
      </c>
      <c r="H756" s="193" t="s">
        <v>3792</v>
      </c>
      <c r="I756" s="213" t="s">
        <v>1412</v>
      </c>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c r="A757" s="69"/>
      <c r="B757" s="35" t="s">
        <v>76</v>
      </c>
      <c r="C757" s="102"/>
      <c r="D757" s="109"/>
      <c r="E757" s="137" t="s">
        <v>3709</v>
      </c>
      <c r="F757" s="167"/>
      <c r="G757" s="159"/>
      <c r="H757" s="102"/>
      <c r="I757" s="71"/>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c r="A758" s="79"/>
      <c r="B758" s="35" t="s">
        <v>76</v>
      </c>
      <c r="C758" s="102"/>
      <c r="D758" s="109"/>
      <c r="E758" s="109"/>
      <c r="F758" s="167"/>
      <c r="G758" s="159"/>
      <c r="H758" s="102"/>
      <c r="I758" s="71"/>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c r="A759" s="189"/>
      <c r="B759" s="190">
        <v>44635.0</v>
      </c>
      <c r="C759" s="102"/>
      <c r="D759" s="109"/>
      <c r="E759" s="109"/>
      <c r="F759" s="167"/>
      <c r="G759" s="159"/>
      <c r="H759" s="102"/>
      <c r="I759" s="71"/>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c r="A760" s="239" t="s">
        <v>3478</v>
      </c>
      <c r="B760" s="35" t="s">
        <v>76</v>
      </c>
      <c r="C760" s="102"/>
      <c r="D760" s="109"/>
      <c r="E760" s="109"/>
      <c r="F760" s="167"/>
      <c r="G760" s="159"/>
      <c r="H760" s="102"/>
      <c r="I760" s="71"/>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c r="A761" s="69"/>
      <c r="B761" s="35" t="s">
        <v>76</v>
      </c>
      <c r="C761" s="214" t="s">
        <v>3786</v>
      </c>
      <c r="D761" s="258" t="s">
        <v>1320</v>
      </c>
      <c r="E761" s="258" t="s">
        <v>1321</v>
      </c>
      <c r="F761" s="208" t="s">
        <v>3219</v>
      </c>
      <c r="G761" s="192" t="s">
        <v>3805</v>
      </c>
      <c r="H761" s="193" t="s">
        <v>3806</v>
      </c>
      <c r="I761" s="125" t="s">
        <v>1323</v>
      </c>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c r="A762" s="69"/>
      <c r="B762" s="35" t="s">
        <v>76</v>
      </c>
      <c r="C762" s="131" t="s">
        <v>3786</v>
      </c>
      <c r="D762" s="262" t="s">
        <v>1470</v>
      </c>
      <c r="E762" s="262" t="s">
        <v>1471</v>
      </c>
      <c r="F762" s="160" t="s">
        <v>3011</v>
      </c>
      <c r="G762" s="146" t="s">
        <v>3499</v>
      </c>
      <c r="H762" s="147" t="s">
        <v>3807</v>
      </c>
      <c r="I762" s="81" t="s">
        <v>1473</v>
      </c>
      <c r="J762" s="163"/>
      <c r="K762" s="102" t="s">
        <v>3808</v>
      </c>
      <c r="L762" s="63"/>
      <c r="M762" s="63"/>
      <c r="N762" s="63"/>
      <c r="O762" s="63"/>
      <c r="P762" s="63"/>
      <c r="Q762" s="63"/>
      <c r="R762" s="63"/>
      <c r="S762" s="63"/>
      <c r="T762" s="63"/>
      <c r="U762" s="63"/>
      <c r="V762" s="63"/>
      <c r="W762" s="63"/>
      <c r="X762" s="63"/>
      <c r="Y762" s="63"/>
      <c r="Z762" s="63"/>
      <c r="AA762" s="63"/>
      <c r="AB762" s="63"/>
      <c r="AC762" s="63"/>
      <c r="AD762" s="63"/>
      <c r="AE762" s="63"/>
      <c r="AF762" s="63"/>
    </row>
    <row r="763">
      <c r="A763" s="69"/>
      <c r="B763" s="35" t="s">
        <v>76</v>
      </c>
      <c r="C763" s="204" t="s">
        <v>80</v>
      </c>
      <c r="D763" s="125" t="s">
        <v>804</v>
      </c>
      <c r="E763" s="125" t="s">
        <v>805</v>
      </c>
      <c r="F763" s="208" t="s">
        <v>3014</v>
      </c>
      <c r="G763" s="212" t="s">
        <v>2900</v>
      </c>
      <c r="H763" s="193" t="s">
        <v>3779</v>
      </c>
      <c r="I763" s="213" t="s">
        <v>3780</v>
      </c>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c r="A764" s="69"/>
      <c r="B764" s="35" t="s">
        <v>76</v>
      </c>
      <c r="C764" s="131" t="s">
        <v>3786</v>
      </c>
      <c r="D764" s="262" t="s">
        <v>1475</v>
      </c>
      <c r="E764" s="262" t="s">
        <v>1476</v>
      </c>
      <c r="F764" s="160" t="s">
        <v>3211</v>
      </c>
      <c r="G764" s="272" t="s">
        <v>2900</v>
      </c>
      <c r="H764" s="147" t="s">
        <v>3809</v>
      </c>
      <c r="I764" s="81" t="s">
        <v>1478</v>
      </c>
      <c r="J764" s="163"/>
      <c r="K764" s="102" t="s">
        <v>3810</v>
      </c>
      <c r="L764" s="63"/>
      <c r="M764" s="63"/>
      <c r="N764" s="63"/>
      <c r="O764" s="63"/>
      <c r="P764" s="63"/>
      <c r="Q764" s="63"/>
      <c r="R764" s="63"/>
      <c r="S764" s="63"/>
      <c r="T764" s="63"/>
      <c r="U764" s="63"/>
      <c r="V764" s="63"/>
      <c r="W764" s="63"/>
      <c r="X764" s="63"/>
      <c r="Y764" s="63"/>
      <c r="Z764" s="63"/>
      <c r="AA764" s="63"/>
      <c r="AB764" s="63"/>
      <c r="AC764" s="63"/>
      <c r="AD764" s="63"/>
      <c r="AE764" s="63"/>
      <c r="AF764" s="63"/>
    </row>
    <row r="765">
      <c r="A765" s="69"/>
      <c r="B765" s="35" t="s">
        <v>76</v>
      </c>
      <c r="C765" s="137"/>
      <c r="D765" s="32"/>
      <c r="E765" s="32"/>
      <c r="F765" s="167"/>
      <c r="G765" s="159"/>
      <c r="H765" s="102"/>
      <c r="I765" s="71"/>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c r="A766" s="69"/>
      <c r="B766" s="35" t="s">
        <v>76</v>
      </c>
      <c r="C766" s="102"/>
      <c r="D766" s="109"/>
      <c r="E766" s="109"/>
      <c r="F766" s="167"/>
      <c r="G766" s="159"/>
      <c r="H766" s="102"/>
      <c r="I766" s="71"/>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c r="A767" s="79"/>
      <c r="B767" s="35" t="s">
        <v>76</v>
      </c>
      <c r="C767" s="102"/>
      <c r="D767" s="109"/>
      <c r="E767" s="109"/>
      <c r="F767" s="167"/>
      <c r="G767" s="159"/>
      <c r="H767" s="102"/>
      <c r="I767" s="71"/>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c r="A768" s="189"/>
      <c r="B768" s="190">
        <v>44636.0</v>
      </c>
      <c r="C768" s="102"/>
      <c r="D768" s="109"/>
      <c r="E768" s="109"/>
      <c r="F768" s="167"/>
      <c r="G768" s="159"/>
      <c r="H768" s="102"/>
      <c r="I768" s="71"/>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c r="A769" s="239" t="s">
        <v>3478</v>
      </c>
      <c r="B769" s="35" t="s">
        <v>76</v>
      </c>
      <c r="C769" s="102"/>
      <c r="D769" s="109"/>
      <c r="E769" s="109"/>
      <c r="F769" s="167"/>
      <c r="G769" s="159"/>
      <c r="H769" s="102"/>
      <c r="I769" s="71"/>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c r="A770" s="69"/>
      <c r="B770" s="35" t="s">
        <v>76</v>
      </c>
      <c r="C770" s="102"/>
      <c r="D770" s="109"/>
      <c r="E770" s="109"/>
      <c r="F770" s="167"/>
      <c r="G770" s="159"/>
      <c r="H770" s="102"/>
      <c r="I770" s="71"/>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c r="A771" s="69"/>
      <c r="B771" s="35" t="s">
        <v>76</v>
      </c>
      <c r="C771" s="214" t="s">
        <v>3786</v>
      </c>
      <c r="D771" s="214" t="s">
        <v>3811</v>
      </c>
      <c r="E771" s="214" t="s">
        <v>3812</v>
      </c>
      <c r="F771" s="208" t="s">
        <v>3219</v>
      </c>
      <c r="G771" s="192" t="s">
        <v>3090</v>
      </c>
      <c r="H771" s="193" t="s">
        <v>3813</v>
      </c>
      <c r="I771" s="258" t="s">
        <v>3814</v>
      </c>
      <c r="J771" s="193" t="s">
        <v>3815</v>
      </c>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c r="A772" s="69"/>
      <c r="B772" s="35" t="s">
        <v>76</v>
      </c>
      <c r="C772" s="259" t="s">
        <v>140</v>
      </c>
      <c r="D772" s="258" t="s">
        <v>1859</v>
      </c>
      <c r="E772" s="258" t="s">
        <v>1860</v>
      </c>
      <c r="F772" s="191">
        <v>0.5416666666666666</v>
      </c>
      <c r="G772" s="192" t="s">
        <v>3090</v>
      </c>
      <c r="H772" s="193" t="s">
        <v>3816</v>
      </c>
      <c r="I772" s="258" t="s">
        <v>1862</v>
      </c>
      <c r="J772" s="211"/>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c r="A773" s="69"/>
      <c r="B773" s="35" t="s">
        <v>76</v>
      </c>
      <c r="C773" s="214" t="s">
        <v>3786</v>
      </c>
      <c r="D773" s="258" t="s">
        <v>2372</v>
      </c>
      <c r="E773" s="258" t="s">
        <v>2373</v>
      </c>
      <c r="F773" s="208" t="s">
        <v>3501</v>
      </c>
      <c r="G773" s="192" t="s">
        <v>3113</v>
      </c>
      <c r="H773" s="193" t="s">
        <v>3817</v>
      </c>
      <c r="I773" s="125" t="s">
        <v>2375</v>
      </c>
      <c r="J773" s="211"/>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c r="A774" s="69"/>
      <c r="B774" s="35" t="s">
        <v>76</v>
      </c>
      <c r="C774" s="193" t="s">
        <v>127</v>
      </c>
      <c r="D774" s="258" t="s">
        <v>1341</v>
      </c>
      <c r="E774" s="258" t="s">
        <v>1342</v>
      </c>
      <c r="F774" s="191">
        <v>0.7083333333333334</v>
      </c>
      <c r="G774" s="192" t="s">
        <v>3090</v>
      </c>
      <c r="H774" s="193" t="s">
        <v>3818</v>
      </c>
      <c r="I774" s="125" t="s">
        <v>3819</v>
      </c>
      <c r="J774" s="193" t="s">
        <v>3820</v>
      </c>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c r="A775" s="69"/>
      <c r="B775" s="35" t="s">
        <v>76</v>
      </c>
      <c r="C775" s="259" t="s">
        <v>140</v>
      </c>
      <c r="D775" s="258" t="s">
        <v>513</v>
      </c>
      <c r="E775" s="258" t="s">
        <v>514</v>
      </c>
      <c r="F775" s="191">
        <v>0.75</v>
      </c>
      <c r="G775" s="192" t="s">
        <v>3113</v>
      </c>
      <c r="H775" s="193" t="s">
        <v>3821</v>
      </c>
      <c r="I775" s="258" t="s">
        <v>516</v>
      </c>
      <c r="J775" s="211"/>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c r="A776" s="69"/>
      <c r="B776" s="35" t="s">
        <v>76</v>
      </c>
      <c r="C776" s="102"/>
      <c r="D776" s="109"/>
      <c r="E776" s="109"/>
      <c r="F776" s="167"/>
      <c r="G776" s="159"/>
      <c r="H776" s="102"/>
      <c r="I776" s="71"/>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c r="A777" s="79"/>
      <c r="B777" s="35" t="s">
        <v>76</v>
      </c>
      <c r="C777" s="102"/>
      <c r="D777" s="109"/>
      <c r="E777" s="109"/>
      <c r="F777" s="167"/>
      <c r="G777" s="159"/>
      <c r="H777" s="102"/>
      <c r="I777" s="71"/>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c r="A778" s="189"/>
      <c r="B778" s="190">
        <v>44637.0</v>
      </c>
      <c r="C778" s="102"/>
      <c r="D778" s="109"/>
      <c r="E778" s="109"/>
      <c r="F778" s="167"/>
      <c r="G778" s="159"/>
      <c r="H778" s="102"/>
      <c r="I778" s="71"/>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c r="A779" s="239" t="s">
        <v>3478</v>
      </c>
      <c r="B779" s="35" t="s">
        <v>76</v>
      </c>
      <c r="C779" s="102"/>
      <c r="D779" s="109"/>
      <c r="E779" s="109"/>
      <c r="F779" s="167"/>
      <c r="G779" s="159"/>
      <c r="H779" s="102"/>
      <c r="I779" s="71"/>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c r="A780" s="69"/>
      <c r="B780" s="35" t="s">
        <v>76</v>
      </c>
      <c r="C780" s="259" t="s">
        <v>110</v>
      </c>
      <c r="D780" s="258" t="s">
        <v>2855</v>
      </c>
      <c r="E780" s="258" t="s">
        <v>2856</v>
      </c>
      <c r="F780" s="191">
        <v>0.5208333333333334</v>
      </c>
      <c r="G780" s="192" t="s">
        <v>3518</v>
      </c>
      <c r="H780" s="193" t="s">
        <v>3519</v>
      </c>
      <c r="I780" s="258" t="s">
        <v>2858</v>
      </c>
      <c r="J780" s="211"/>
      <c r="K780" s="211"/>
      <c r="L780" s="63"/>
      <c r="M780" s="63"/>
      <c r="N780" s="63"/>
      <c r="O780" s="63"/>
      <c r="P780" s="63"/>
      <c r="Q780" s="63"/>
      <c r="R780" s="63"/>
      <c r="S780" s="63"/>
      <c r="T780" s="63"/>
      <c r="U780" s="63"/>
      <c r="V780" s="63"/>
      <c r="W780" s="63"/>
      <c r="X780" s="63"/>
      <c r="Y780" s="63"/>
      <c r="Z780" s="63"/>
      <c r="AA780" s="63"/>
      <c r="AB780" s="63"/>
      <c r="AC780" s="63"/>
      <c r="AD780" s="63"/>
      <c r="AE780" s="63"/>
      <c r="AF780" s="63"/>
    </row>
    <row r="781">
      <c r="A781" s="69"/>
      <c r="B781" s="35" t="s">
        <v>76</v>
      </c>
      <c r="C781" s="259" t="s">
        <v>110</v>
      </c>
      <c r="D781" s="258" t="s">
        <v>1475</v>
      </c>
      <c r="E781" s="258" t="s">
        <v>1476</v>
      </c>
      <c r="F781" s="191">
        <v>0.5833333333333334</v>
      </c>
      <c r="G781" s="192" t="s">
        <v>3590</v>
      </c>
      <c r="H781" s="193" t="s">
        <v>3822</v>
      </c>
      <c r="I781" s="258" t="s">
        <v>1478</v>
      </c>
      <c r="J781" s="211"/>
      <c r="K781" s="211"/>
      <c r="L781" s="63"/>
      <c r="M781" s="63"/>
      <c r="N781" s="63"/>
      <c r="O781" s="63"/>
      <c r="P781" s="63"/>
      <c r="Q781" s="63"/>
      <c r="R781" s="63"/>
      <c r="S781" s="63"/>
      <c r="T781" s="63"/>
      <c r="U781" s="63"/>
      <c r="V781" s="63"/>
      <c r="W781" s="63"/>
      <c r="X781" s="63"/>
      <c r="Y781" s="63"/>
      <c r="Z781" s="63"/>
      <c r="AA781" s="63"/>
      <c r="AB781" s="63"/>
      <c r="AC781" s="63"/>
      <c r="AD781" s="63"/>
      <c r="AE781" s="63"/>
      <c r="AF781" s="63"/>
    </row>
    <row r="782">
      <c r="A782" s="69"/>
      <c r="B782" s="35" t="s">
        <v>76</v>
      </c>
      <c r="C782" s="204" t="s">
        <v>80</v>
      </c>
      <c r="D782" s="125" t="s">
        <v>2773</v>
      </c>
      <c r="E782" s="125" t="s">
        <v>2774</v>
      </c>
      <c r="F782" s="208" t="s">
        <v>3049</v>
      </c>
      <c r="G782" s="212" t="s">
        <v>3795</v>
      </c>
      <c r="H782" s="193" t="s">
        <v>3796</v>
      </c>
      <c r="I782" s="213" t="s">
        <v>2776</v>
      </c>
      <c r="J782" s="211"/>
      <c r="K782" s="211"/>
      <c r="L782" s="63"/>
      <c r="M782" s="63"/>
      <c r="N782" s="63"/>
      <c r="O782" s="63"/>
      <c r="P782" s="63"/>
      <c r="Q782" s="63"/>
      <c r="R782" s="63"/>
      <c r="S782" s="63"/>
      <c r="T782" s="63"/>
      <c r="U782" s="63"/>
      <c r="V782" s="63"/>
      <c r="W782" s="63"/>
      <c r="X782" s="63"/>
      <c r="Y782" s="63"/>
      <c r="Z782" s="63"/>
      <c r="AA782" s="63"/>
      <c r="AB782" s="63"/>
      <c r="AC782" s="63"/>
      <c r="AD782" s="63"/>
      <c r="AE782" s="63"/>
      <c r="AF782" s="63"/>
    </row>
    <row r="783">
      <c r="A783" s="69"/>
      <c r="B783" s="35" t="s">
        <v>76</v>
      </c>
      <c r="C783" s="261" t="s">
        <v>110</v>
      </c>
      <c r="D783" s="262" t="s">
        <v>2706</v>
      </c>
      <c r="E783" s="262" t="s">
        <v>2707</v>
      </c>
      <c r="F783" s="157">
        <v>0.7291666666666666</v>
      </c>
      <c r="G783" s="146" t="s">
        <v>3823</v>
      </c>
      <c r="H783" s="147" t="s">
        <v>3824</v>
      </c>
      <c r="I783" s="262" t="s">
        <v>2709</v>
      </c>
      <c r="J783" s="163"/>
      <c r="K783" s="163"/>
      <c r="L783" s="102" t="s">
        <v>3825</v>
      </c>
      <c r="M783" s="63"/>
      <c r="N783" s="63"/>
      <c r="O783" s="63"/>
      <c r="P783" s="63"/>
      <c r="Q783" s="63"/>
      <c r="R783" s="63"/>
      <c r="S783" s="63"/>
      <c r="T783" s="63"/>
      <c r="U783" s="63"/>
      <c r="V783" s="63"/>
      <c r="W783" s="63"/>
      <c r="X783" s="63"/>
      <c r="Y783" s="63"/>
      <c r="Z783" s="63"/>
      <c r="AA783" s="63"/>
      <c r="AB783" s="63"/>
      <c r="AC783" s="63"/>
      <c r="AD783" s="63"/>
      <c r="AE783" s="63"/>
      <c r="AF783" s="63"/>
    </row>
    <row r="784">
      <c r="A784" s="69"/>
      <c r="B784" s="35" t="s">
        <v>76</v>
      </c>
      <c r="C784" s="102"/>
      <c r="D784" s="109"/>
      <c r="E784" s="109"/>
      <c r="F784" s="167"/>
      <c r="G784" s="159"/>
      <c r="H784" s="102"/>
      <c r="I784" s="71"/>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c r="A785" s="69"/>
      <c r="B785" s="35" t="s">
        <v>76</v>
      </c>
      <c r="C785" s="102"/>
      <c r="D785" s="109"/>
      <c r="E785" s="109"/>
      <c r="F785" s="167"/>
      <c r="G785" s="159"/>
      <c r="H785" s="102"/>
      <c r="I785" s="71"/>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c r="A786" s="69"/>
      <c r="B786" s="35" t="s">
        <v>76</v>
      </c>
      <c r="C786" s="102"/>
      <c r="D786" s="109"/>
      <c r="E786" s="109"/>
      <c r="F786" s="167"/>
      <c r="G786" s="159"/>
      <c r="H786" s="102"/>
      <c r="I786" s="71"/>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c r="A787" s="79"/>
      <c r="B787" s="35" t="s">
        <v>76</v>
      </c>
      <c r="C787" s="102"/>
      <c r="D787" s="109"/>
      <c r="E787" s="109"/>
      <c r="F787" s="167"/>
      <c r="G787" s="159"/>
      <c r="H787" s="102"/>
      <c r="I787" s="71"/>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c r="A788" s="189"/>
      <c r="B788" s="190">
        <v>44638.0</v>
      </c>
      <c r="C788" s="102"/>
      <c r="D788" s="109"/>
      <c r="E788" s="109"/>
      <c r="F788" s="167"/>
      <c r="G788" s="159"/>
      <c r="H788" s="102"/>
      <c r="I788" s="71"/>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c r="A789" s="239" t="s">
        <v>3478</v>
      </c>
      <c r="B789" s="35" t="s">
        <v>76</v>
      </c>
      <c r="C789" s="102"/>
      <c r="D789" s="109"/>
      <c r="E789" s="109"/>
      <c r="F789" s="167"/>
      <c r="G789" s="159"/>
      <c r="H789" s="102"/>
      <c r="I789" s="71"/>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c r="A790" s="69"/>
      <c r="B790" s="35" t="s">
        <v>76</v>
      </c>
      <c r="C790" s="210" t="s">
        <v>110</v>
      </c>
      <c r="D790" s="81" t="s">
        <v>599</v>
      </c>
      <c r="E790" s="81" t="s">
        <v>600</v>
      </c>
      <c r="F790" s="157">
        <v>0.5</v>
      </c>
      <c r="G790" s="146" t="s">
        <v>3826</v>
      </c>
      <c r="H790" s="147" t="s">
        <v>3827</v>
      </c>
      <c r="I790" s="81" t="s">
        <v>602</v>
      </c>
      <c r="J790" s="163"/>
      <c r="K790" s="163"/>
      <c r="L790" s="102" t="s">
        <v>3828</v>
      </c>
      <c r="M790" s="63"/>
      <c r="N790" s="63"/>
      <c r="O790" s="63"/>
      <c r="P790" s="63"/>
      <c r="Q790" s="63"/>
      <c r="R790" s="63"/>
      <c r="S790" s="63"/>
      <c r="T790" s="63"/>
      <c r="U790" s="63"/>
      <c r="V790" s="63"/>
      <c r="W790" s="63"/>
      <c r="X790" s="63"/>
      <c r="Y790" s="63"/>
      <c r="Z790" s="63"/>
      <c r="AA790" s="63"/>
      <c r="AB790" s="63"/>
      <c r="AC790" s="63"/>
      <c r="AD790" s="63"/>
      <c r="AE790" s="63"/>
      <c r="AF790" s="63"/>
    </row>
    <row r="791">
      <c r="A791" s="69"/>
      <c r="B791" s="35" t="s">
        <v>76</v>
      </c>
      <c r="C791" s="204" t="s">
        <v>110</v>
      </c>
      <c r="D791" s="125" t="s">
        <v>2825</v>
      </c>
      <c r="E791" s="125" t="s">
        <v>2826</v>
      </c>
      <c r="F791" s="191">
        <v>0.5833333333333334</v>
      </c>
      <c r="G791" s="192" t="s">
        <v>3829</v>
      </c>
      <c r="H791" s="193" t="s">
        <v>3830</v>
      </c>
      <c r="I791" s="125" t="s">
        <v>3831</v>
      </c>
      <c r="J791" s="211"/>
      <c r="K791" s="211"/>
      <c r="L791" s="63"/>
      <c r="M791" s="63"/>
      <c r="N791" s="63"/>
      <c r="O791" s="63"/>
      <c r="P791" s="63"/>
      <c r="Q791" s="63"/>
      <c r="R791" s="63"/>
      <c r="S791" s="63"/>
      <c r="T791" s="63"/>
      <c r="U791" s="63"/>
      <c r="V791" s="63"/>
      <c r="W791" s="63"/>
      <c r="X791" s="63"/>
      <c r="Y791" s="63"/>
      <c r="Z791" s="63"/>
      <c r="AA791" s="63"/>
      <c r="AB791" s="63"/>
      <c r="AC791" s="63"/>
      <c r="AD791" s="63"/>
      <c r="AE791" s="63"/>
      <c r="AF791" s="63"/>
    </row>
    <row r="792">
      <c r="A792" s="69"/>
      <c r="B792" s="35" t="s">
        <v>76</v>
      </c>
      <c r="C792" s="204" t="s">
        <v>110</v>
      </c>
      <c r="D792" s="125" t="s">
        <v>1825</v>
      </c>
      <c r="E792" s="125" t="s">
        <v>1826</v>
      </c>
      <c r="F792" s="191">
        <v>0.625</v>
      </c>
      <c r="G792" s="192" t="s">
        <v>3832</v>
      </c>
      <c r="H792" s="193" t="s">
        <v>3833</v>
      </c>
      <c r="I792" s="125" t="s">
        <v>3834</v>
      </c>
      <c r="J792" s="211"/>
      <c r="K792" s="211"/>
      <c r="L792" s="63"/>
      <c r="M792" s="63"/>
      <c r="N792" s="63"/>
      <c r="O792" s="63"/>
      <c r="P792" s="63"/>
      <c r="Q792" s="63"/>
      <c r="R792" s="63"/>
      <c r="S792" s="63"/>
      <c r="T792" s="63"/>
      <c r="U792" s="63"/>
      <c r="V792" s="63"/>
      <c r="W792" s="63"/>
      <c r="X792" s="63"/>
      <c r="Y792" s="63"/>
      <c r="Z792" s="63"/>
      <c r="AA792" s="63"/>
      <c r="AB792" s="63"/>
      <c r="AC792" s="63"/>
      <c r="AD792" s="63"/>
      <c r="AE792" s="63"/>
      <c r="AF792" s="63"/>
    </row>
    <row r="793">
      <c r="A793" s="69"/>
      <c r="B793" s="35" t="s">
        <v>76</v>
      </c>
      <c r="C793" s="210" t="s">
        <v>110</v>
      </c>
      <c r="D793" s="81" t="s">
        <v>3835</v>
      </c>
      <c r="E793" s="81" t="s">
        <v>2730</v>
      </c>
      <c r="F793" s="157">
        <v>0.6666666666666666</v>
      </c>
      <c r="G793" s="146" t="s">
        <v>3593</v>
      </c>
      <c r="H793" s="147" t="s">
        <v>3836</v>
      </c>
      <c r="I793" s="81" t="s">
        <v>2732</v>
      </c>
      <c r="J793" s="163"/>
      <c r="K793" s="163"/>
      <c r="L793" s="102" t="s">
        <v>3837</v>
      </c>
      <c r="M793" s="63"/>
      <c r="N793" s="63"/>
      <c r="O793" s="63"/>
      <c r="P793" s="63"/>
      <c r="Q793" s="63"/>
      <c r="R793" s="63"/>
      <c r="S793" s="63"/>
      <c r="T793" s="63"/>
      <c r="U793" s="63"/>
      <c r="V793" s="63"/>
      <c r="W793" s="63"/>
      <c r="X793" s="63"/>
      <c r="Y793" s="63"/>
      <c r="Z793" s="63"/>
      <c r="AA793" s="63"/>
      <c r="AB793" s="63"/>
      <c r="AC793" s="63"/>
      <c r="AD793" s="63"/>
      <c r="AE793" s="63"/>
      <c r="AF793" s="63"/>
    </row>
    <row r="794">
      <c r="A794" s="69"/>
      <c r="B794" s="35" t="s">
        <v>76</v>
      </c>
      <c r="C794" s="131" t="s">
        <v>75</v>
      </c>
      <c r="D794" s="284" t="s">
        <v>2136</v>
      </c>
      <c r="E794" s="284" t="s">
        <v>2137</v>
      </c>
      <c r="F794" s="160" t="s">
        <v>2935</v>
      </c>
      <c r="G794" s="146" t="s">
        <v>3838</v>
      </c>
      <c r="H794" s="147" t="s">
        <v>3839</v>
      </c>
      <c r="I794" s="81" t="s">
        <v>2140</v>
      </c>
      <c r="J794" s="163"/>
      <c r="K794" s="285"/>
      <c r="L794" s="102" t="s">
        <v>3840</v>
      </c>
      <c r="M794" s="63"/>
      <c r="N794" s="63"/>
      <c r="O794" s="63"/>
      <c r="P794" s="63"/>
      <c r="Q794" s="63"/>
      <c r="R794" s="63"/>
      <c r="S794" s="63"/>
      <c r="T794" s="63"/>
      <c r="U794" s="63"/>
      <c r="V794" s="63"/>
      <c r="W794" s="63"/>
      <c r="X794" s="63"/>
      <c r="Y794" s="63"/>
      <c r="Z794" s="63"/>
      <c r="AA794" s="63"/>
      <c r="AB794" s="63"/>
      <c r="AC794" s="63"/>
      <c r="AD794" s="63"/>
      <c r="AE794" s="63"/>
      <c r="AF794" s="63"/>
    </row>
    <row r="795">
      <c r="A795" s="69"/>
      <c r="B795" s="35" t="s">
        <v>76</v>
      </c>
      <c r="C795" s="66"/>
      <c r="D795" s="66"/>
      <c r="E795" s="66"/>
      <c r="F795" s="66"/>
      <c r="G795" s="66"/>
      <c r="H795" s="66"/>
      <c r="I795" s="66"/>
      <c r="J795" s="66"/>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c r="A796" s="69"/>
      <c r="B796" s="35" t="s">
        <v>76</v>
      </c>
      <c r="C796" s="66"/>
      <c r="D796" s="66"/>
      <c r="E796" s="66"/>
      <c r="F796" s="66"/>
      <c r="G796" s="66"/>
      <c r="H796" s="66"/>
      <c r="I796" s="66"/>
      <c r="J796" s="66"/>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c r="A797" s="79"/>
      <c r="B797" s="35" t="s">
        <v>76</v>
      </c>
      <c r="C797" s="102"/>
      <c r="D797" s="109"/>
      <c r="E797" s="109"/>
      <c r="F797" s="167"/>
      <c r="G797" s="159"/>
      <c r="H797" s="102"/>
      <c r="I797" s="71"/>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c r="A798" s="189"/>
      <c r="B798" s="190">
        <v>44641.0</v>
      </c>
      <c r="C798" s="102"/>
      <c r="D798" s="109"/>
      <c r="E798" s="109"/>
      <c r="F798" s="167"/>
      <c r="G798" s="159"/>
      <c r="H798" s="102"/>
      <c r="I798" s="71"/>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c r="A799" s="239" t="s">
        <v>3478</v>
      </c>
      <c r="B799" s="35" t="s">
        <v>76</v>
      </c>
      <c r="C799" s="204" t="s">
        <v>140</v>
      </c>
      <c r="D799" s="125" t="s">
        <v>2189</v>
      </c>
      <c r="E799" s="125" t="s">
        <v>2190</v>
      </c>
      <c r="F799" s="191">
        <v>0.5</v>
      </c>
      <c r="G799" s="192" t="s">
        <v>3200</v>
      </c>
      <c r="H799" s="193" t="s">
        <v>3841</v>
      </c>
      <c r="I799" s="125" t="s">
        <v>3842</v>
      </c>
      <c r="J799" s="209"/>
      <c r="K799" s="209"/>
      <c r="L799" s="63"/>
      <c r="M799" s="63"/>
      <c r="N799" s="63"/>
      <c r="O799" s="63"/>
      <c r="P799" s="63"/>
      <c r="Q799" s="63"/>
      <c r="R799" s="63"/>
      <c r="S799" s="63"/>
      <c r="T799" s="63"/>
      <c r="U799" s="63"/>
      <c r="V799" s="63"/>
      <c r="W799" s="63"/>
      <c r="X799" s="63"/>
      <c r="Y799" s="63"/>
      <c r="Z799" s="63"/>
      <c r="AA799" s="63"/>
      <c r="AB799" s="63"/>
      <c r="AC799" s="63"/>
      <c r="AD799" s="63"/>
      <c r="AE799" s="63"/>
      <c r="AF799" s="63"/>
    </row>
    <row r="800">
      <c r="A800" s="69"/>
      <c r="B800" s="35" t="s">
        <v>76</v>
      </c>
      <c r="C800" s="204" t="s">
        <v>140</v>
      </c>
      <c r="D800" s="125" t="s">
        <v>528</v>
      </c>
      <c r="E800" s="125" t="s">
        <v>529</v>
      </c>
      <c r="F800" s="191">
        <v>0.5</v>
      </c>
      <c r="G800" s="192" t="s">
        <v>3200</v>
      </c>
      <c r="H800" s="193" t="s">
        <v>3841</v>
      </c>
      <c r="I800" s="125" t="s">
        <v>3842</v>
      </c>
      <c r="J800" s="209"/>
      <c r="K800" s="209"/>
      <c r="L800" s="63"/>
      <c r="M800" s="63"/>
      <c r="N800" s="63"/>
      <c r="O800" s="63"/>
      <c r="P800" s="63"/>
      <c r="Q800" s="63"/>
      <c r="R800" s="63"/>
      <c r="S800" s="63"/>
      <c r="T800" s="63"/>
      <c r="U800" s="63"/>
      <c r="V800" s="63"/>
      <c r="W800" s="63"/>
      <c r="X800" s="63"/>
      <c r="Y800" s="63"/>
      <c r="Z800" s="63"/>
      <c r="AA800" s="63"/>
      <c r="AB800" s="63"/>
      <c r="AC800" s="63"/>
      <c r="AD800" s="63"/>
      <c r="AE800" s="63"/>
      <c r="AF800" s="63"/>
    </row>
    <row r="801">
      <c r="A801" s="69"/>
      <c r="B801" s="35" t="s">
        <v>76</v>
      </c>
      <c r="C801" s="204" t="s">
        <v>140</v>
      </c>
      <c r="D801" s="125" t="s">
        <v>1336</v>
      </c>
      <c r="E801" s="125" t="s">
        <v>1337</v>
      </c>
      <c r="F801" s="191">
        <v>0.5833333333333334</v>
      </c>
      <c r="G801" s="192" t="s">
        <v>3200</v>
      </c>
      <c r="H801" s="193" t="s">
        <v>3843</v>
      </c>
      <c r="I801" s="125" t="s">
        <v>3844</v>
      </c>
      <c r="J801" s="209"/>
      <c r="K801" s="209"/>
      <c r="L801" s="63"/>
      <c r="M801" s="63"/>
      <c r="N801" s="63"/>
      <c r="O801" s="63"/>
      <c r="P801" s="63"/>
      <c r="Q801" s="63"/>
      <c r="R801" s="63"/>
      <c r="S801" s="63"/>
      <c r="T801" s="63"/>
      <c r="U801" s="63"/>
      <c r="V801" s="63"/>
      <c r="W801" s="63"/>
      <c r="X801" s="63"/>
      <c r="Y801" s="63"/>
      <c r="Z801" s="63"/>
      <c r="AA801" s="63"/>
      <c r="AB801" s="63"/>
      <c r="AC801" s="63"/>
      <c r="AD801" s="63"/>
      <c r="AE801" s="63"/>
      <c r="AF801" s="63"/>
    </row>
    <row r="802">
      <c r="A802" s="69"/>
      <c r="B802" s="35" t="s">
        <v>76</v>
      </c>
      <c r="C802" s="204" t="s">
        <v>140</v>
      </c>
      <c r="D802" s="258" t="s">
        <v>1896</v>
      </c>
      <c r="E802" s="258" t="s">
        <v>1897</v>
      </c>
      <c r="F802" s="191">
        <v>0.6458333333333334</v>
      </c>
      <c r="G802" s="192" t="s">
        <v>3200</v>
      </c>
      <c r="H802" s="259" t="s">
        <v>3845</v>
      </c>
      <c r="I802" s="258" t="s">
        <v>1899</v>
      </c>
      <c r="J802" s="209"/>
      <c r="K802" s="209"/>
      <c r="L802" s="63"/>
      <c r="M802" s="63"/>
      <c r="N802" s="63"/>
      <c r="O802" s="63"/>
      <c r="P802" s="63"/>
      <c r="Q802" s="63"/>
      <c r="R802" s="63"/>
      <c r="S802" s="63"/>
      <c r="T802" s="63"/>
      <c r="U802" s="63"/>
      <c r="V802" s="63"/>
      <c r="W802" s="63"/>
      <c r="X802" s="63"/>
      <c r="Y802" s="63"/>
      <c r="Z802" s="63"/>
      <c r="AA802" s="63"/>
      <c r="AB802" s="63"/>
      <c r="AC802" s="63"/>
      <c r="AD802" s="63"/>
      <c r="AE802" s="63"/>
      <c r="AF802" s="63"/>
    </row>
    <row r="803">
      <c r="A803" s="69"/>
      <c r="B803" s="35" t="s">
        <v>76</v>
      </c>
      <c r="C803" s="204" t="s">
        <v>140</v>
      </c>
      <c r="D803" s="258" t="s">
        <v>937</v>
      </c>
      <c r="E803" s="258" t="s">
        <v>938</v>
      </c>
      <c r="F803" s="191">
        <v>0.7083333333333334</v>
      </c>
      <c r="G803" s="192" t="s">
        <v>3386</v>
      </c>
      <c r="H803" s="259" t="s">
        <v>941</v>
      </c>
      <c r="I803" s="258" t="s">
        <v>940</v>
      </c>
      <c r="J803" s="209"/>
      <c r="K803" s="209"/>
      <c r="L803" s="63"/>
      <c r="M803" s="63"/>
      <c r="N803" s="63"/>
      <c r="O803" s="63"/>
      <c r="P803" s="63"/>
      <c r="Q803" s="63"/>
      <c r="R803" s="63"/>
      <c r="S803" s="63"/>
      <c r="T803" s="63"/>
      <c r="U803" s="63"/>
      <c r="V803" s="63"/>
      <c r="W803" s="63"/>
      <c r="X803" s="63"/>
      <c r="Y803" s="63"/>
      <c r="Z803" s="63"/>
      <c r="AA803" s="63"/>
      <c r="AB803" s="63"/>
      <c r="AC803" s="63"/>
      <c r="AD803" s="63"/>
      <c r="AE803" s="63"/>
      <c r="AF803" s="63"/>
    </row>
    <row r="804">
      <c r="A804" s="69"/>
      <c r="B804" s="35" t="s">
        <v>76</v>
      </c>
      <c r="C804" s="259" t="s">
        <v>140</v>
      </c>
      <c r="D804" s="258" t="s">
        <v>513</v>
      </c>
      <c r="E804" s="258" t="s">
        <v>514</v>
      </c>
      <c r="F804" s="191">
        <v>0.75</v>
      </c>
      <c r="G804" s="192" t="s">
        <v>3113</v>
      </c>
      <c r="H804" s="193" t="s">
        <v>3821</v>
      </c>
      <c r="I804" s="258" t="s">
        <v>516</v>
      </c>
      <c r="J804" s="209"/>
      <c r="K804" s="209"/>
      <c r="L804" s="102" t="s">
        <v>3058</v>
      </c>
      <c r="M804" s="63"/>
      <c r="N804" s="63"/>
      <c r="O804" s="63"/>
      <c r="P804" s="63"/>
      <c r="Q804" s="63"/>
      <c r="R804" s="63"/>
      <c r="S804" s="63"/>
      <c r="T804" s="63"/>
      <c r="U804" s="63"/>
      <c r="V804" s="63"/>
      <c r="W804" s="63"/>
      <c r="X804" s="63"/>
      <c r="Y804" s="63"/>
      <c r="Z804" s="63"/>
      <c r="AA804" s="63"/>
      <c r="AB804" s="63"/>
      <c r="AC804" s="63"/>
      <c r="AD804" s="63"/>
      <c r="AE804" s="63"/>
      <c r="AF804" s="63"/>
    </row>
    <row r="805">
      <c r="A805" s="69"/>
      <c r="B805" s="35" t="s">
        <v>76</v>
      </c>
      <c r="C805" s="102"/>
      <c r="D805" s="109"/>
      <c r="E805" s="109"/>
      <c r="F805" s="167"/>
      <c r="G805" s="159"/>
      <c r="H805" s="102"/>
      <c r="I805" s="71"/>
      <c r="J805" s="209"/>
      <c r="K805" s="209"/>
      <c r="L805" s="63"/>
      <c r="M805" s="63"/>
      <c r="N805" s="63"/>
      <c r="O805" s="63"/>
      <c r="P805" s="63"/>
      <c r="Q805" s="63"/>
      <c r="R805" s="63"/>
      <c r="S805" s="63"/>
      <c r="T805" s="63"/>
      <c r="U805" s="63"/>
      <c r="V805" s="63"/>
      <c r="W805" s="63"/>
      <c r="X805" s="63"/>
      <c r="Y805" s="63"/>
      <c r="Z805" s="63"/>
      <c r="AA805" s="63"/>
      <c r="AB805" s="63"/>
      <c r="AC805" s="63"/>
      <c r="AD805" s="63"/>
      <c r="AE805" s="63"/>
      <c r="AF805" s="63"/>
    </row>
    <row r="806">
      <c r="A806" s="69"/>
      <c r="B806" s="35" t="s">
        <v>76</v>
      </c>
      <c r="C806" s="102"/>
      <c r="D806" s="109"/>
      <c r="E806" s="109"/>
      <c r="F806" s="167"/>
      <c r="G806" s="159"/>
      <c r="H806" s="102"/>
      <c r="I806" s="71"/>
      <c r="J806" s="209"/>
      <c r="K806" s="209"/>
      <c r="L806" s="63"/>
      <c r="M806" s="63"/>
      <c r="N806" s="63"/>
      <c r="O806" s="63"/>
      <c r="P806" s="63"/>
      <c r="Q806" s="63"/>
      <c r="R806" s="63"/>
      <c r="S806" s="63"/>
      <c r="T806" s="63"/>
      <c r="U806" s="63"/>
      <c r="V806" s="63"/>
      <c r="W806" s="63"/>
      <c r="X806" s="63"/>
      <c r="Y806" s="63"/>
      <c r="Z806" s="63"/>
      <c r="AA806" s="63"/>
      <c r="AB806" s="63"/>
      <c r="AC806" s="63"/>
      <c r="AD806" s="63"/>
      <c r="AE806" s="63"/>
      <c r="AF806" s="63"/>
    </row>
    <row r="807">
      <c r="A807" s="69"/>
      <c r="B807" s="35" t="s">
        <v>76</v>
      </c>
      <c r="C807" s="102"/>
      <c r="D807" s="109"/>
      <c r="E807" s="109"/>
      <c r="F807" s="167"/>
      <c r="G807" s="159"/>
      <c r="H807" s="102"/>
      <c r="I807" s="71"/>
      <c r="J807" s="209"/>
      <c r="K807" s="209"/>
      <c r="L807" s="63"/>
      <c r="M807" s="63"/>
      <c r="N807" s="63"/>
      <c r="O807" s="63"/>
      <c r="P807" s="63"/>
      <c r="Q807" s="63"/>
      <c r="R807" s="63"/>
      <c r="S807" s="63"/>
      <c r="T807" s="63"/>
      <c r="U807" s="63"/>
      <c r="V807" s="63"/>
      <c r="W807" s="63"/>
      <c r="X807" s="63"/>
      <c r="Y807" s="63"/>
      <c r="Z807" s="63"/>
      <c r="AA807" s="63"/>
      <c r="AB807" s="63"/>
      <c r="AC807" s="63"/>
      <c r="AD807" s="63"/>
      <c r="AE807" s="63"/>
      <c r="AF807" s="63"/>
    </row>
    <row r="808">
      <c r="A808" s="79"/>
      <c r="B808" s="35" t="s">
        <v>76</v>
      </c>
      <c r="C808" s="102"/>
      <c r="D808" s="109"/>
      <c r="E808" s="109"/>
      <c r="F808" s="167"/>
      <c r="G808" s="159"/>
      <c r="H808" s="102"/>
      <c r="I808" s="71"/>
      <c r="J808" s="209"/>
      <c r="K808" s="209"/>
      <c r="L808" s="63"/>
      <c r="M808" s="63"/>
      <c r="N808" s="63"/>
      <c r="O808" s="63"/>
      <c r="P808" s="63"/>
      <c r="Q808" s="63"/>
      <c r="R808" s="63"/>
      <c r="S808" s="63"/>
      <c r="T808" s="63"/>
      <c r="U808" s="63"/>
      <c r="V808" s="63"/>
      <c r="W808" s="63"/>
      <c r="X808" s="63"/>
      <c r="Y808" s="63"/>
      <c r="Z808" s="63"/>
      <c r="AA808" s="63"/>
      <c r="AB808" s="63"/>
      <c r="AC808" s="63"/>
      <c r="AD808" s="63"/>
      <c r="AE808" s="63"/>
      <c r="AF808" s="63"/>
    </row>
    <row r="809">
      <c r="A809" s="189"/>
      <c r="B809" s="286">
        <v>44642.0</v>
      </c>
      <c r="C809" s="102"/>
      <c r="D809" s="109"/>
      <c r="E809" s="109"/>
      <c r="F809" s="167"/>
      <c r="G809" s="159"/>
      <c r="H809" s="102"/>
      <c r="I809" s="71"/>
      <c r="J809" s="209"/>
      <c r="K809" s="209"/>
      <c r="L809" s="63"/>
      <c r="M809" s="63"/>
      <c r="N809" s="63"/>
      <c r="O809" s="63"/>
      <c r="P809" s="63"/>
      <c r="Q809" s="63"/>
      <c r="R809" s="63"/>
      <c r="S809" s="63"/>
      <c r="T809" s="63"/>
      <c r="U809" s="63"/>
      <c r="V809" s="63"/>
      <c r="W809" s="63"/>
      <c r="X809" s="63"/>
      <c r="Y809" s="63"/>
      <c r="Z809" s="63"/>
      <c r="AA809" s="63"/>
      <c r="AB809" s="63"/>
      <c r="AC809" s="63"/>
      <c r="AD809" s="63"/>
      <c r="AE809" s="63"/>
      <c r="AF809" s="63"/>
    </row>
    <row r="810">
      <c r="A810" s="287" t="s">
        <v>3478</v>
      </c>
      <c r="B810" s="33" t="s">
        <v>76</v>
      </c>
      <c r="C810" s="102"/>
      <c r="D810" s="109"/>
      <c r="E810" s="109"/>
      <c r="F810" s="167"/>
      <c r="G810" s="159"/>
      <c r="H810" s="102"/>
      <c r="I810" s="71"/>
      <c r="J810" s="209"/>
      <c r="K810" s="209"/>
      <c r="L810" s="63"/>
      <c r="M810" s="63"/>
      <c r="N810" s="63"/>
      <c r="O810" s="63"/>
      <c r="P810" s="63"/>
      <c r="Q810" s="63"/>
      <c r="R810" s="63"/>
      <c r="S810" s="63"/>
      <c r="T810" s="63"/>
      <c r="U810" s="63"/>
      <c r="V810" s="63"/>
      <c r="W810" s="63"/>
      <c r="X810" s="63"/>
      <c r="Y810" s="63"/>
      <c r="Z810" s="63"/>
      <c r="AA810" s="63"/>
      <c r="AB810" s="63"/>
      <c r="AC810" s="63"/>
      <c r="AD810" s="63"/>
      <c r="AE810" s="63"/>
      <c r="AF810" s="63"/>
    </row>
    <row r="811">
      <c r="A811" s="69"/>
      <c r="B811" s="33" t="s">
        <v>76</v>
      </c>
      <c r="C811" s="102"/>
      <c r="D811" s="109"/>
      <c r="E811" s="109"/>
      <c r="F811" s="167"/>
      <c r="G811" s="159"/>
      <c r="H811" s="102"/>
      <c r="I811" s="71"/>
      <c r="J811" s="209"/>
      <c r="K811" s="209"/>
      <c r="L811" s="63"/>
      <c r="M811" s="63"/>
      <c r="N811" s="63"/>
      <c r="O811" s="63"/>
      <c r="P811" s="63"/>
      <c r="Q811" s="63"/>
      <c r="R811" s="63"/>
      <c r="S811" s="63"/>
      <c r="T811" s="63"/>
      <c r="U811" s="63"/>
      <c r="V811" s="63"/>
      <c r="W811" s="63"/>
      <c r="X811" s="63"/>
      <c r="Y811" s="63"/>
      <c r="Z811" s="63"/>
      <c r="AA811" s="63"/>
      <c r="AB811" s="63"/>
      <c r="AC811" s="63"/>
      <c r="AD811" s="63"/>
      <c r="AE811" s="63"/>
      <c r="AF811" s="63"/>
    </row>
    <row r="812">
      <c r="A812" s="69"/>
      <c r="B812" s="33" t="s">
        <v>76</v>
      </c>
      <c r="C812" s="204" t="s">
        <v>110</v>
      </c>
      <c r="D812" s="125" t="s">
        <v>599</v>
      </c>
      <c r="E812" s="125" t="s">
        <v>600</v>
      </c>
      <c r="F812" s="208" t="s">
        <v>3219</v>
      </c>
      <c r="G812" s="192" t="s">
        <v>3826</v>
      </c>
      <c r="H812" s="193" t="s">
        <v>3827</v>
      </c>
      <c r="I812" s="125" t="s">
        <v>602</v>
      </c>
      <c r="J812" s="209"/>
      <c r="K812" s="209"/>
      <c r="L812" s="63"/>
      <c r="M812" s="63"/>
      <c r="N812" s="63"/>
      <c r="O812" s="63"/>
      <c r="P812" s="63"/>
      <c r="Q812" s="63"/>
      <c r="R812" s="63"/>
      <c r="S812" s="63"/>
      <c r="T812" s="63"/>
      <c r="U812" s="63"/>
      <c r="V812" s="63"/>
      <c r="W812" s="63"/>
      <c r="X812" s="63"/>
      <c r="Y812" s="63"/>
      <c r="Z812" s="63"/>
      <c r="AA812" s="63"/>
      <c r="AB812" s="63"/>
      <c r="AC812" s="63"/>
      <c r="AD812" s="63"/>
      <c r="AE812" s="63"/>
      <c r="AF812" s="63"/>
    </row>
    <row r="813">
      <c r="A813" s="69"/>
      <c r="B813" s="33" t="s">
        <v>76</v>
      </c>
      <c r="C813" s="214" t="s">
        <v>75</v>
      </c>
      <c r="D813" s="258" t="s">
        <v>1811</v>
      </c>
      <c r="E813" s="258" t="s">
        <v>1812</v>
      </c>
      <c r="F813" s="208" t="s">
        <v>3044</v>
      </c>
      <c r="G813" s="192" t="s">
        <v>3846</v>
      </c>
      <c r="H813" s="193" t="s">
        <v>3847</v>
      </c>
      <c r="I813" s="125" t="s">
        <v>1815</v>
      </c>
      <c r="J813" s="209"/>
      <c r="K813" s="209"/>
      <c r="L813" s="63"/>
      <c r="M813" s="63"/>
      <c r="N813" s="63"/>
      <c r="O813" s="63"/>
      <c r="P813" s="63"/>
      <c r="Q813" s="63"/>
      <c r="R813" s="63"/>
      <c r="S813" s="63"/>
      <c r="T813" s="63"/>
      <c r="U813" s="63"/>
      <c r="V813" s="63"/>
      <c r="W813" s="63"/>
      <c r="X813" s="63"/>
      <c r="Y813" s="63"/>
      <c r="Z813" s="63"/>
      <c r="AA813" s="63"/>
      <c r="AB813" s="63"/>
      <c r="AC813" s="63"/>
      <c r="AD813" s="63"/>
      <c r="AE813" s="63"/>
      <c r="AF813" s="63"/>
    </row>
    <row r="814">
      <c r="A814" s="69"/>
      <c r="B814" s="33" t="s">
        <v>76</v>
      </c>
      <c r="C814" s="131" t="s">
        <v>75</v>
      </c>
      <c r="D814" s="262" t="s">
        <v>423</v>
      </c>
      <c r="E814" s="262" t="s">
        <v>424</v>
      </c>
      <c r="F814" s="160" t="s">
        <v>3014</v>
      </c>
      <c r="G814" s="146" t="s">
        <v>3848</v>
      </c>
      <c r="H814" s="147" t="s">
        <v>3849</v>
      </c>
      <c r="I814" s="81" t="s">
        <v>426</v>
      </c>
      <c r="J814" s="102" t="s">
        <v>3850</v>
      </c>
      <c r="K814" s="209"/>
      <c r="M814" s="63"/>
      <c r="N814" s="63"/>
      <c r="O814" s="63"/>
      <c r="P814" s="63"/>
      <c r="Q814" s="63"/>
      <c r="R814" s="63"/>
      <c r="S814" s="63"/>
      <c r="T814" s="63"/>
      <c r="U814" s="63"/>
      <c r="V814" s="63"/>
      <c r="W814" s="63"/>
      <c r="X814" s="63"/>
      <c r="Y814" s="63"/>
      <c r="Z814" s="63"/>
      <c r="AA814" s="63"/>
      <c r="AB814" s="63"/>
      <c r="AC814" s="63"/>
      <c r="AD814" s="63"/>
      <c r="AE814" s="63"/>
      <c r="AF814" s="63"/>
    </row>
    <row r="815">
      <c r="A815" s="69"/>
      <c r="B815" s="33" t="s">
        <v>76</v>
      </c>
      <c r="C815" s="214" t="s">
        <v>75</v>
      </c>
      <c r="D815" s="258" t="s">
        <v>876</v>
      </c>
      <c r="E815" s="258" t="s">
        <v>877</v>
      </c>
      <c r="F815" s="208" t="s">
        <v>3211</v>
      </c>
      <c r="G815" s="192" t="s">
        <v>3851</v>
      </c>
      <c r="H815" s="193" t="s">
        <v>3852</v>
      </c>
      <c r="I815" s="125" t="s">
        <v>879</v>
      </c>
      <c r="J815" s="209"/>
      <c r="K815" s="209"/>
      <c r="L815" s="63"/>
      <c r="M815" s="63"/>
      <c r="N815" s="63"/>
      <c r="O815" s="63"/>
      <c r="P815" s="63"/>
      <c r="Q815" s="63"/>
      <c r="R815" s="63"/>
      <c r="S815" s="63"/>
      <c r="T815" s="63"/>
      <c r="U815" s="63"/>
      <c r="V815" s="63"/>
      <c r="W815" s="63"/>
      <c r="X815" s="63"/>
      <c r="Y815" s="63"/>
      <c r="Z815" s="63"/>
      <c r="AA815" s="63"/>
      <c r="AB815" s="63"/>
      <c r="AC815" s="63"/>
      <c r="AD815" s="63"/>
      <c r="AE815" s="63"/>
      <c r="AF815" s="63"/>
    </row>
    <row r="816">
      <c r="A816" s="69"/>
      <c r="B816" s="33" t="s">
        <v>76</v>
      </c>
      <c r="C816" s="214" t="s">
        <v>75</v>
      </c>
      <c r="D816" s="255" t="s">
        <v>2136</v>
      </c>
      <c r="E816" s="255" t="s">
        <v>2137</v>
      </c>
      <c r="F816" s="208" t="s">
        <v>2935</v>
      </c>
      <c r="G816" s="192" t="s">
        <v>3838</v>
      </c>
      <c r="H816" s="193" t="s">
        <v>3839</v>
      </c>
      <c r="I816" s="125" t="s">
        <v>2140</v>
      </c>
      <c r="J816" s="209"/>
      <c r="K816" s="209"/>
      <c r="L816" s="63"/>
      <c r="M816" s="63"/>
      <c r="N816" s="63"/>
      <c r="O816" s="63"/>
      <c r="P816" s="63"/>
      <c r="Q816" s="63"/>
      <c r="R816" s="63"/>
      <c r="S816" s="63"/>
      <c r="T816" s="63"/>
      <c r="U816" s="63"/>
      <c r="V816" s="63"/>
      <c r="W816" s="63"/>
      <c r="X816" s="63"/>
      <c r="Y816" s="63"/>
      <c r="Z816" s="63"/>
      <c r="AA816" s="63"/>
      <c r="AB816" s="63"/>
      <c r="AC816" s="63"/>
      <c r="AD816" s="63"/>
      <c r="AE816" s="63"/>
      <c r="AF816" s="63"/>
    </row>
    <row r="817">
      <c r="A817" s="69"/>
      <c r="B817" s="33" t="s">
        <v>76</v>
      </c>
      <c r="C817" s="102"/>
      <c r="D817" s="109"/>
      <c r="E817" s="109"/>
      <c r="F817" s="167"/>
      <c r="G817" s="159"/>
      <c r="H817" s="102"/>
      <c r="I817" s="71"/>
      <c r="J817" s="209"/>
      <c r="K817" s="209"/>
      <c r="L817" s="63"/>
      <c r="M817" s="63"/>
      <c r="N817" s="63"/>
      <c r="O817" s="63"/>
      <c r="P817" s="63"/>
      <c r="Q817" s="63"/>
      <c r="R817" s="63"/>
      <c r="S817" s="63"/>
      <c r="T817" s="63"/>
      <c r="U817" s="63"/>
      <c r="V817" s="63"/>
      <c r="W817" s="63"/>
      <c r="X817" s="63"/>
      <c r="Y817" s="63"/>
      <c r="Z817" s="63"/>
      <c r="AA817" s="63"/>
      <c r="AB817" s="63"/>
      <c r="AC817" s="63"/>
      <c r="AD817" s="63"/>
      <c r="AE817" s="63"/>
      <c r="AF817" s="63"/>
    </row>
    <row r="818">
      <c r="A818" s="79"/>
      <c r="B818" s="33" t="s">
        <v>76</v>
      </c>
      <c r="C818" s="102"/>
      <c r="D818" s="109"/>
      <c r="E818" s="109"/>
      <c r="F818" s="167"/>
      <c r="G818" s="159"/>
      <c r="H818" s="102"/>
      <c r="I818" s="71"/>
      <c r="J818" s="209"/>
      <c r="K818" s="209"/>
      <c r="L818" s="63"/>
      <c r="M818" s="63"/>
      <c r="N818" s="63"/>
      <c r="O818" s="63"/>
      <c r="P818" s="63"/>
      <c r="Q818" s="63"/>
      <c r="R818" s="63"/>
      <c r="S818" s="63"/>
      <c r="T818" s="63"/>
      <c r="U818" s="63"/>
      <c r="V818" s="63"/>
      <c r="W818" s="63"/>
      <c r="X818" s="63"/>
      <c r="Y818" s="63"/>
      <c r="Z818" s="63"/>
      <c r="AA818" s="63"/>
      <c r="AB818" s="63"/>
      <c r="AC818" s="63"/>
      <c r="AD818" s="63"/>
      <c r="AE818" s="63"/>
      <c r="AF818" s="63"/>
    </row>
    <row r="819">
      <c r="A819" s="189"/>
      <c r="B819" s="286">
        <v>44643.0</v>
      </c>
      <c r="C819" s="102"/>
      <c r="D819" s="109"/>
      <c r="E819" s="109"/>
      <c r="F819" s="167"/>
      <c r="G819" s="159"/>
      <c r="H819" s="102"/>
      <c r="I819" s="71"/>
      <c r="J819" s="209"/>
      <c r="K819" s="209"/>
      <c r="L819" s="63"/>
      <c r="M819" s="63"/>
      <c r="N819" s="63"/>
      <c r="O819" s="63"/>
      <c r="P819" s="63"/>
      <c r="Q819" s="63"/>
      <c r="R819" s="63"/>
      <c r="S819" s="63"/>
      <c r="T819" s="63"/>
      <c r="U819" s="63"/>
      <c r="V819" s="63"/>
      <c r="W819" s="63"/>
      <c r="X819" s="63"/>
      <c r="Y819" s="63"/>
      <c r="Z819" s="63"/>
      <c r="AA819" s="63"/>
      <c r="AB819" s="63"/>
      <c r="AC819" s="63"/>
      <c r="AD819" s="63"/>
      <c r="AE819" s="63"/>
      <c r="AF819" s="63"/>
    </row>
    <row r="820">
      <c r="A820" s="287" t="s">
        <v>3478</v>
      </c>
      <c r="B820" s="33" t="s">
        <v>76</v>
      </c>
      <c r="C820" s="102"/>
      <c r="D820" s="109"/>
      <c r="E820" s="109"/>
      <c r="F820" s="167"/>
      <c r="G820" s="159"/>
      <c r="H820" s="102"/>
      <c r="I820" s="71"/>
      <c r="J820" s="209"/>
      <c r="K820" s="209"/>
      <c r="L820" s="63"/>
      <c r="M820" s="63"/>
      <c r="N820" s="63"/>
      <c r="O820" s="63"/>
      <c r="P820" s="63"/>
      <c r="Q820" s="63"/>
      <c r="R820" s="63"/>
      <c r="S820" s="63"/>
      <c r="T820" s="63"/>
      <c r="U820" s="63"/>
      <c r="V820" s="63"/>
      <c r="W820" s="63"/>
      <c r="X820" s="63"/>
      <c r="Y820" s="63"/>
      <c r="Z820" s="63"/>
      <c r="AA820" s="63"/>
      <c r="AB820" s="63"/>
      <c r="AC820" s="63"/>
      <c r="AD820" s="63"/>
      <c r="AE820" s="63"/>
      <c r="AF820" s="63"/>
    </row>
    <row r="821">
      <c r="A821" s="69"/>
      <c r="B821" s="33" t="s">
        <v>76</v>
      </c>
      <c r="C821" s="102"/>
      <c r="D821" s="109"/>
      <c r="E821" s="109"/>
      <c r="F821" s="158"/>
      <c r="G821" s="159"/>
      <c r="H821" s="102"/>
      <c r="I821" s="71"/>
      <c r="J821" s="209"/>
      <c r="K821" s="209"/>
      <c r="L821" s="63"/>
      <c r="M821" s="63"/>
      <c r="N821" s="63"/>
      <c r="O821" s="63"/>
      <c r="P821" s="63"/>
      <c r="Q821" s="63"/>
      <c r="R821" s="63"/>
      <c r="S821" s="63"/>
      <c r="T821" s="63"/>
      <c r="U821" s="63"/>
      <c r="V821" s="63"/>
      <c r="W821" s="63"/>
      <c r="X821" s="63"/>
      <c r="Y821" s="63"/>
      <c r="Z821" s="63"/>
      <c r="AA821" s="63"/>
      <c r="AB821" s="63"/>
      <c r="AC821" s="63"/>
      <c r="AD821" s="63"/>
      <c r="AE821" s="63"/>
      <c r="AF821" s="63"/>
    </row>
    <row r="822">
      <c r="A822" s="69"/>
      <c r="B822" s="33" t="s">
        <v>76</v>
      </c>
      <c r="C822" s="102"/>
      <c r="D822" s="109"/>
      <c r="E822" s="109"/>
      <c r="F822" s="158"/>
      <c r="G822" s="159"/>
      <c r="H822" s="102"/>
      <c r="I822" s="71"/>
      <c r="J822" s="209"/>
      <c r="K822" s="209"/>
      <c r="L822" s="63"/>
      <c r="M822" s="63"/>
      <c r="N822" s="63"/>
      <c r="O822" s="63"/>
      <c r="P822" s="63"/>
      <c r="Q822" s="63"/>
      <c r="R822" s="63"/>
      <c r="S822" s="63"/>
      <c r="T822" s="63"/>
      <c r="U822" s="63"/>
      <c r="V822" s="63"/>
      <c r="W822" s="63"/>
      <c r="X822" s="63"/>
      <c r="Y822" s="63"/>
      <c r="Z822" s="63"/>
      <c r="AA822" s="63"/>
      <c r="AB822" s="63"/>
      <c r="AC822" s="63"/>
      <c r="AD822" s="63"/>
      <c r="AE822" s="63"/>
      <c r="AF822" s="63"/>
    </row>
    <row r="823">
      <c r="A823" s="69"/>
      <c r="B823" s="33" t="s">
        <v>76</v>
      </c>
      <c r="C823" s="102"/>
      <c r="D823" s="109"/>
      <c r="E823" s="109"/>
      <c r="F823" s="167"/>
      <c r="G823" s="159"/>
      <c r="H823" s="102"/>
      <c r="I823" s="71"/>
      <c r="J823" s="209"/>
      <c r="K823" s="209"/>
      <c r="L823" s="63"/>
      <c r="M823" s="63"/>
      <c r="N823" s="63"/>
      <c r="O823" s="63"/>
      <c r="P823" s="63"/>
      <c r="Q823" s="63"/>
      <c r="R823" s="63"/>
      <c r="S823" s="63"/>
      <c r="T823" s="63"/>
      <c r="U823" s="63"/>
      <c r="V823" s="63"/>
      <c r="W823" s="63"/>
      <c r="X823" s="63"/>
      <c r="Y823" s="63"/>
      <c r="Z823" s="63"/>
      <c r="AA823" s="63"/>
      <c r="AB823" s="63"/>
      <c r="AC823" s="63"/>
      <c r="AD823" s="63"/>
      <c r="AE823" s="63"/>
      <c r="AF823" s="63"/>
    </row>
    <row r="824">
      <c r="A824" s="69"/>
      <c r="B824" s="33" t="s">
        <v>76</v>
      </c>
      <c r="C824" s="214" t="s">
        <v>3786</v>
      </c>
      <c r="D824" s="258" t="s">
        <v>886</v>
      </c>
      <c r="E824" s="258" t="s">
        <v>887</v>
      </c>
      <c r="F824" s="208" t="s">
        <v>3011</v>
      </c>
      <c r="G824" s="192" t="s">
        <v>3113</v>
      </c>
      <c r="H824" s="193" t="s">
        <v>3853</v>
      </c>
      <c r="I824" s="125" t="s">
        <v>558</v>
      </c>
      <c r="J824" s="216" t="s">
        <v>3058</v>
      </c>
      <c r="K824" s="288"/>
      <c r="L824" s="63"/>
      <c r="M824" s="63"/>
      <c r="N824" s="63"/>
      <c r="O824" s="63"/>
      <c r="P824" s="63"/>
      <c r="Q824" s="63"/>
      <c r="R824" s="63"/>
      <c r="S824" s="63"/>
      <c r="T824" s="63"/>
      <c r="U824" s="63"/>
      <c r="V824" s="63"/>
      <c r="W824" s="63"/>
      <c r="X824" s="63"/>
      <c r="Y824" s="63"/>
      <c r="Z824" s="63"/>
      <c r="AA824" s="63"/>
      <c r="AB824" s="63"/>
      <c r="AC824" s="63"/>
      <c r="AD824" s="63"/>
      <c r="AE824" s="63"/>
      <c r="AF824" s="63"/>
    </row>
    <row r="825">
      <c r="A825" s="69"/>
      <c r="B825" s="33" t="s">
        <v>76</v>
      </c>
      <c r="C825" s="214" t="s">
        <v>3786</v>
      </c>
      <c r="D825" s="258" t="s">
        <v>2839</v>
      </c>
      <c r="E825" s="258" t="s">
        <v>2840</v>
      </c>
      <c r="F825" s="208" t="s">
        <v>3014</v>
      </c>
      <c r="G825" s="192" t="s">
        <v>3207</v>
      </c>
      <c r="H825" s="193" t="s">
        <v>3854</v>
      </c>
      <c r="I825" s="125" t="s">
        <v>2842</v>
      </c>
      <c r="J825" s="209"/>
      <c r="K825" s="209"/>
      <c r="L825" s="63"/>
      <c r="M825" s="63"/>
      <c r="N825" s="63"/>
      <c r="O825" s="63"/>
      <c r="P825" s="63"/>
      <c r="Q825" s="63"/>
      <c r="R825" s="63"/>
      <c r="S825" s="63"/>
      <c r="T825" s="63"/>
      <c r="U825" s="63"/>
      <c r="V825" s="63"/>
      <c r="W825" s="63"/>
      <c r="X825" s="63"/>
      <c r="Y825" s="63"/>
      <c r="Z825" s="63"/>
      <c r="AA825" s="63"/>
      <c r="AB825" s="63"/>
      <c r="AC825" s="63"/>
      <c r="AD825" s="63"/>
      <c r="AE825" s="63"/>
      <c r="AF825" s="63"/>
    </row>
    <row r="826">
      <c r="A826" s="69"/>
      <c r="B826" s="33" t="s">
        <v>76</v>
      </c>
      <c r="C826" s="214" t="s">
        <v>3786</v>
      </c>
      <c r="D826" s="258" t="s">
        <v>1272</v>
      </c>
      <c r="E826" s="258" t="s">
        <v>1273</v>
      </c>
      <c r="F826" s="208" t="s">
        <v>3647</v>
      </c>
      <c r="G826" s="192" t="s">
        <v>3207</v>
      </c>
      <c r="H826" s="193" t="s">
        <v>3855</v>
      </c>
      <c r="I826" s="125" t="s">
        <v>1275</v>
      </c>
      <c r="J826" s="209"/>
      <c r="K826" s="209"/>
      <c r="L826" s="63"/>
      <c r="M826" s="63"/>
      <c r="N826" s="63"/>
      <c r="O826" s="63"/>
      <c r="P826" s="63"/>
      <c r="Q826" s="63"/>
      <c r="R826" s="63"/>
      <c r="S826" s="63"/>
      <c r="T826" s="63"/>
      <c r="U826" s="63"/>
      <c r="V826" s="63"/>
      <c r="W826" s="63"/>
      <c r="X826" s="63"/>
      <c r="Y826" s="63"/>
      <c r="Z826" s="63"/>
      <c r="AA826" s="63"/>
      <c r="AB826" s="63"/>
      <c r="AC826" s="63"/>
      <c r="AD826" s="63"/>
      <c r="AE826" s="63"/>
      <c r="AF826" s="63"/>
    </row>
    <row r="827">
      <c r="A827" s="69"/>
      <c r="B827" s="33" t="s">
        <v>76</v>
      </c>
      <c r="C827" s="214" t="s">
        <v>3786</v>
      </c>
      <c r="D827" s="258" t="s">
        <v>1059</v>
      </c>
      <c r="E827" s="258" t="s">
        <v>1060</v>
      </c>
      <c r="F827" s="208" t="s">
        <v>3040</v>
      </c>
      <c r="G827" s="192" t="s">
        <v>3207</v>
      </c>
      <c r="H827" s="193" t="s">
        <v>3856</v>
      </c>
      <c r="I827" s="125" t="s">
        <v>1062</v>
      </c>
      <c r="J827" s="209"/>
      <c r="K827" s="209"/>
      <c r="L827" s="63"/>
      <c r="M827" s="63"/>
      <c r="N827" s="63"/>
      <c r="O827" s="63"/>
      <c r="P827" s="63"/>
      <c r="Q827" s="63"/>
      <c r="R827" s="63"/>
      <c r="S827" s="63"/>
      <c r="T827" s="63"/>
      <c r="U827" s="63"/>
      <c r="V827" s="63"/>
      <c r="W827" s="63"/>
      <c r="X827" s="63"/>
      <c r="Y827" s="63"/>
      <c r="Z827" s="63"/>
      <c r="AA827" s="63"/>
      <c r="AB827" s="63"/>
      <c r="AC827" s="63"/>
      <c r="AD827" s="63"/>
      <c r="AE827" s="63"/>
      <c r="AF827" s="63"/>
    </row>
    <row r="828">
      <c r="A828" s="79"/>
      <c r="B828" s="33" t="s">
        <v>76</v>
      </c>
      <c r="C828" s="102"/>
      <c r="D828" s="109"/>
      <c r="E828" s="109"/>
      <c r="F828" s="167"/>
      <c r="G828" s="159"/>
      <c r="H828" s="102"/>
      <c r="I828" s="71"/>
      <c r="J828" s="209"/>
      <c r="K828" s="209"/>
      <c r="L828" s="63"/>
      <c r="M828" s="63"/>
      <c r="N828" s="63"/>
      <c r="O828" s="63"/>
      <c r="P828" s="63"/>
      <c r="Q828" s="63"/>
      <c r="R828" s="63"/>
      <c r="S828" s="63"/>
      <c r="T828" s="63"/>
      <c r="U828" s="63"/>
      <c r="V828" s="63"/>
      <c r="W828" s="63"/>
      <c r="X828" s="63"/>
      <c r="Y828" s="63"/>
      <c r="Z828" s="63"/>
      <c r="AA828" s="63"/>
      <c r="AB828" s="63"/>
      <c r="AC828" s="63"/>
      <c r="AD828" s="63"/>
      <c r="AE828" s="63"/>
      <c r="AF828" s="63"/>
    </row>
    <row r="829">
      <c r="A829" s="189"/>
      <c r="B829" s="286">
        <v>44644.0</v>
      </c>
      <c r="C829" s="102"/>
      <c r="D829" s="109"/>
      <c r="E829" s="109"/>
      <c r="F829" s="167"/>
      <c r="G829" s="159"/>
      <c r="H829" s="102"/>
      <c r="I829" s="71"/>
      <c r="J829" s="209"/>
      <c r="K829" s="209"/>
      <c r="L829" s="63"/>
      <c r="M829" s="63"/>
      <c r="N829" s="63"/>
      <c r="O829" s="63"/>
      <c r="P829" s="63"/>
      <c r="Q829" s="63"/>
      <c r="R829" s="63"/>
      <c r="S829" s="63"/>
      <c r="T829" s="63"/>
      <c r="U829" s="63"/>
      <c r="V829" s="63"/>
      <c r="W829" s="63"/>
      <c r="X829" s="63"/>
      <c r="Y829" s="63"/>
      <c r="Z829" s="63"/>
      <c r="AA829" s="63"/>
      <c r="AB829" s="63"/>
      <c r="AC829" s="63"/>
      <c r="AD829" s="63"/>
      <c r="AE829" s="63"/>
      <c r="AF829" s="63"/>
    </row>
    <row r="830">
      <c r="A830" s="287" t="s">
        <v>3478</v>
      </c>
      <c r="B830" s="33" t="s">
        <v>76</v>
      </c>
      <c r="C830" s="102"/>
      <c r="D830" s="109"/>
      <c r="E830" s="109"/>
      <c r="F830" s="167"/>
      <c r="G830" s="159"/>
      <c r="H830" s="102"/>
      <c r="I830" s="71"/>
      <c r="J830" s="209"/>
      <c r="K830" s="209"/>
      <c r="L830" s="63"/>
      <c r="M830" s="63"/>
      <c r="N830" s="63"/>
      <c r="O830" s="63"/>
      <c r="P830" s="63"/>
      <c r="Q830" s="63"/>
      <c r="R830" s="63"/>
      <c r="S830" s="63"/>
      <c r="T830" s="63"/>
      <c r="U830" s="63"/>
      <c r="V830" s="63"/>
      <c r="W830" s="63"/>
      <c r="X830" s="63"/>
      <c r="Y830" s="63"/>
      <c r="Z830" s="63"/>
      <c r="AA830" s="63"/>
      <c r="AB830" s="63"/>
      <c r="AC830" s="63"/>
      <c r="AD830" s="63"/>
      <c r="AE830" s="63"/>
      <c r="AF830" s="63"/>
    </row>
    <row r="831">
      <c r="A831" s="69"/>
      <c r="B831" s="33" t="s">
        <v>76</v>
      </c>
      <c r="C831" s="102"/>
      <c r="D831" s="109"/>
      <c r="E831" s="109"/>
      <c r="F831" s="167"/>
      <c r="G831" s="159"/>
      <c r="H831" s="102"/>
      <c r="I831" s="71"/>
      <c r="J831" s="209"/>
      <c r="K831" s="209"/>
      <c r="L831" s="63"/>
      <c r="M831" s="63"/>
      <c r="N831" s="63"/>
      <c r="O831" s="63"/>
      <c r="P831" s="63"/>
      <c r="Q831" s="63"/>
      <c r="R831" s="63"/>
      <c r="S831" s="63"/>
      <c r="T831" s="63"/>
      <c r="U831" s="63"/>
      <c r="V831" s="63"/>
      <c r="W831" s="63"/>
      <c r="X831" s="63"/>
      <c r="Y831" s="63"/>
      <c r="Z831" s="63"/>
      <c r="AA831" s="63"/>
      <c r="AB831" s="63"/>
      <c r="AC831" s="63"/>
      <c r="AD831" s="63"/>
      <c r="AE831" s="63"/>
      <c r="AF831" s="63"/>
    </row>
    <row r="832">
      <c r="A832" s="69"/>
      <c r="B832" s="33" t="s">
        <v>76</v>
      </c>
      <c r="C832" s="102"/>
      <c r="D832" s="109"/>
      <c r="E832" s="109"/>
      <c r="F832" s="167"/>
      <c r="G832" s="159"/>
      <c r="H832" s="102"/>
      <c r="I832" s="71"/>
      <c r="J832" s="209"/>
      <c r="K832" s="209"/>
      <c r="L832" s="63"/>
      <c r="M832" s="63"/>
      <c r="N832" s="63"/>
      <c r="O832" s="63"/>
      <c r="P832" s="63"/>
      <c r="Q832" s="63"/>
      <c r="R832" s="63"/>
      <c r="S832" s="63"/>
      <c r="T832" s="63"/>
      <c r="U832" s="63"/>
      <c r="V832" s="63"/>
      <c r="W832" s="63"/>
      <c r="X832" s="63"/>
      <c r="Y832" s="63"/>
      <c r="Z832" s="63"/>
      <c r="AA832" s="63"/>
      <c r="AB832" s="63"/>
      <c r="AC832" s="63"/>
      <c r="AD832" s="63"/>
      <c r="AE832" s="63"/>
      <c r="AF832" s="63"/>
    </row>
    <row r="833">
      <c r="A833" s="69"/>
      <c r="B833" s="33" t="s">
        <v>76</v>
      </c>
      <c r="C833" s="102"/>
      <c r="D833" s="109"/>
      <c r="E833" s="109"/>
      <c r="F833" s="167"/>
      <c r="G833" s="159"/>
      <c r="H833" s="102"/>
      <c r="I833" s="71"/>
      <c r="J833" s="209"/>
      <c r="K833" s="209"/>
      <c r="L833" s="63"/>
      <c r="M833" s="63"/>
      <c r="N833" s="63"/>
      <c r="O833" s="63"/>
      <c r="P833" s="63"/>
      <c r="Q833" s="63"/>
      <c r="R833" s="63"/>
      <c r="S833" s="63"/>
      <c r="T833" s="63"/>
      <c r="U833" s="63"/>
      <c r="V833" s="63"/>
      <c r="W833" s="63"/>
      <c r="X833" s="63"/>
      <c r="Y833" s="63"/>
      <c r="Z833" s="63"/>
      <c r="AA833" s="63"/>
      <c r="AB833" s="63"/>
      <c r="AC833" s="63"/>
      <c r="AD833" s="63"/>
      <c r="AE833" s="63"/>
      <c r="AF833" s="63"/>
    </row>
    <row r="834">
      <c r="A834" s="69"/>
      <c r="B834" s="33" t="s">
        <v>76</v>
      </c>
      <c r="C834" s="102"/>
      <c r="D834" s="109"/>
      <c r="E834" s="109"/>
      <c r="F834" s="167"/>
      <c r="G834" s="159"/>
      <c r="H834" s="102"/>
      <c r="I834" s="71"/>
      <c r="J834" s="209"/>
      <c r="K834" s="288"/>
      <c r="M834" s="63"/>
      <c r="N834" s="63"/>
      <c r="O834" s="63"/>
      <c r="P834" s="63"/>
      <c r="Q834" s="63"/>
      <c r="R834" s="63"/>
      <c r="S834" s="63"/>
      <c r="T834" s="63"/>
      <c r="U834" s="63"/>
      <c r="V834" s="63"/>
      <c r="W834" s="63"/>
      <c r="X834" s="63"/>
      <c r="Y834" s="63"/>
      <c r="Z834" s="63"/>
      <c r="AA834" s="63"/>
      <c r="AB834" s="63"/>
      <c r="AC834" s="63"/>
      <c r="AD834" s="63"/>
      <c r="AE834" s="63"/>
      <c r="AF834" s="63"/>
    </row>
    <row r="835">
      <c r="A835" s="69"/>
      <c r="B835" s="33" t="s">
        <v>76</v>
      </c>
      <c r="C835" s="214" t="s">
        <v>75</v>
      </c>
      <c r="D835" s="258" t="s">
        <v>2656</v>
      </c>
      <c r="E835" s="258" t="s">
        <v>2657</v>
      </c>
      <c r="F835" s="208" t="s">
        <v>3057</v>
      </c>
      <c r="G835" s="192" t="s">
        <v>3857</v>
      </c>
      <c r="H835" s="193" t="s">
        <v>3858</v>
      </c>
      <c r="I835" s="125" t="s">
        <v>2659</v>
      </c>
      <c r="J835" s="209"/>
      <c r="K835" s="209"/>
      <c r="L835" s="63"/>
      <c r="M835" s="63"/>
      <c r="N835" s="63"/>
      <c r="O835" s="63"/>
      <c r="P835" s="63"/>
      <c r="Q835" s="63"/>
      <c r="R835" s="63"/>
      <c r="S835" s="63"/>
      <c r="T835" s="63"/>
      <c r="U835" s="63"/>
      <c r="V835" s="63"/>
      <c r="W835" s="63"/>
      <c r="X835" s="63"/>
      <c r="Y835" s="63"/>
      <c r="Z835" s="63"/>
      <c r="AA835" s="63"/>
      <c r="AB835" s="63"/>
      <c r="AC835" s="63"/>
      <c r="AD835" s="63"/>
      <c r="AE835" s="63"/>
      <c r="AF835" s="63"/>
    </row>
    <row r="836">
      <c r="A836" s="69"/>
      <c r="B836" s="33" t="s">
        <v>76</v>
      </c>
      <c r="C836" s="214" t="s">
        <v>75</v>
      </c>
      <c r="D836" s="258" t="s">
        <v>2015</v>
      </c>
      <c r="E836" s="258" t="s">
        <v>2016</v>
      </c>
      <c r="F836" s="208" t="s">
        <v>3044</v>
      </c>
      <c r="G836" s="192" t="s">
        <v>3859</v>
      </c>
      <c r="H836" s="193" t="s">
        <v>3860</v>
      </c>
      <c r="I836" s="125" t="s">
        <v>2018</v>
      </c>
      <c r="J836" s="209"/>
      <c r="K836" s="209"/>
      <c r="L836" s="63"/>
      <c r="M836" s="63"/>
      <c r="N836" s="63"/>
      <c r="O836" s="63"/>
      <c r="P836" s="63"/>
      <c r="Q836" s="63"/>
      <c r="R836" s="63"/>
      <c r="S836" s="63"/>
      <c r="T836" s="63"/>
      <c r="U836" s="63"/>
      <c r="V836" s="63"/>
      <c r="W836" s="63"/>
      <c r="X836" s="63"/>
      <c r="Y836" s="63"/>
      <c r="Z836" s="63"/>
      <c r="AA836" s="63"/>
      <c r="AB836" s="63"/>
      <c r="AC836" s="63"/>
      <c r="AD836" s="63"/>
      <c r="AE836" s="63"/>
      <c r="AF836" s="63"/>
    </row>
    <row r="837">
      <c r="A837" s="69"/>
      <c r="B837" s="33" t="s">
        <v>76</v>
      </c>
      <c r="C837" s="214" t="s">
        <v>75</v>
      </c>
      <c r="D837" s="258" t="s">
        <v>1537</v>
      </c>
      <c r="E837" s="258" t="s">
        <v>1538</v>
      </c>
      <c r="F837" s="208" t="s">
        <v>3049</v>
      </c>
      <c r="G837" s="192" t="s">
        <v>3753</v>
      </c>
      <c r="H837" s="193" t="s">
        <v>3861</v>
      </c>
      <c r="I837" s="125" t="s">
        <v>1539</v>
      </c>
      <c r="J837" s="209"/>
      <c r="K837" s="209"/>
      <c r="L837" s="63"/>
      <c r="M837" s="63"/>
      <c r="N837" s="63"/>
      <c r="O837" s="63"/>
      <c r="P837" s="63"/>
      <c r="Q837" s="63"/>
      <c r="R837" s="63"/>
      <c r="S837" s="63"/>
      <c r="T837" s="63"/>
      <c r="U837" s="63"/>
      <c r="V837" s="63"/>
      <c r="W837" s="63"/>
      <c r="X837" s="63"/>
      <c r="Y837" s="63"/>
      <c r="Z837" s="63"/>
      <c r="AA837" s="63"/>
      <c r="AB837" s="63"/>
      <c r="AC837" s="63"/>
      <c r="AD837" s="63"/>
      <c r="AE837" s="63"/>
      <c r="AF837" s="63"/>
    </row>
    <row r="838">
      <c r="A838" s="79"/>
      <c r="B838" s="33" t="s">
        <v>76</v>
      </c>
      <c r="C838" s="214" t="s">
        <v>75</v>
      </c>
      <c r="D838" s="258" t="s">
        <v>1007</v>
      </c>
      <c r="E838" s="258" t="s">
        <v>1008</v>
      </c>
      <c r="F838" s="208" t="s">
        <v>3306</v>
      </c>
      <c r="G838" s="192" t="s">
        <v>3763</v>
      </c>
      <c r="H838" s="193" t="s">
        <v>3862</v>
      </c>
      <c r="I838" s="125" t="s">
        <v>1010</v>
      </c>
      <c r="J838" s="209"/>
      <c r="K838" s="209"/>
      <c r="L838" s="63"/>
      <c r="M838" s="63"/>
      <c r="N838" s="63"/>
      <c r="O838" s="63"/>
      <c r="P838" s="63"/>
      <c r="Q838" s="63"/>
      <c r="R838" s="63"/>
      <c r="S838" s="63"/>
      <c r="T838" s="63"/>
      <c r="U838" s="63"/>
      <c r="V838" s="63"/>
      <c r="W838" s="63"/>
      <c r="X838" s="63"/>
      <c r="Y838" s="63"/>
      <c r="Z838" s="63"/>
      <c r="AA838" s="63"/>
      <c r="AB838" s="63"/>
      <c r="AC838" s="63"/>
      <c r="AD838" s="63"/>
      <c r="AE838" s="63"/>
      <c r="AF838" s="63"/>
    </row>
    <row r="839">
      <c r="A839" s="189"/>
      <c r="B839" s="286">
        <v>44645.0</v>
      </c>
      <c r="C839" s="102"/>
      <c r="D839" s="109"/>
      <c r="E839" s="109"/>
      <c r="F839" s="167"/>
      <c r="G839" s="159"/>
      <c r="H839" s="102"/>
      <c r="I839" s="71"/>
      <c r="J839" s="209"/>
      <c r="K839" s="209"/>
      <c r="L839" s="63"/>
      <c r="M839" s="63"/>
      <c r="N839" s="63"/>
      <c r="O839" s="63"/>
      <c r="P839" s="63"/>
      <c r="Q839" s="63"/>
      <c r="R839" s="63"/>
      <c r="S839" s="63"/>
      <c r="T839" s="63"/>
      <c r="U839" s="63"/>
      <c r="V839" s="63"/>
      <c r="W839" s="63"/>
      <c r="X839" s="63"/>
      <c r="Y839" s="63"/>
      <c r="Z839" s="63"/>
      <c r="AA839" s="63"/>
      <c r="AB839" s="63"/>
      <c r="AC839" s="63"/>
      <c r="AD839" s="63"/>
      <c r="AE839" s="63"/>
      <c r="AF839" s="63"/>
    </row>
    <row r="840">
      <c r="A840" s="287" t="s">
        <v>3478</v>
      </c>
      <c r="B840" s="33" t="s">
        <v>76</v>
      </c>
      <c r="C840" s="102"/>
      <c r="D840" s="109"/>
      <c r="E840" s="109"/>
      <c r="F840" s="167"/>
      <c r="G840" s="159"/>
      <c r="H840" s="102"/>
      <c r="I840" s="71"/>
      <c r="J840" s="209"/>
      <c r="K840" s="209"/>
      <c r="L840" s="63"/>
      <c r="M840" s="63"/>
      <c r="N840" s="63"/>
      <c r="O840" s="63"/>
      <c r="P840" s="63"/>
      <c r="Q840" s="63"/>
      <c r="R840" s="63"/>
      <c r="S840" s="63"/>
      <c r="T840" s="63"/>
      <c r="U840" s="63"/>
      <c r="V840" s="63"/>
      <c r="W840" s="63"/>
      <c r="X840" s="63"/>
      <c r="Y840" s="63"/>
      <c r="Z840" s="63"/>
      <c r="AA840" s="63"/>
      <c r="AB840" s="63"/>
      <c r="AC840" s="63"/>
      <c r="AD840" s="63"/>
      <c r="AE840" s="63"/>
      <c r="AF840" s="63"/>
    </row>
    <row r="841">
      <c r="A841" s="69"/>
      <c r="B841" s="33" t="s">
        <v>76</v>
      </c>
      <c r="C841" s="102"/>
      <c r="D841" s="109"/>
      <c r="E841" s="109"/>
      <c r="F841" s="167"/>
      <c r="G841" s="159"/>
      <c r="H841" s="102"/>
      <c r="I841" s="71"/>
      <c r="J841" s="209"/>
      <c r="K841" s="209"/>
      <c r="L841" s="63"/>
      <c r="M841" s="63"/>
      <c r="N841" s="63"/>
      <c r="O841" s="63"/>
      <c r="P841" s="63"/>
      <c r="Q841" s="63"/>
      <c r="R841" s="63"/>
      <c r="S841" s="63"/>
      <c r="T841" s="63"/>
      <c r="U841" s="63"/>
      <c r="V841" s="63"/>
      <c r="W841" s="63"/>
      <c r="X841" s="63"/>
      <c r="Y841" s="63"/>
      <c r="Z841" s="63"/>
      <c r="AA841" s="63"/>
      <c r="AB841" s="63"/>
      <c r="AC841" s="63"/>
      <c r="AD841" s="63"/>
      <c r="AE841" s="63"/>
      <c r="AF841" s="63"/>
    </row>
    <row r="842">
      <c r="A842" s="69"/>
      <c r="B842" s="33" t="s">
        <v>76</v>
      </c>
      <c r="C842" s="102"/>
      <c r="D842" s="109"/>
      <c r="E842" s="109"/>
      <c r="F842" s="167"/>
      <c r="G842" s="159"/>
      <c r="H842" s="102"/>
      <c r="I842" s="71"/>
      <c r="J842" s="209"/>
      <c r="K842" s="209"/>
      <c r="L842" s="63"/>
      <c r="M842" s="63"/>
      <c r="N842" s="63"/>
      <c r="O842" s="63"/>
      <c r="P842" s="63"/>
      <c r="Q842" s="63"/>
      <c r="R842" s="63"/>
      <c r="S842" s="63"/>
      <c r="T842" s="63"/>
      <c r="U842" s="63"/>
      <c r="V842" s="63"/>
      <c r="W842" s="63"/>
      <c r="X842" s="63"/>
      <c r="Y842" s="63"/>
      <c r="Z842" s="63"/>
      <c r="AA842" s="63"/>
      <c r="AB842" s="63"/>
      <c r="AC842" s="63"/>
      <c r="AD842" s="63"/>
      <c r="AE842" s="63"/>
      <c r="AF842" s="63"/>
    </row>
    <row r="843">
      <c r="A843" s="69"/>
      <c r="B843" s="33" t="s">
        <v>76</v>
      </c>
      <c r="C843" s="102"/>
      <c r="D843" s="289"/>
      <c r="E843" s="62"/>
      <c r="F843" s="167"/>
      <c r="G843" s="159"/>
      <c r="H843" s="102"/>
      <c r="I843" s="71"/>
      <c r="J843" s="209"/>
      <c r="K843" s="209"/>
      <c r="L843" s="63"/>
      <c r="M843" s="63"/>
      <c r="N843" s="63"/>
      <c r="O843" s="63"/>
      <c r="P843" s="63"/>
      <c r="Q843" s="63"/>
      <c r="R843" s="63"/>
      <c r="S843" s="63"/>
      <c r="T843" s="63"/>
      <c r="U843" s="63"/>
      <c r="V843" s="63"/>
      <c r="W843" s="63"/>
      <c r="X843" s="63"/>
      <c r="Y843" s="63"/>
      <c r="Z843" s="63"/>
      <c r="AA843" s="63"/>
      <c r="AB843" s="63"/>
      <c r="AC843" s="63"/>
      <c r="AD843" s="63"/>
      <c r="AE843" s="63"/>
      <c r="AF843" s="63"/>
    </row>
    <row r="844">
      <c r="A844" s="69"/>
      <c r="B844" s="33" t="s">
        <v>76</v>
      </c>
      <c r="C844" s="137"/>
      <c r="D844" s="11"/>
      <c r="E844" s="11"/>
      <c r="F844" s="167"/>
      <c r="G844" s="159"/>
      <c r="H844" s="102"/>
      <c r="I844" s="71"/>
      <c r="J844" s="209"/>
      <c r="K844" s="216"/>
      <c r="L844" s="63"/>
      <c r="M844" s="63"/>
      <c r="N844" s="63"/>
      <c r="O844" s="63"/>
      <c r="P844" s="63"/>
      <c r="Q844" s="63"/>
      <c r="R844" s="63"/>
      <c r="S844" s="63"/>
      <c r="T844" s="63"/>
      <c r="U844" s="63"/>
      <c r="V844" s="63"/>
      <c r="W844" s="63"/>
      <c r="X844" s="63"/>
      <c r="Y844" s="63"/>
      <c r="Z844" s="63"/>
      <c r="AA844" s="63"/>
      <c r="AB844" s="63"/>
      <c r="AC844" s="63"/>
      <c r="AD844" s="63"/>
      <c r="AE844" s="63"/>
      <c r="AF844" s="63"/>
    </row>
    <row r="845">
      <c r="A845" s="69"/>
      <c r="B845" s="33" t="s">
        <v>76</v>
      </c>
      <c r="C845" s="214" t="s">
        <v>75</v>
      </c>
      <c r="D845" s="258" t="s">
        <v>1419</v>
      </c>
      <c r="E845" s="258" t="s">
        <v>1420</v>
      </c>
      <c r="F845" s="208" t="s">
        <v>3044</v>
      </c>
      <c r="G845" s="192" t="s">
        <v>3863</v>
      </c>
      <c r="H845" s="193" t="s">
        <v>3864</v>
      </c>
      <c r="I845" s="125" t="s">
        <v>1422</v>
      </c>
      <c r="J845" s="209"/>
      <c r="K845" s="209"/>
      <c r="L845" s="63"/>
      <c r="M845" s="63"/>
      <c r="N845" s="63"/>
      <c r="O845" s="63"/>
      <c r="P845" s="63"/>
      <c r="Q845" s="63"/>
      <c r="R845" s="63"/>
      <c r="S845" s="63"/>
      <c r="T845" s="63"/>
      <c r="U845" s="63"/>
      <c r="V845" s="63"/>
      <c r="W845" s="63"/>
      <c r="X845" s="63"/>
      <c r="Y845" s="63"/>
      <c r="Z845" s="63"/>
      <c r="AA845" s="63"/>
      <c r="AB845" s="63"/>
      <c r="AC845" s="63"/>
      <c r="AD845" s="63"/>
      <c r="AE845" s="63"/>
      <c r="AF845" s="63"/>
    </row>
    <row r="846">
      <c r="A846" s="69"/>
      <c r="B846" s="33" t="s">
        <v>76</v>
      </c>
      <c r="C846" s="214" t="s">
        <v>75</v>
      </c>
      <c r="D846" s="258" t="s">
        <v>876</v>
      </c>
      <c r="E846" s="258" t="s">
        <v>877</v>
      </c>
      <c r="F846" s="208" t="s">
        <v>3249</v>
      </c>
      <c r="G846" s="192" t="s">
        <v>3851</v>
      </c>
      <c r="H846" s="193" t="s">
        <v>3852</v>
      </c>
      <c r="I846" s="125" t="s">
        <v>879</v>
      </c>
      <c r="J846" s="209"/>
      <c r="K846" s="209"/>
      <c r="L846" s="102" t="s">
        <v>3058</v>
      </c>
      <c r="M846" s="63"/>
      <c r="N846" s="63"/>
      <c r="O846" s="63"/>
      <c r="P846" s="63"/>
      <c r="Q846" s="63"/>
      <c r="R846" s="63"/>
      <c r="S846" s="63"/>
      <c r="T846" s="63"/>
      <c r="U846" s="63"/>
      <c r="V846" s="63"/>
      <c r="W846" s="63"/>
      <c r="X846" s="63"/>
      <c r="Y846" s="63"/>
      <c r="Z846" s="63"/>
      <c r="AA846" s="63"/>
      <c r="AB846" s="63"/>
      <c r="AC846" s="63"/>
      <c r="AD846" s="63"/>
      <c r="AE846" s="63"/>
      <c r="AF846" s="63"/>
    </row>
    <row r="847">
      <c r="A847" s="69"/>
      <c r="B847" s="33" t="s">
        <v>76</v>
      </c>
      <c r="C847" s="214" t="s">
        <v>75</v>
      </c>
      <c r="D847" s="258" t="s">
        <v>2208</v>
      </c>
      <c r="E847" s="258" t="s">
        <v>2209</v>
      </c>
      <c r="F847" s="208" t="s">
        <v>3049</v>
      </c>
      <c r="G847" s="192" t="s">
        <v>3615</v>
      </c>
      <c r="H847" s="193" t="s">
        <v>3865</v>
      </c>
      <c r="I847" s="125" t="s">
        <v>2211</v>
      </c>
      <c r="J847" s="209"/>
      <c r="K847" s="209"/>
      <c r="L847" s="63"/>
      <c r="M847" s="63"/>
      <c r="N847" s="63"/>
      <c r="O847" s="63"/>
      <c r="P847" s="63"/>
      <c r="Q847" s="63"/>
      <c r="R847" s="63"/>
      <c r="S847" s="63"/>
      <c r="T847" s="63"/>
      <c r="U847" s="63"/>
      <c r="V847" s="63"/>
      <c r="W847" s="63"/>
      <c r="X847" s="63"/>
      <c r="Y847" s="63"/>
      <c r="Z847" s="63"/>
      <c r="AA847" s="63"/>
      <c r="AB847" s="63"/>
      <c r="AC847" s="63"/>
      <c r="AD847" s="63"/>
      <c r="AE847" s="63"/>
      <c r="AF847" s="63"/>
    </row>
    <row r="848">
      <c r="A848" s="69"/>
      <c r="B848" s="33" t="s">
        <v>76</v>
      </c>
      <c r="C848" s="214" t="s">
        <v>75</v>
      </c>
      <c r="D848" s="258" t="s">
        <v>590</v>
      </c>
      <c r="E848" s="258" t="s">
        <v>591</v>
      </c>
      <c r="F848" s="208" t="s">
        <v>3306</v>
      </c>
      <c r="G848" s="192" t="s">
        <v>3063</v>
      </c>
      <c r="H848" s="193" t="s">
        <v>3866</v>
      </c>
      <c r="I848" s="125" t="s">
        <v>593</v>
      </c>
      <c r="J848" s="209"/>
      <c r="K848" s="209"/>
      <c r="L848" s="63"/>
      <c r="M848" s="63"/>
      <c r="N848" s="63"/>
      <c r="O848" s="63"/>
      <c r="P848" s="63"/>
      <c r="Q848" s="63"/>
      <c r="R848" s="63"/>
      <c r="S848" s="63"/>
      <c r="T848" s="63"/>
      <c r="U848" s="63"/>
      <c r="V848" s="63"/>
      <c r="W848" s="63"/>
      <c r="X848" s="63"/>
      <c r="Y848" s="63"/>
      <c r="Z848" s="63"/>
      <c r="AA848" s="63"/>
      <c r="AB848" s="63"/>
      <c r="AC848" s="63"/>
      <c r="AD848" s="63"/>
      <c r="AE848" s="63"/>
      <c r="AF848" s="63"/>
    </row>
    <row r="849">
      <c r="A849" s="79"/>
      <c r="B849" s="33" t="s">
        <v>76</v>
      </c>
      <c r="C849" s="102"/>
      <c r="D849" s="109"/>
      <c r="E849" s="109"/>
      <c r="F849" s="167"/>
      <c r="G849" s="159"/>
      <c r="H849" s="102"/>
      <c r="I849" s="71"/>
      <c r="J849" s="209"/>
      <c r="K849" s="209"/>
      <c r="L849" s="63"/>
      <c r="M849" s="63"/>
      <c r="N849" s="63"/>
      <c r="O849" s="63"/>
      <c r="P849" s="63"/>
      <c r="Q849" s="63"/>
      <c r="R849" s="63"/>
      <c r="S849" s="63"/>
      <c r="T849" s="63"/>
      <c r="U849" s="63"/>
      <c r="V849" s="63"/>
      <c r="W849" s="63"/>
      <c r="X849" s="63"/>
      <c r="Y849" s="63"/>
      <c r="Z849" s="63"/>
      <c r="AA849" s="63"/>
      <c r="AB849" s="63"/>
      <c r="AC849" s="63"/>
      <c r="AD849" s="63"/>
      <c r="AE849" s="63"/>
      <c r="AF849" s="63"/>
    </row>
    <row r="850">
      <c r="A850" s="189"/>
      <c r="B850" s="286">
        <v>44648.0</v>
      </c>
      <c r="C850" s="102"/>
      <c r="D850" s="109"/>
      <c r="E850" s="109"/>
      <c r="F850" s="167"/>
      <c r="G850" s="159"/>
      <c r="H850" s="102"/>
      <c r="I850" s="71"/>
      <c r="J850" s="209"/>
      <c r="K850" s="209"/>
      <c r="L850" s="63"/>
      <c r="M850" s="63"/>
      <c r="N850" s="63"/>
      <c r="O850" s="63"/>
      <c r="P850" s="63"/>
      <c r="Q850" s="63"/>
      <c r="R850" s="63"/>
      <c r="S850" s="63"/>
      <c r="T850" s="63"/>
      <c r="U850" s="63"/>
      <c r="V850" s="63"/>
      <c r="W850" s="63"/>
      <c r="X850" s="63"/>
      <c r="Y850" s="63"/>
      <c r="Z850" s="63"/>
      <c r="AA850" s="63"/>
      <c r="AB850" s="63"/>
      <c r="AC850" s="63"/>
      <c r="AD850" s="63"/>
      <c r="AE850" s="63"/>
      <c r="AF850" s="63"/>
    </row>
    <row r="851">
      <c r="A851" s="287" t="s">
        <v>3478</v>
      </c>
      <c r="B851" s="33" t="s">
        <v>76</v>
      </c>
      <c r="C851" s="102"/>
      <c r="D851" s="109"/>
      <c r="E851" s="109"/>
      <c r="F851" s="167"/>
      <c r="G851" s="159"/>
      <c r="H851" s="102"/>
      <c r="I851" s="71"/>
      <c r="J851" s="209"/>
      <c r="K851" s="209"/>
      <c r="L851" s="63"/>
      <c r="M851" s="63"/>
      <c r="N851" s="63"/>
      <c r="O851" s="63"/>
      <c r="P851" s="63"/>
      <c r="Q851" s="63"/>
      <c r="R851" s="63"/>
      <c r="S851" s="63"/>
      <c r="T851" s="63"/>
      <c r="U851" s="63"/>
      <c r="V851" s="63"/>
      <c r="W851" s="63"/>
      <c r="X851" s="63"/>
      <c r="Y851" s="63"/>
      <c r="Z851" s="63"/>
      <c r="AA851" s="63"/>
      <c r="AB851" s="63"/>
      <c r="AC851" s="63"/>
      <c r="AD851" s="63"/>
      <c r="AE851" s="63"/>
      <c r="AF851" s="63"/>
    </row>
    <row r="852">
      <c r="A852" s="69"/>
      <c r="B852" s="33" t="s">
        <v>76</v>
      </c>
      <c r="C852" s="102"/>
      <c r="D852" s="109"/>
      <c r="E852" s="109"/>
      <c r="F852" s="167"/>
      <c r="G852" s="159"/>
      <c r="H852" s="102"/>
      <c r="I852" s="71"/>
      <c r="J852" s="209"/>
      <c r="K852" s="209"/>
      <c r="L852" s="63"/>
      <c r="M852" s="63"/>
      <c r="N852" s="63"/>
      <c r="O852" s="63"/>
      <c r="P852" s="63"/>
      <c r="Q852" s="63"/>
      <c r="R852" s="63"/>
      <c r="S852" s="63"/>
      <c r="T852" s="63"/>
      <c r="U852" s="63"/>
      <c r="V852" s="63"/>
      <c r="W852" s="63"/>
      <c r="X852" s="63"/>
      <c r="Y852" s="63"/>
      <c r="Z852" s="63"/>
      <c r="AA852" s="63"/>
      <c r="AB852" s="63"/>
      <c r="AC852" s="63"/>
      <c r="AD852" s="63"/>
      <c r="AE852" s="63"/>
      <c r="AF852" s="63"/>
    </row>
    <row r="853">
      <c r="A853" s="69"/>
      <c r="B853" s="33" t="s">
        <v>76</v>
      </c>
      <c r="C853" s="102"/>
      <c r="D853" s="109"/>
      <c r="E853" s="109"/>
      <c r="F853" s="167"/>
      <c r="G853" s="159"/>
      <c r="H853" s="102"/>
      <c r="I853" s="71"/>
      <c r="J853" s="209"/>
      <c r="K853" s="209"/>
      <c r="L853" s="63"/>
      <c r="M853" s="63"/>
      <c r="N853" s="63"/>
      <c r="O853" s="63"/>
      <c r="P853" s="63"/>
      <c r="Q853" s="63"/>
      <c r="R853" s="63"/>
      <c r="S853" s="63"/>
      <c r="T853" s="63"/>
      <c r="U853" s="63"/>
      <c r="V853" s="63"/>
      <c r="W853" s="63"/>
      <c r="X853" s="63"/>
      <c r="Y853" s="63"/>
      <c r="Z853" s="63"/>
      <c r="AA853" s="63"/>
      <c r="AB853" s="63"/>
      <c r="AC853" s="63"/>
      <c r="AD853" s="63"/>
      <c r="AE853" s="63"/>
      <c r="AF853" s="63"/>
    </row>
    <row r="854">
      <c r="A854" s="69"/>
      <c r="B854" s="33" t="s">
        <v>76</v>
      </c>
      <c r="C854" s="102"/>
      <c r="D854" s="109"/>
      <c r="E854" s="109"/>
      <c r="F854" s="167"/>
      <c r="G854" s="159"/>
      <c r="H854" s="102"/>
      <c r="I854" s="71"/>
      <c r="J854" s="209"/>
      <c r="K854" s="209"/>
      <c r="L854" s="63"/>
      <c r="M854" s="63"/>
      <c r="N854" s="63"/>
      <c r="O854" s="63"/>
      <c r="P854" s="63"/>
      <c r="Q854" s="63"/>
      <c r="R854" s="63"/>
      <c r="S854" s="63"/>
      <c r="T854" s="63"/>
      <c r="U854" s="63"/>
      <c r="V854" s="63"/>
      <c r="W854" s="63"/>
      <c r="X854" s="63"/>
      <c r="Y854" s="63"/>
      <c r="Z854" s="63"/>
      <c r="AA854" s="63"/>
      <c r="AB854" s="63"/>
      <c r="AC854" s="63"/>
      <c r="AD854" s="63"/>
      <c r="AE854" s="63"/>
      <c r="AF854" s="63"/>
    </row>
    <row r="855">
      <c r="A855" s="69"/>
      <c r="B855" s="33" t="s">
        <v>76</v>
      </c>
      <c r="C855" s="102"/>
      <c r="D855" s="109"/>
      <c r="E855" s="109"/>
      <c r="F855" s="167"/>
      <c r="G855" s="159"/>
      <c r="H855" s="102"/>
      <c r="I855" s="71"/>
      <c r="J855" s="209"/>
      <c r="K855" s="209"/>
      <c r="L855" s="63"/>
      <c r="M855" s="63"/>
      <c r="N855" s="63"/>
      <c r="O855" s="63"/>
      <c r="P855" s="63"/>
      <c r="Q855" s="63"/>
      <c r="R855" s="63"/>
      <c r="S855" s="63"/>
      <c r="T855" s="63"/>
      <c r="U855" s="63"/>
      <c r="V855" s="63"/>
      <c r="W855" s="63"/>
      <c r="X855" s="63"/>
      <c r="Y855" s="63"/>
      <c r="Z855" s="63"/>
      <c r="AA855" s="63"/>
      <c r="AB855" s="63"/>
      <c r="AC855" s="63"/>
      <c r="AD855" s="63"/>
      <c r="AE855" s="63"/>
      <c r="AF855" s="63"/>
    </row>
    <row r="856">
      <c r="A856" s="69"/>
      <c r="B856" s="33" t="s">
        <v>76</v>
      </c>
      <c r="C856" s="204" t="s">
        <v>110</v>
      </c>
      <c r="D856" s="258" t="s">
        <v>211</v>
      </c>
      <c r="E856" s="258" t="s">
        <v>212</v>
      </c>
      <c r="F856" s="208" t="s">
        <v>3049</v>
      </c>
      <c r="G856" s="192" t="s">
        <v>3722</v>
      </c>
      <c r="H856" s="193" t="s">
        <v>3723</v>
      </c>
      <c r="I856" s="258" t="s">
        <v>215</v>
      </c>
      <c r="J856" s="211"/>
      <c r="K856" s="216" t="s">
        <v>3058</v>
      </c>
      <c r="L856" s="63"/>
      <c r="M856" s="63"/>
      <c r="N856" s="63"/>
      <c r="O856" s="63"/>
      <c r="P856" s="63"/>
      <c r="Q856" s="63"/>
      <c r="R856" s="63"/>
      <c r="S856" s="63"/>
      <c r="T856" s="63"/>
      <c r="U856" s="63"/>
      <c r="V856" s="63"/>
      <c r="W856" s="63"/>
      <c r="X856" s="63"/>
      <c r="Y856" s="63"/>
      <c r="Z856" s="63"/>
      <c r="AA856" s="63"/>
      <c r="AB856" s="63"/>
      <c r="AC856" s="63"/>
      <c r="AD856" s="63"/>
      <c r="AE856" s="63"/>
      <c r="AF856" s="63"/>
    </row>
    <row r="857">
      <c r="A857" s="69"/>
      <c r="B857" s="33" t="s">
        <v>76</v>
      </c>
      <c r="C857" s="214" t="s">
        <v>3786</v>
      </c>
      <c r="D857" s="258" t="s">
        <v>1923</v>
      </c>
      <c r="E857" s="258" t="s">
        <v>1924</v>
      </c>
      <c r="F857" s="208" t="s">
        <v>3044</v>
      </c>
      <c r="G857" s="192" t="s">
        <v>3700</v>
      </c>
      <c r="H857" s="193" t="s">
        <v>3867</v>
      </c>
      <c r="I857" s="125" t="s">
        <v>1926</v>
      </c>
      <c r="J857" s="211"/>
      <c r="K857" s="209"/>
      <c r="L857" s="63"/>
      <c r="M857" s="63"/>
      <c r="N857" s="63"/>
      <c r="O857" s="63"/>
      <c r="P857" s="63"/>
      <c r="Q857" s="63"/>
      <c r="R857" s="63"/>
      <c r="S857" s="63"/>
      <c r="T857" s="63"/>
      <c r="U857" s="63"/>
      <c r="V857" s="63"/>
      <c r="W857" s="63"/>
      <c r="X857" s="63"/>
      <c r="Y857" s="63"/>
      <c r="Z857" s="63"/>
      <c r="AA857" s="63"/>
      <c r="AB857" s="63"/>
      <c r="AC857" s="63"/>
      <c r="AD857" s="63"/>
      <c r="AE857" s="63"/>
      <c r="AF857" s="63"/>
    </row>
    <row r="858">
      <c r="A858" s="69"/>
      <c r="B858" s="33" t="s">
        <v>76</v>
      </c>
      <c r="C858" s="214" t="s">
        <v>3786</v>
      </c>
      <c r="D858" s="258" t="s">
        <v>293</v>
      </c>
      <c r="E858" s="258" t="s">
        <v>294</v>
      </c>
      <c r="F858" s="208" t="s">
        <v>3049</v>
      </c>
      <c r="G858" s="192" t="s">
        <v>3868</v>
      </c>
      <c r="H858" s="193" t="s">
        <v>3869</v>
      </c>
      <c r="I858" s="125" t="s">
        <v>297</v>
      </c>
      <c r="J858" s="211"/>
      <c r="K858" s="209"/>
      <c r="L858" s="63"/>
      <c r="M858" s="63"/>
      <c r="N858" s="63"/>
      <c r="O858" s="63"/>
      <c r="P858" s="63"/>
      <c r="Q858" s="63"/>
      <c r="R858" s="63"/>
      <c r="S858" s="63"/>
      <c r="T858" s="63"/>
      <c r="U858" s="63"/>
      <c r="V858" s="63"/>
      <c r="W858" s="63"/>
      <c r="X858" s="63"/>
      <c r="Y858" s="63"/>
      <c r="Z858" s="63"/>
      <c r="AA858" s="63"/>
      <c r="AB858" s="63"/>
      <c r="AC858" s="63"/>
      <c r="AD858" s="63"/>
      <c r="AE858" s="63"/>
      <c r="AF858" s="63"/>
    </row>
    <row r="859">
      <c r="A859" s="69"/>
      <c r="B859" s="33" t="s">
        <v>76</v>
      </c>
      <c r="C859" s="214" t="s">
        <v>3786</v>
      </c>
      <c r="D859" s="258" t="s">
        <v>1111</v>
      </c>
      <c r="E859" s="258" t="s">
        <v>1112</v>
      </c>
      <c r="F859" s="208" t="s">
        <v>3049</v>
      </c>
      <c r="G859" s="192" t="s">
        <v>3868</v>
      </c>
      <c r="H859" s="193" t="s">
        <v>3869</v>
      </c>
      <c r="I859" s="125" t="s">
        <v>297</v>
      </c>
      <c r="J859" s="211"/>
      <c r="K859" s="209"/>
      <c r="L859" s="63"/>
      <c r="M859" s="63"/>
      <c r="N859" s="63"/>
      <c r="O859" s="63"/>
      <c r="P859" s="63"/>
      <c r="Q859" s="63"/>
      <c r="R859" s="63"/>
      <c r="S859" s="63"/>
      <c r="T859" s="63"/>
      <c r="U859" s="63"/>
      <c r="V859" s="63"/>
      <c r="W859" s="63"/>
      <c r="X859" s="63"/>
      <c r="Y859" s="63"/>
      <c r="Z859" s="63"/>
      <c r="AA859" s="63"/>
      <c r="AB859" s="63"/>
      <c r="AC859" s="63"/>
      <c r="AD859" s="63"/>
      <c r="AE859" s="63"/>
      <c r="AF859" s="63"/>
    </row>
    <row r="860">
      <c r="A860" s="79"/>
      <c r="B860" s="33" t="s">
        <v>76</v>
      </c>
      <c r="C860" s="131" t="s">
        <v>3786</v>
      </c>
      <c r="D860" s="262" t="s">
        <v>466</v>
      </c>
      <c r="E860" s="262" t="s">
        <v>467</v>
      </c>
      <c r="F860" s="160" t="s">
        <v>3870</v>
      </c>
      <c r="G860" s="146" t="s">
        <v>3674</v>
      </c>
      <c r="H860" s="147" t="s">
        <v>3871</v>
      </c>
      <c r="I860" s="81" t="s">
        <v>469</v>
      </c>
      <c r="J860" s="163"/>
      <c r="K860" s="102" t="s">
        <v>3872</v>
      </c>
      <c r="M860" s="63"/>
      <c r="N860" s="63"/>
      <c r="O860" s="63"/>
      <c r="P860" s="63"/>
      <c r="Q860" s="63"/>
      <c r="R860" s="63"/>
      <c r="S860" s="63"/>
      <c r="T860" s="63"/>
      <c r="U860" s="63"/>
      <c r="V860" s="63"/>
      <c r="W860" s="63"/>
      <c r="X860" s="63"/>
      <c r="Y860" s="63"/>
      <c r="Z860" s="63"/>
      <c r="AA860" s="63"/>
      <c r="AB860" s="63"/>
      <c r="AC860" s="63"/>
      <c r="AD860" s="63"/>
      <c r="AE860" s="63"/>
      <c r="AF860" s="63"/>
    </row>
    <row r="861">
      <c r="A861" s="189"/>
      <c r="B861" s="286">
        <v>44649.0</v>
      </c>
      <c r="C861" s="102"/>
      <c r="D861" s="109"/>
      <c r="E861" s="109"/>
      <c r="F861" s="167"/>
      <c r="G861" s="159"/>
      <c r="H861" s="102"/>
      <c r="I861" s="71"/>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c r="A862" s="287" t="s">
        <v>3478</v>
      </c>
      <c r="B862" s="33" t="s">
        <v>76</v>
      </c>
      <c r="C862" s="102"/>
      <c r="D862" s="109"/>
      <c r="E862" s="109"/>
      <c r="F862" s="167"/>
      <c r="G862" s="159"/>
      <c r="H862" s="102"/>
      <c r="I862" s="71"/>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c r="A863" s="69"/>
      <c r="B863" s="33" t="s">
        <v>76</v>
      </c>
      <c r="C863" s="102"/>
      <c r="D863" s="109"/>
      <c r="E863" s="109"/>
      <c r="F863" s="167"/>
      <c r="G863" s="159"/>
      <c r="H863" s="102"/>
      <c r="I863" s="71"/>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c r="A864" s="69"/>
      <c r="B864" s="33" t="s">
        <v>76</v>
      </c>
      <c r="C864" s="259" t="s">
        <v>110</v>
      </c>
      <c r="D864" s="258" t="s">
        <v>987</v>
      </c>
      <c r="E864" s="258" t="s">
        <v>988</v>
      </c>
      <c r="F864" s="191">
        <v>0.5</v>
      </c>
      <c r="G864" s="192" t="s">
        <v>3590</v>
      </c>
      <c r="H864" s="193" t="s">
        <v>3873</v>
      </c>
      <c r="I864" s="258" t="s">
        <v>989</v>
      </c>
      <c r="J864" s="211"/>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c r="A865" s="69"/>
      <c r="B865" s="33" t="s">
        <v>76</v>
      </c>
      <c r="C865" s="259" t="s">
        <v>110</v>
      </c>
      <c r="D865" s="258" t="s">
        <v>2843</v>
      </c>
      <c r="E865" s="258" t="s">
        <v>2844</v>
      </c>
      <c r="F865" s="191">
        <v>0.5833333333333334</v>
      </c>
      <c r="G865" s="192" t="s">
        <v>3874</v>
      </c>
      <c r="H865" s="193" t="s">
        <v>3875</v>
      </c>
      <c r="I865" s="258" t="s">
        <v>2846</v>
      </c>
      <c r="J865" s="211"/>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c r="A866" s="69"/>
      <c r="B866" s="33" t="s">
        <v>76</v>
      </c>
      <c r="C866" s="261" t="s">
        <v>110</v>
      </c>
      <c r="D866" s="262" t="s">
        <v>1362</v>
      </c>
      <c r="E866" s="262" t="s">
        <v>1363</v>
      </c>
      <c r="F866" s="157">
        <v>0.6666666666666666</v>
      </c>
      <c r="G866" s="146" t="s">
        <v>3876</v>
      </c>
      <c r="H866" s="147" t="s">
        <v>3877</v>
      </c>
      <c r="I866" s="262" t="s">
        <v>3878</v>
      </c>
      <c r="J866" s="147" t="s">
        <v>3879</v>
      </c>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c r="A867" s="69"/>
      <c r="B867" s="33" t="s">
        <v>76</v>
      </c>
      <c r="C867" s="259" t="s">
        <v>110</v>
      </c>
      <c r="D867" s="258" t="s">
        <v>2354</v>
      </c>
      <c r="E867" s="258" t="s">
        <v>2355</v>
      </c>
      <c r="F867" s="191">
        <v>0.75</v>
      </c>
      <c r="G867" s="192" t="s">
        <v>3880</v>
      </c>
      <c r="H867" s="193" t="s">
        <v>3881</v>
      </c>
      <c r="I867" s="258" t="s">
        <v>2357</v>
      </c>
      <c r="J867" s="211"/>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c r="A868" s="69"/>
      <c r="B868" s="33" t="s">
        <v>76</v>
      </c>
      <c r="C868" s="102"/>
      <c r="D868" s="109"/>
      <c r="E868" s="109"/>
      <c r="F868" s="167"/>
      <c r="G868" s="159"/>
      <c r="H868" s="102"/>
      <c r="I868" s="71"/>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c r="A869" s="69"/>
      <c r="B869" s="33" t="s">
        <v>76</v>
      </c>
      <c r="C869" s="102"/>
      <c r="D869" s="109"/>
      <c r="E869" s="109"/>
      <c r="F869" s="167"/>
      <c r="G869" s="159"/>
      <c r="H869" s="102"/>
      <c r="I869" s="71"/>
      <c r="J869" s="63"/>
      <c r="K869" s="63"/>
      <c r="L869" s="63"/>
      <c r="N869" s="63"/>
      <c r="O869" s="63"/>
      <c r="P869" s="63"/>
      <c r="Q869" s="63"/>
      <c r="R869" s="63"/>
      <c r="S869" s="63"/>
      <c r="T869" s="63"/>
      <c r="U869" s="63"/>
      <c r="V869" s="63"/>
      <c r="W869" s="63"/>
      <c r="X869" s="63"/>
      <c r="Y869" s="63"/>
      <c r="Z869" s="63"/>
      <c r="AA869" s="63"/>
      <c r="AB869" s="63"/>
      <c r="AC869" s="63"/>
      <c r="AD869" s="63"/>
      <c r="AE869" s="63"/>
      <c r="AF869" s="63"/>
    </row>
    <row r="870">
      <c r="A870" s="69"/>
      <c r="B870" s="33" t="s">
        <v>76</v>
      </c>
      <c r="C870" s="102"/>
      <c r="D870" s="109"/>
      <c r="E870" s="109"/>
      <c r="F870" s="167"/>
      <c r="G870" s="159"/>
      <c r="H870" s="102"/>
      <c r="I870" s="71"/>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c r="A871" s="79"/>
      <c r="B871" s="33" t="s">
        <v>76</v>
      </c>
      <c r="C871" s="102"/>
      <c r="D871" s="109"/>
      <c r="E871" s="109"/>
      <c r="F871" s="167"/>
      <c r="G871" s="159"/>
      <c r="H871" s="102"/>
      <c r="I871" s="71"/>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c r="A872" s="189"/>
      <c r="B872" s="286">
        <v>44652.0</v>
      </c>
      <c r="C872" s="102"/>
      <c r="D872" s="109"/>
      <c r="E872" s="109"/>
      <c r="F872" s="167"/>
      <c r="G872" s="159"/>
      <c r="H872" s="102"/>
      <c r="I872" s="71"/>
      <c r="J872" s="63"/>
      <c r="K872" s="209"/>
      <c r="L872" s="63"/>
      <c r="M872" s="63"/>
      <c r="N872" s="63"/>
      <c r="O872" s="63"/>
      <c r="P872" s="63"/>
      <c r="Q872" s="63"/>
      <c r="R872" s="63"/>
      <c r="S872" s="63"/>
      <c r="T872" s="63"/>
      <c r="U872" s="63"/>
      <c r="V872" s="63"/>
      <c r="W872" s="63"/>
      <c r="X872" s="63"/>
      <c r="Y872" s="63"/>
      <c r="Z872" s="63"/>
      <c r="AA872" s="63"/>
      <c r="AB872" s="63"/>
      <c r="AC872" s="63"/>
      <c r="AD872" s="63"/>
      <c r="AE872" s="63"/>
      <c r="AF872" s="63"/>
    </row>
    <row r="873">
      <c r="A873" s="287" t="s">
        <v>3478</v>
      </c>
      <c r="B873" s="33" t="s">
        <v>76</v>
      </c>
      <c r="C873" s="102"/>
      <c r="D873" s="109"/>
      <c r="E873" s="109"/>
      <c r="F873" s="167"/>
      <c r="G873" s="159"/>
      <c r="H873" s="102"/>
      <c r="I873" s="71"/>
      <c r="J873" s="63"/>
      <c r="K873" s="209"/>
      <c r="L873" s="63"/>
      <c r="M873" s="63"/>
      <c r="N873" s="63"/>
      <c r="O873" s="63"/>
      <c r="P873" s="63"/>
      <c r="Q873" s="63"/>
      <c r="R873" s="63"/>
      <c r="S873" s="63"/>
      <c r="T873" s="63"/>
      <c r="U873" s="63"/>
      <c r="V873" s="63"/>
      <c r="W873" s="63"/>
      <c r="X873" s="63"/>
      <c r="Y873" s="63"/>
      <c r="Z873" s="63"/>
      <c r="AA873" s="63"/>
      <c r="AB873" s="63"/>
      <c r="AC873" s="63"/>
      <c r="AD873" s="63"/>
      <c r="AE873" s="63"/>
      <c r="AF873" s="63"/>
    </row>
    <row r="874">
      <c r="A874" s="69"/>
      <c r="B874" s="33" t="s">
        <v>76</v>
      </c>
      <c r="C874" s="259" t="s">
        <v>110</v>
      </c>
      <c r="D874" s="290" t="s">
        <v>1362</v>
      </c>
      <c r="E874" s="291" t="s">
        <v>1363</v>
      </c>
      <c r="F874" s="292" t="s">
        <v>3034</v>
      </c>
      <c r="G874" s="293" t="s">
        <v>3876</v>
      </c>
      <c r="H874" s="293" t="s">
        <v>3877</v>
      </c>
      <c r="I874" s="294" t="s">
        <v>3878</v>
      </c>
      <c r="J874" s="295"/>
      <c r="K874" s="209"/>
      <c r="L874" s="63"/>
      <c r="M874" s="63"/>
      <c r="N874" s="63"/>
      <c r="O874" s="63"/>
      <c r="P874" s="63"/>
      <c r="Q874" s="63"/>
      <c r="R874" s="63"/>
      <c r="S874" s="63"/>
      <c r="T874" s="63"/>
      <c r="U874" s="63"/>
      <c r="V874" s="63"/>
      <c r="W874" s="63"/>
      <c r="X874" s="63"/>
      <c r="Y874" s="63"/>
      <c r="Z874" s="63"/>
      <c r="AA874" s="63"/>
      <c r="AB874" s="63"/>
      <c r="AC874" s="63"/>
      <c r="AD874" s="63"/>
      <c r="AE874" s="63"/>
      <c r="AF874" s="63"/>
    </row>
    <row r="875">
      <c r="A875" s="69"/>
      <c r="B875" s="33" t="s">
        <v>76</v>
      </c>
      <c r="C875" s="214" t="s">
        <v>3786</v>
      </c>
      <c r="D875" s="258" t="s">
        <v>637</v>
      </c>
      <c r="E875" s="258" t="s">
        <v>638</v>
      </c>
      <c r="F875" s="208" t="s">
        <v>3057</v>
      </c>
      <c r="G875" s="192" t="s">
        <v>3882</v>
      </c>
      <c r="H875" s="193" t="s">
        <v>3883</v>
      </c>
      <c r="I875" s="125" t="s">
        <v>641</v>
      </c>
      <c r="J875" s="211"/>
      <c r="K875" s="209"/>
      <c r="L875" s="63"/>
      <c r="M875" s="63"/>
      <c r="N875" s="63"/>
      <c r="O875" s="63"/>
      <c r="P875" s="63"/>
      <c r="Q875" s="63"/>
      <c r="R875" s="63"/>
      <c r="S875" s="63"/>
      <c r="T875" s="63"/>
      <c r="U875" s="63"/>
      <c r="V875" s="63"/>
      <c r="W875" s="63"/>
      <c r="X875" s="63"/>
      <c r="Y875" s="63"/>
      <c r="Z875" s="63"/>
      <c r="AA875" s="63"/>
      <c r="AB875" s="63"/>
      <c r="AC875" s="63"/>
      <c r="AD875" s="63"/>
      <c r="AE875" s="63"/>
      <c r="AF875" s="63"/>
    </row>
    <row r="876">
      <c r="A876" s="69"/>
      <c r="B876" s="33" t="s">
        <v>76</v>
      </c>
      <c r="C876" s="131" t="s">
        <v>3786</v>
      </c>
      <c r="D876" s="262" t="s">
        <v>466</v>
      </c>
      <c r="E876" s="262" t="s">
        <v>467</v>
      </c>
      <c r="F876" s="160" t="s">
        <v>3049</v>
      </c>
      <c r="G876" s="146" t="s">
        <v>3674</v>
      </c>
      <c r="H876" s="147" t="s">
        <v>3871</v>
      </c>
      <c r="I876" s="81" t="s">
        <v>469</v>
      </c>
      <c r="J876" s="163"/>
      <c r="K876" s="102" t="s">
        <v>3884</v>
      </c>
      <c r="M876" s="63"/>
      <c r="N876" s="63"/>
      <c r="O876" s="63"/>
      <c r="P876" s="63"/>
      <c r="Q876" s="63"/>
      <c r="R876" s="63"/>
      <c r="S876" s="63"/>
      <c r="T876" s="63"/>
      <c r="U876" s="63"/>
      <c r="V876" s="63"/>
      <c r="W876" s="63"/>
      <c r="X876" s="63"/>
      <c r="Y876" s="63"/>
      <c r="Z876" s="63"/>
      <c r="AA876" s="63"/>
      <c r="AB876" s="63"/>
      <c r="AC876" s="63"/>
      <c r="AD876" s="63"/>
      <c r="AE876" s="63"/>
      <c r="AF876" s="63"/>
    </row>
    <row r="877">
      <c r="A877" s="69"/>
      <c r="B877" s="33" t="s">
        <v>76</v>
      </c>
      <c r="C877" s="214" t="s">
        <v>3786</v>
      </c>
      <c r="D877" s="258" t="s">
        <v>2851</v>
      </c>
      <c r="E877" s="258" t="s">
        <v>2852</v>
      </c>
      <c r="F877" s="208" t="s">
        <v>3044</v>
      </c>
      <c r="G877" s="192" t="s">
        <v>3885</v>
      </c>
      <c r="H877" s="193" t="s">
        <v>3886</v>
      </c>
      <c r="I877" s="125" t="s">
        <v>1034</v>
      </c>
      <c r="J877" s="211"/>
      <c r="K877" s="209"/>
      <c r="L877" s="63"/>
      <c r="M877" s="63"/>
      <c r="N877" s="63"/>
      <c r="O877" s="63"/>
      <c r="P877" s="63"/>
      <c r="Q877" s="63"/>
      <c r="R877" s="63"/>
      <c r="S877" s="63"/>
      <c r="T877" s="63"/>
      <c r="U877" s="63"/>
      <c r="V877" s="63"/>
      <c r="W877" s="63"/>
      <c r="X877" s="63"/>
      <c r="Y877" s="63"/>
      <c r="Z877" s="63"/>
      <c r="AA877" s="63"/>
      <c r="AB877" s="63"/>
      <c r="AC877" s="63"/>
      <c r="AD877" s="63"/>
      <c r="AE877" s="63"/>
      <c r="AF877" s="63"/>
    </row>
    <row r="878">
      <c r="A878" s="69"/>
      <c r="B878" s="33" t="s">
        <v>76</v>
      </c>
      <c r="C878" s="214" t="s">
        <v>3786</v>
      </c>
      <c r="D878" s="258" t="s">
        <v>978</v>
      </c>
      <c r="E878" s="258" t="s">
        <v>979</v>
      </c>
      <c r="F878" s="208" t="s">
        <v>3306</v>
      </c>
      <c r="G878" s="192" t="s">
        <v>3857</v>
      </c>
      <c r="H878" s="266" t="s">
        <v>3887</v>
      </c>
      <c r="I878" s="125" t="s">
        <v>981</v>
      </c>
      <c r="J878" s="211"/>
      <c r="K878" s="209"/>
      <c r="L878" s="63"/>
      <c r="M878" s="63"/>
      <c r="N878" s="63"/>
      <c r="O878" s="63"/>
      <c r="P878" s="63"/>
      <c r="Q878" s="63"/>
      <c r="R878" s="63"/>
      <c r="S878" s="63"/>
      <c r="T878" s="63"/>
      <c r="U878" s="63"/>
      <c r="V878" s="63"/>
      <c r="W878" s="63"/>
      <c r="X878" s="63"/>
      <c r="Y878" s="63"/>
      <c r="Z878" s="63"/>
      <c r="AA878" s="63"/>
      <c r="AB878" s="63"/>
      <c r="AC878" s="63"/>
      <c r="AD878" s="63"/>
      <c r="AE878" s="63"/>
      <c r="AF878" s="63"/>
    </row>
    <row r="879">
      <c r="A879" s="69"/>
      <c r="B879" s="33" t="s">
        <v>76</v>
      </c>
      <c r="C879" s="102"/>
      <c r="D879" s="109"/>
      <c r="E879" s="109"/>
      <c r="F879" s="167"/>
      <c r="G879" s="159"/>
      <c r="H879" s="102"/>
      <c r="I879" s="71"/>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c r="A880" s="69"/>
      <c r="B880" s="33" t="s">
        <v>76</v>
      </c>
      <c r="C880" s="102"/>
      <c r="D880" s="109"/>
      <c r="E880" s="137" t="s">
        <v>3709</v>
      </c>
      <c r="F880" s="167"/>
      <c r="G880" s="159"/>
      <c r="H880" s="102"/>
      <c r="I880" s="71"/>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c r="A881" s="69"/>
      <c r="B881" s="33" t="s">
        <v>76</v>
      </c>
      <c r="C881" s="102"/>
      <c r="D881" s="109"/>
      <c r="E881" s="109"/>
      <c r="F881" s="167"/>
      <c r="G881" s="159"/>
      <c r="H881" s="102"/>
      <c r="I881" s="71"/>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c r="A882" s="79"/>
      <c r="B882" s="33" t="s">
        <v>76</v>
      </c>
      <c r="C882" s="102"/>
      <c r="D882" s="202" t="s">
        <v>3888</v>
      </c>
      <c r="E882" s="61"/>
      <c r="F882" s="61"/>
      <c r="G882" s="62"/>
      <c r="H882" s="102"/>
      <c r="I882" s="71"/>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c r="A883" s="189"/>
      <c r="B883" s="286">
        <v>44663.0</v>
      </c>
      <c r="C883" s="102"/>
      <c r="D883" s="109"/>
      <c r="E883" s="109"/>
      <c r="F883" s="167"/>
      <c r="G883" s="159"/>
      <c r="H883" s="102"/>
      <c r="I883" s="71"/>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c r="A884" s="287" t="s">
        <v>3478</v>
      </c>
      <c r="B884" s="33" t="s">
        <v>76</v>
      </c>
      <c r="C884" s="102"/>
      <c r="D884" s="109"/>
      <c r="E884" s="109"/>
      <c r="F884" s="167"/>
      <c r="G884" s="159"/>
      <c r="H884" s="102"/>
      <c r="I884" s="71"/>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c r="A885" s="69"/>
      <c r="B885" s="33" t="s">
        <v>76</v>
      </c>
      <c r="C885" s="102"/>
      <c r="D885" s="109"/>
      <c r="E885" s="109"/>
      <c r="F885" s="158"/>
      <c r="G885" s="159"/>
      <c r="H885" s="102"/>
      <c r="I885" s="71"/>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c r="A886" s="69"/>
      <c r="B886" s="33" t="s">
        <v>76</v>
      </c>
      <c r="C886" s="259" t="s">
        <v>110</v>
      </c>
      <c r="D886" s="258" t="s">
        <v>1041</v>
      </c>
      <c r="E886" s="258" t="s">
        <v>1042</v>
      </c>
      <c r="F886" s="191">
        <v>0.5416666666666666</v>
      </c>
      <c r="G886" s="192" t="s">
        <v>3516</v>
      </c>
      <c r="H886" s="193" t="s">
        <v>3889</v>
      </c>
      <c r="I886" s="258" t="s">
        <v>1044</v>
      </c>
      <c r="J886" s="219"/>
      <c r="K886" s="219"/>
      <c r="L886" s="63"/>
      <c r="M886" s="63"/>
      <c r="N886" s="63"/>
      <c r="O886" s="63"/>
      <c r="P886" s="63"/>
      <c r="Q886" s="63"/>
      <c r="R886" s="63"/>
      <c r="S886" s="63"/>
      <c r="T886" s="63"/>
      <c r="U886" s="63"/>
      <c r="V886" s="63"/>
      <c r="W886" s="63"/>
      <c r="X886" s="63"/>
      <c r="Y886" s="63"/>
      <c r="Z886" s="63"/>
      <c r="AA886" s="63"/>
      <c r="AB886" s="63"/>
      <c r="AC886" s="63"/>
      <c r="AD886" s="63"/>
      <c r="AE886" s="63"/>
      <c r="AF886" s="63"/>
    </row>
    <row r="887">
      <c r="A887" s="69"/>
      <c r="B887" s="33" t="s">
        <v>76</v>
      </c>
      <c r="C887" s="259" t="s">
        <v>110</v>
      </c>
      <c r="D887" s="258" t="s">
        <v>2174</v>
      </c>
      <c r="E887" s="258" t="s">
        <v>2175</v>
      </c>
      <c r="F887" s="191">
        <v>0.5833333333333334</v>
      </c>
      <c r="G887" s="192" t="s">
        <v>3829</v>
      </c>
      <c r="H887" s="193" t="s">
        <v>3890</v>
      </c>
      <c r="I887" s="258" t="s">
        <v>2177</v>
      </c>
      <c r="J887" s="219"/>
      <c r="K887" s="219"/>
      <c r="L887" s="162"/>
      <c r="M887" s="63"/>
      <c r="N887" s="63"/>
      <c r="O887" s="63"/>
      <c r="P887" s="63"/>
      <c r="Q887" s="63"/>
      <c r="R887" s="63"/>
      <c r="S887" s="63"/>
      <c r="T887" s="63"/>
      <c r="U887" s="63"/>
      <c r="V887" s="63"/>
      <c r="W887" s="63"/>
      <c r="X887" s="63"/>
      <c r="Y887" s="63"/>
      <c r="Z887" s="63"/>
      <c r="AA887" s="63"/>
      <c r="AB887" s="63"/>
      <c r="AC887" s="63"/>
      <c r="AD887" s="63"/>
      <c r="AE887" s="63"/>
      <c r="AF887" s="63"/>
    </row>
    <row r="888">
      <c r="A888" s="69"/>
      <c r="B888" s="33" t="s">
        <v>76</v>
      </c>
      <c r="C888" s="261" t="s">
        <v>110</v>
      </c>
      <c r="D888" s="262" t="s">
        <v>2465</v>
      </c>
      <c r="E888" s="262" t="s">
        <v>2466</v>
      </c>
      <c r="F888" s="157">
        <v>0.6666666666666666</v>
      </c>
      <c r="G888" s="146" t="s">
        <v>3891</v>
      </c>
      <c r="H888" s="147" t="s">
        <v>3892</v>
      </c>
      <c r="I888" s="262" t="s">
        <v>2468</v>
      </c>
      <c r="J888" s="216" t="s">
        <v>3893</v>
      </c>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c r="A889" s="69"/>
      <c r="B889" s="33" t="s">
        <v>76</v>
      </c>
      <c r="C889" s="261" t="s">
        <v>110</v>
      </c>
      <c r="D889" s="262" t="s">
        <v>2550</v>
      </c>
      <c r="E889" s="262" t="s">
        <v>2551</v>
      </c>
      <c r="F889" s="157">
        <v>0.7708333333333334</v>
      </c>
      <c r="G889" s="146" t="s">
        <v>3894</v>
      </c>
      <c r="H889" s="147" t="s">
        <v>3895</v>
      </c>
      <c r="I889" s="262" t="s">
        <v>2553</v>
      </c>
      <c r="J889" s="102" t="s">
        <v>774</v>
      </c>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c r="A890" s="69"/>
      <c r="B890" s="33" t="s">
        <v>76</v>
      </c>
      <c r="C890" s="102"/>
      <c r="D890" s="109"/>
      <c r="E890" s="109"/>
      <c r="F890" s="167"/>
      <c r="G890" s="159"/>
      <c r="H890" s="102"/>
      <c r="I890" s="71"/>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c r="A891" s="69"/>
      <c r="B891" s="33" t="s">
        <v>76</v>
      </c>
      <c r="C891" s="102"/>
      <c r="D891" s="109"/>
      <c r="E891" s="109"/>
      <c r="F891" s="167"/>
      <c r="G891" s="159"/>
      <c r="H891" s="102"/>
      <c r="I891" s="71"/>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c r="A892" s="79"/>
      <c r="B892" s="33" t="s">
        <v>76</v>
      </c>
      <c r="C892" s="102"/>
      <c r="D892" s="109"/>
      <c r="E892" s="109"/>
      <c r="F892" s="167"/>
      <c r="G892" s="159"/>
      <c r="H892" s="102"/>
      <c r="I892" s="71"/>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c r="A893" s="189"/>
      <c r="B893" s="286">
        <v>44664.0</v>
      </c>
      <c r="C893" s="102"/>
      <c r="D893" s="109"/>
      <c r="E893" s="109"/>
      <c r="F893" s="167"/>
      <c r="G893" s="159"/>
      <c r="H893" s="102"/>
      <c r="I893" s="71"/>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c r="A894" s="287" t="s">
        <v>3478</v>
      </c>
      <c r="B894" s="33" t="s">
        <v>76</v>
      </c>
      <c r="C894" s="102"/>
      <c r="D894" s="109"/>
      <c r="E894" s="109"/>
      <c r="F894" s="158"/>
      <c r="G894" s="159"/>
      <c r="H894" s="102"/>
      <c r="I894" s="71"/>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c r="A895" s="69"/>
      <c r="B895" s="33" t="s">
        <v>76</v>
      </c>
      <c r="C895" s="259" t="s">
        <v>110</v>
      </c>
      <c r="D895" s="258" t="s">
        <v>2618</v>
      </c>
      <c r="E895" s="258" t="s">
        <v>2619</v>
      </c>
      <c r="F895" s="191">
        <v>0.5</v>
      </c>
      <c r="G895" s="192" t="s">
        <v>3896</v>
      </c>
      <c r="H895" s="193" t="s">
        <v>3897</v>
      </c>
      <c r="I895" s="258" t="s">
        <v>2621</v>
      </c>
      <c r="J895" s="211"/>
      <c r="K895" s="102" t="s">
        <v>627</v>
      </c>
      <c r="L895" s="63"/>
      <c r="M895" s="63"/>
      <c r="N895" s="63"/>
      <c r="O895" s="63"/>
      <c r="P895" s="63"/>
      <c r="Q895" s="63"/>
      <c r="R895" s="63"/>
      <c r="S895" s="63"/>
      <c r="T895" s="63"/>
      <c r="U895" s="63"/>
      <c r="V895" s="63"/>
      <c r="W895" s="63"/>
      <c r="X895" s="63"/>
      <c r="Y895" s="63"/>
      <c r="Z895" s="63"/>
      <c r="AA895" s="63"/>
      <c r="AB895" s="63"/>
      <c r="AC895" s="63"/>
      <c r="AD895" s="63"/>
      <c r="AE895" s="63"/>
      <c r="AF895" s="63"/>
    </row>
    <row r="896">
      <c r="A896" s="69"/>
      <c r="B896" s="33" t="s">
        <v>76</v>
      </c>
      <c r="C896" s="259" t="s">
        <v>110</v>
      </c>
      <c r="D896" s="258" t="s">
        <v>1971</v>
      </c>
      <c r="E896" s="258" t="s">
        <v>1972</v>
      </c>
      <c r="F896" s="191">
        <v>0.5833333333333334</v>
      </c>
      <c r="G896" s="192" t="s">
        <v>3898</v>
      </c>
      <c r="H896" s="193" t="s">
        <v>3899</v>
      </c>
      <c r="I896" s="258" t="s">
        <v>1974</v>
      </c>
      <c r="J896" s="211"/>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c r="A897" s="69"/>
      <c r="B897" s="33" t="s">
        <v>76</v>
      </c>
      <c r="C897" s="259" t="s">
        <v>110</v>
      </c>
      <c r="D897" s="258" t="s">
        <v>2829</v>
      </c>
      <c r="E897" s="258" t="s">
        <v>2830</v>
      </c>
      <c r="F897" s="191">
        <v>0.6666666666666666</v>
      </c>
      <c r="G897" s="192" t="s">
        <v>3900</v>
      </c>
      <c r="H897" s="193" t="s">
        <v>3901</v>
      </c>
      <c r="I897" s="258" t="s">
        <v>2831</v>
      </c>
      <c r="J897" s="211"/>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c r="A898" s="69"/>
      <c r="B898" s="33" t="s">
        <v>76</v>
      </c>
      <c r="C898" s="261" t="s">
        <v>110</v>
      </c>
      <c r="D898" s="262" t="s">
        <v>2465</v>
      </c>
      <c r="E898" s="262" t="s">
        <v>2466</v>
      </c>
      <c r="F898" s="157">
        <v>0.7708333333333334</v>
      </c>
      <c r="G898" s="146" t="s">
        <v>3891</v>
      </c>
      <c r="H898" s="147" t="s">
        <v>3892</v>
      </c>
      <c r="I898" s="262" t="s">
        <v>2468</v>
      </c>
      <c r="J898" s="102" t="s">
        <v>3902</v>
      </c>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c r="A899" s="69"/>
      <c r="B899" s="33" t="s">
        <v>76</v>
      </c>
      <c r="C899" s="204" t="s">
        <v>110</v>
      </c>
      <c r="D899" s="125" t="s">
        <v>599</v>
      </c>
      <c r="E899" s="125" t="s">
        <v>600</v>
      </c>
      <c r="F899" s="208" t="s">
        <v>3249</v>
      </c>
      <c r="G899" s="192" t="s">
        <v>3826</v>
      </c>
      <c r="H899" s="193" t="s">
        <v>3827</v>
      </c>
      <c r="I899" s="125" t="s">
        <v>602</v>
      </c>
      <c r="J899" s="63"/>
      <c r="K899" s="102" t="s">
        <v>3058</v>
      </c>
      <c r="L899" s="63"/>
      <c r="M899" s="63"/>
      <c r="N899" s="63"/>
      <c r="O899" s="63"/>
      <c r="P899" s="63"/>
      <c r="Q899" s="63"/>
      <c r="R899" s="63"/>
      <c r="S899" s="63"/>
      <c r="T899" s="63"/>
      <c r="U899" s="63"/>
      <c r="V899" s="63"/>
      <c r="W899" s="63"/>
      <c r="X899" s="63"/>
      <c r="Y899" s="63"/>
      <c r="Z899" s="63"/>
      <c r="AA899" s="63"/>
      <c r="AB899" s="63"/>
      <c r="AC899" s="63"/>
      <c r="AD899" s="63"/>
      <c r="AE899" s="63"/>
      <c r="AF899" s="63"/>
    </row>
    <row r="900">
      <c r="A900" s="69"/>
      <c r="B900" s="33" t="s">
        <v>76</v>
      </c>
      <c r="C900" s="102"/>
      <c r="D900" s="109"/>
      <c r="E900" s="109"/>
      <c r="F900" s="167"/>
      <c r="G900" s="159"/>
      <c r="H900" s="102"/>
      <c r="I900" s="71"/>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c r="A901" s="69"/>
      <c r="B901" s="33" t="s">
        <v>76</v>
      </c>
      <c r="C901" s="102"/>
      <c r="D901" s="109"/>
      <c r="E901" s="109"/>
      <c r="F901" s="167"/>
      <c r="G901" s="159"/>
      <c r="H901" s="102"/>
      <c r="I901" s="71"/>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c r="A902" s="79"/>
      <c r="B902" s="33" t="s">
        <v>76</v>
      </c>
      <c r="C902" s="102"/>
      <c r="D902" s="109"/>
      <c r="E902" s="109"/>
      <c r="F902" s="167"/>
      <c r="G902" s="159"/>
      <c r="H902" s="102"/>
      <c r="I902" s="71"/>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c r="A903" s="189"/>
      <c r="B903" s="286">
        <v>44669.0</v>
      </c>
      <c r="C903" s="102"/>
      <c r="D903" s="109"/>
      <c r="E903" s="109"/>
      <c r="F903" s="167"/>
      <c r="G903" s="159"/>
      <c r="H903" s="102"/>
      <c r="I903" s="71"/>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c r="A904" s="287" t="s">
        <v>3478</v>
      </c>
      <c r="B904" s="33" t="s">
        <v>76</v>
      </c>
      <c r="C904" s="102"/>
      <c r="D904" s="109"/>
      <c r="E904" s="109"/>
      <c r="F904" s="167"/>
      <c r="G904" s="159"/>
      <c r="H904" s="102"/>
      <c r="I904" s="71"/>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c r="A905" s="69"/>
      <c r="B905" s="33" t="s">
        <v>76</v>
      </c>
      <c r="C905" s="102"/>
      <c r="D905" s="109"/>
      <c r="E905" s="109"/>
      <c r="F905" s="167"/>
      <c r="G905" s="159"/>
      <c r="H905" s="102"/>
      <c r="I905" s="71"/>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c r="A906" s="69"/>
      <c r="B906" s="33" t="s">
        <v>76</v>
      </c>
      <c r="C906" s="259" t="s">
        <v>110</v>
      </c>
      <c r="D906" s="258" t="s">
        <v>2524</v>
      </c>
      <c r="E906" s="258" t="s">
        <v>2525</v>
      </c>
      <c r="F906" s="191">
        <v>0.5416666666666666</v>
      </c>
      <c r="G906" s="192" t="s">
        <v>3903</v>
      </c>
      <c r="H906" s="193" t="s">
        <v>3904</v>
      </c>
      <c r="I906" s="258" t="s">
        <v>2527</v>
      </c>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c r="A907" s="69"/>
      <c r="B907" s="33" t="s">
        <v>76</v>
      </c>
      <c r="C907" s="261" t="s">
        <v>110</v>
      </c>
      <c r="D907" s="262" t="s">
        <v>2680</v>
      </c>
      <c r="E907" s="262" t="s">
        <v>2681</v>
      </c>
      <c r="F907" s="157">
        <v>0.6041666666666666</v>
      </c>
      <c r="G907" s="146" t="s">
        <v>3905</v>
      </c>
      <c r="H907" s="147" t="s">
        <v>3906</v>
      </c>
      <c r="I907" s="262" t="s">
        <v>2683</v>
      </c>
      <c r="J907" s="216" t="s">
        <v>3907</v>
      </c>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c r="A908" s="69"/>
      <c r="B908" s="33" t="s">
        <v>76</v>
      </c>
      <c r="C908" s="259" t="s">
        <v>110</v>
      </c>
      <c r="D908" s="258" t="s">
        <v>2156</v>
      </c>
      <c r="E908" s="258" t="s">
        <v>2157</v>
      </c>
      <c r="F908" s="191">
        <v>0.6458333333333334</v>
      </c>
      <c r="G908" s="192" t="s">
        <v>3905</v>
      </c>
      <c r="H908" s="193" t="s">
        <v>3908</v>
      </c>
      <c r="I908" s="258" t="s">
        <v>2159</v>
      </c>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c r="A909" s="69"/>
      <c r="B909" s="33" t="s">
        <v>76</v>
      </c>
      <c r="C909" s="261" t="s">
        <v>110</v>
      </c>
      <c r="D909" s="262" t="s">
        <v>2178</v>
      </c>
      <c r="E909" s="262" t="s">
        <v>2179</v>
      </c>
      <c r="F909" s="157">
        <v>0.7083333333333334</v>
      </c>
      <c r="G909" s="146" t="s">
        <v>3909</v>
      </c>
      <c r="H909" s="147" t="s">
        <v>3910</v>
      </c>
      <c r="I909" s="262" t="s">
        <v>2181</v>
      </c>
      <c r="J909" s="102" t="s">
        <v>461</v>
      </c>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c r="A910" s="69"/>
      <c r="B910" s="33" t="s">
        <v>76</v>
      </c>
      <c r="C910" s="214" t="s">
        <v>3786</v>
      </c>
      <c r="D910" s="258" t="s">
        <v>518</v>
      </c>
      <c r="E910" s="258" t="s">
        <v>519</v>
      </c>
      <c r="F910" s="208" t="s">
        <v>3249</v>
      </c>
      <c r="G910" s="192" t="s">
        <v>3909</v>
      </c>
      <c r="H910" s="193" t="s">
        <v>3911</v>
      </c>
      <c r="I910" s="125" t="s">
        <v>521</v>
      </c>
      <c r="J910" s="211"/>
      <c r="K910" s="102" t="s">
        <v>3058</v>
      </c>
      <c r="L910" s="63"/>
      <c r="M910" s="63"/>
      <c r="N910" s="63"/>
      <c r="O910" s="63"/>
      <c r="P910" s="63"/>
      <c r="Q910" s="63"/>
      <c r="R910" s="63"/>
      <c r="S910" s="63"/>
      <c r="T910" s="63"/>
      <c r="U910" s="63"/>
      <c r="V910" s="63"/>
      <c r="W910" s="63"/>
      <c r="X910" s="63"/>
      <c r="Y910" s="63"/>
      <c r="Z910" s="63"/>
      <c r="AA910" s="63"/>
      <c r="AB910" s="63"/>
      <c r="AC910" s="63"/>
      <c r="AD910" s="63"/>
      <c r="AE910" s="63"/>
      <c r="AF910" s="63"/>
    </row>
    <row r="911">
      <c r="A911" s="69"/>
      <c r="B911" s="33" t="s">
        <v>76</v>
      </c>
      <c r="C911" s="102"/>
      <c r="D911" s="109"/>
      <c r="E911" s="109"/>
      <c r="F911" s="167"/>
      <c r="G911" s="159"/>
      <c r="H911" s="102"/>
      <c r="I911" s="71"/>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c r="A912" s="69"/>
      <c r="B912" s="33" t="s">
        <v>76</v>
      </c>
      <c r="C912" s="102"/>
      <c r="D912" s="109"/>
      <c r="E912" s="109"/>
      <c r="F912" s="167"/>
      <c r="G912" s="159"/>
      <c r="H912" s="102"/>
      <c r="I912" s="71"/>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c r="A913" s="79"/>
      <c r="B913" s="33" t="s">
        <v>76</v>
      </c>
      <c r="C913" s="102"/>
      <c r="D913" s="109"/>
      <c r="E913" s="109"/>
      <c r="F913" s="167"/>
      <c r="G913" s="159"/>
      <c r="H913" s="102"/>
      <c r="I913" s="71"/>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c r="A914" s="189"/>
      <c r="B914" s="286">
        <v>44671.0</v>
      </c>
      <c r="C914" s="102"/>
      <c r="D914" s="109"/>
      <c r="E914" s="109"/>
      <c r="F914" s="167"/>
      <c r="G914" s="159"/>
      <c r="H914" s="102"/>
      <c r="I914" s="71"/>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c r="A915" s="287" t="s">
        <v>3478</v>
      </c>
      <c r="B915" s="33" t="s">
        <v>76</v>
      </c>
      <c r="C915" s="102"/>
      <c r="D915" s="109"/>
      <c r="E915" s="109"/>
      <c r="F915" s="167"/>
      <c r="G915" s="159"/>
      <c r="H915" s="102"/>
      <c r="I915" s="71"/>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c r="A916" s="69"/>
      <c r="B916" s="33" t="s">
        <v>76</v>
      </c>
      <c r="C916" s="102"/>
      <c r="D916" s="109"/>
      <c r="E916" s="109"/>
      <c r="F916" s="167"/>
      <c r="G916" s="159"/>
      <c r="H916" s="102"/>
      <c r="I916" s="71"/>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c r="A917" s="69"/>
      <c r="B917" s="33" t="s">
        <v>76</v>
      </c>
      <c r="C917" s="102"/>
      <c r="D917" s="109"/>
      <c r="E917" s="109"/>
      <c r="F917" s="167"/>
      <c r="G917" s="159"/>
      <c r="H917" s="102"/>
      <c r="I917" s="71"/>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c r="A918" s="69"/>
      <c r="B918" s="33" t="s">
        <v>76</v>
      </c>
      <c r="C918" s="261" t="s">
        <v>110</v>
      </c>
      <c r="D918" s="296" t="s">
        <v>2777</v>
      </c>
      <c r="E918" s="296" t="s">
        <v>2778</v>
      </c>
      <c r="F918" s="157">
        <v>0.5</v>
      </c>
      <c r="G918" s="146" t="s">
        <v>3903</v>
      </c>
      <c r="H918" s="147" t="s">
        <v>3912</v>
      </c>
      <c r="I918" s="296" t="s">
        <v>2780</v>
      </c>
      <c r="J918" s="216" t="s">
        <v>3913</v>
      </c>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c r="A919" s="69"/>
      <c r="B919" s="33" t="s">
        <v>76</v>
      </c>
      <c r="C919" s="259" t="s">
        <v>80</v>
      </c>
      <c r="D919" s="258" t="s">
        <v>1287</v>
      </c>
      <c r="E919" s="258" t="s">
        <v>1288</v>
      </c>
      <c r="F919" s="208" t="s">
        <v>3044</v>
      </c>
      <c r="G919" s="266" t="s">
        <v>3914</v>
      </c>
      <c r="H919" s="193" t="s">
        <v>3915</v>
      </c>
      <c r="I919" s="267" t="s">
        <v>1290</v>
      </c>
      <c r="J919" s="211"/>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c r="A920" s="69"/>
      <c r="B920" s="33" t="s">
        <v>76</v>
      </c>
      <c r="C920" s="259" t="s">
        <v>110</v>
      </c>
      <c r="D920" s="258" t="s">
        <v>2572</v>
      </c>
      <c r="E920" s="258" t="s">
        <v>2573</v>
      </c>
      <c r="F920" s="191">
        <v>0.6666666666666666</v>
      </c>
      <c r="G920" s="192" t="s">
        <v>3909</v>
      </c>
      <c r="H920" s="193" t="s">
        <v>3916</v>
      </c>
      <c r="I920" s="258" t="s">
        <v>2575</v>
      </c>
      <c r="J920" s="193" t="s">
        <v>3058</v>
      </c>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c r="A921" s="69"/>
      <c r="B921" s="33" t="s">
        <v>76</v>
      </c>
      <c r="C921" s="259" t="s">
        <v>110</v>
      </c>
      <c r="D921" s="258" t="s">
        <v>1452</v>
      </c>
      <c r="E921" s="258" t="s">
        <v>1453</v>
      </c>
      <c r="F921" s="191">
        <v>0.7291666666666666</v>
      </c>
      <c r="G921" s="192" t="s">
        <v>3903</v>
      </c>
      <c r="H921" s="193" t="s">
        <v>3917</v>
      </c>
      <c r="I921" s="258" t="s">
        <v>1455</v>
      </c>
      <c r="J921" s="211"/>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c r="A922" s="69"/>
      <c r="B922" s="33" t="s">
        <v>76</v>
      </c>
      <c r="C922" s="102"/>
      <c r="D922" s="109"/>
      <c r="E922" s="109"/>
      <c r="F922" s="167"/>
      <c r="G922" s="159"/>
      <c r="H922" s="102"/>
      <c r="I922" s="71"/>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c r="A923" s="69"/>
      <c r="B923" s="33" t="s">
        <v>76</v>
      </c>
      <c r="C923" s="102"/>
      <c r="D923" s="109"/>
      <c r="E923" s="109"/>
      <c r="F923" s="167"/>
      <c r="G923" s="159"/>
      <c r="H923" s="102"/>
      <c r="I923" s="71"/>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c r="A924" s="79"/>
      <c r="B924" s="33" t="s">
        <v>76</v>
      </c>
      <c r="C924" s="102"/>
      <c r="D924" s="109"/>
      <c r="E924" s="109"/>
      <c r="F924" s="167"/>
      <c r="G924" s="159"/>
      <c r="H924" s="102"/>
      <c r="I924" s="71"/>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c r="A925" s="189"/>
      <c r="B925" s="286">
        <v>44676.0</v>
      </c>
      <c r="C925" s="102"/>
      <c r="D925" s="109"/>
      <c r="E925" s="109"/>
      <c r="F925" s="167"/>
      <c r="G925" s="159"/>
      <c r="H925" s="102"/>
      <c r="I925" s="71"/>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c r="A926" s="287" t="s">
        <v>3478</v>
      </c>
      <c r="B926" s="33" t="s">
        <v>76</v>
      </c>
      <c r="C926" s="102"/>
      <c r="D926" s="109"/>
      <c r="E926" s="109"/>
      <c r="F926" s="167"/>
      <c r="G926" s="159"/>
      <c r="H926" s="102"/>
      <c r="I926" s="71"/>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c r="A927" s="69"/>
      <c r="B927" s="33" t="s">
        <v>76</v>
      </c>
      <c r="C927" s="102"/>
      <c r="D927" s="109"/>
      <c r="E927" s="109"/>
      <c r="F927" s="167"/>
      <c r="G927" s="159"/>
      <c r="H927" s="102"/>
      <c r="I927" s="71"/>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c r="A928" s="69"/>
      <c r="B928" s="33" t="s">
        <v>76</v>
      </c>
      <c r="C928" s="102"/>
      <c r="D928" s="109"/>
      <c r="E928" s="109"/>
      <c r="F928" s="167"/>
      <c r="G928" s="159"/>
      <c r="H928" s="102"/>
      <c r="I928" s="71"/>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c r="A929" s="69"/>
      <c r="B929" s="33" t="s">
        <v>76</v>
      </c>
      <c r="C929" s="259" t="s">
        <v>110</v>
      </c>
      <c r="D929" s="297" t="s">
        <v>1186</v>
      </c>
      <c r="E929" s="297" t="s">
        <v>1187</v>
      </c>
      <c r="F929" s="208" t="s">
        <v>3057</v>
      </c>
      <c r="G929" s="192" t="s">
        <v>3583</v>
      </c>
      <c r="H929" s="193" t="s">
        <v>3918</v>
      </c>
      <c r="I929" s="297" t="s">
        <v>1189</v>
      </c>
      <c r="J929" s="211"/>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c r="A930" s="69"/>
      <c r="B930" s="33" t="s">
        <v>76</v>
      </c>
      <c r="C930" s="131" t="s">
        <v>3786</v>
      </c>
      <c r="D930" s="296" t="s">
        <v>2529</v>
      </c>
      <c r="E930" s="296" t="s">
        <v>2530</v>
      </c>
      <c r="F930" s="160" t="s">
        <v>2962</v>
      </c>
      <c r="G930" s="146" t="s">
        <v>3583</v>
      </c>
      <c r="H930" s="147" t="s">
        <v>3919</v>
      </c>
      <c r="I930" s="81" t="s">
        <v>2532</v>
      </c>
      <c r="J930" s="163"/>
      <c r="K930" s="102" t="s">
        <v>3920</v>
      </c>
      <c r="L930" s="63"/>
      <c r="M930" s="63"/>
      <c r="N930" s="63"/>
      <c r="O930" s="63"/>
      <c r="P930" s="63"/>
      <c r="Q930" s="63"/>
      <c r="R930" s="63"/>
      <c r="S930" s="63"/>
      <c r="T930" s="63"/>
      <c r="U930" s="63"/>
      <c r="V930" s="63"/>
      <c r="W930" s="63"/>
      <c r="X930" s="63"/>
      <c r="Y930" s="63"/>
      <c r="Z930" s="63"/>
      <c r="AA930" s="63"/>
      <c r="AB930" s="63"/>
      <c r="AC930" s="63"/>
      <c r="AD930" s="63"/>
      <c r="AE930" s="63"/>
      <c r="AF930" s="63"/>
    </row>
    <row r="931">
      <c r="A931" s="69"/>
      <c r="B931" s="33" t="s">
        <v>76</v>
      </c>
      <c r="C931" s="261" t="s">
        <v>110</v>
      </c>
      <c r="D931" s="296" t="s">
        <v>1483</v>
      </c>
      <c r="E931" s="296" t="s">
        <v>1484</v>
      </c>
      <c r="F931" s="157">
        <v>0.625</v>
      </c>
      <c r="G931" s="146" t="s">
        <v>3921</v>
      </c>
      <c r="H931" s="147" t="s">
        <v>3922</v>
      </c>
      <c r="I931" s="296" t="s">
        <v>1486</v>
      </c>
      <c r="J931" s="163"/>
      <c r="K931" s="102" t="s">
        <v>3920</v>
      </c>
      <c r="L931" s="63"/>
      <c r="M931" s="63"/>
      <c r="N931" s="63"/>
      <c r="O931" s="63"/>
      <c r="P931" s="63"/>
      <c r="Q931" s="63"/>
      <c r="R931" s="63"/>
      <c r="S931" s="63"/>
      <c r="T931" s="63"/>
      <c r="U931" s="63"/>
      <c r="V931" s="63"/>
      <c r="W931" s="63"/>
      <c r="X931" s="63"/>
      <c r="Y931" s="63"/>
      <c r="Z931" s="63"/>
      <c r="AA931" s="63"/>
      <c r="AB931" s="63"/>
      <c r="AC931" s="63"/>
      <c r="AD931" s="63"/>
      <c r="AE931" s="63"/>
      <c r="AF931" s="63"/>
    </row>
    <row r="932">
      <c r="A932" s="69"/>
      <c r="B932" s="33" t="s">
        <v>76</v>
      </c>
      <c r="C932" s="261" t="s">
        <v>110</v>
      </c>
      <c r="D932" s="296" t="s">
        <v>1194</v>
      </c>
      <c r="E932" s="296" t="s">
        <v>1195</v>
      </c>
      <c r="F932" s="160" t="s">
        <v>3211</v>
      </c>
      <c r="G932" s="146" t="s">
        <v>3923</v>
      </c>
      <c r="H932" s="147" t="s">
        <v>3924</v>
      </c>
      <c r="I932" s="296" t="s">
        <v>1197</v>
      </c>
      <c r="J932" s="163"/>
      <c r="K932" s="102" t="s">
        <v>3925</v>
      </c>
      <c r="L932" s="63"/>
      <c r="M932" s="63"/>
      <c r="N932" s="63"/>
      <c r="O932" s="63"/>
      <c r="P932" s="63"/>
      <c r="Q932" s="63"/>
      <c r="R932" s="63"/>
      <c r="S932" s="63"/>
      <c r="T932" s="63"/>
      <c r="U932" s="63"/>
      <c r="V932" s="63"/>
      <c r="W932" s="63"/>
      <c r="X932" s="63"/>
      <c r="Y932" s="63"/>
      <c r="Z932" s="63"/>
      <c r="AA932" s="63"/>
      <c r="AB932" s="63"/>
      <c r="AC932" s="63"/>
      <c r="AD932" s="63"/>
      <c r="AE932" s="63"/>
      <c r="AF932" s="63"/>
    </row>
    <row r="933">
      <c r="A933" s="69"/>
      <c r="B933" s="33" t="s">
        <v>76</v>
      </c>
      <c r="C933" s="261" t="s">
        <v>110</v>
      </c>
      <c r="D933" s="296" t="s">
        <v>2315</v>
      </c>
      <c r="E933" s="296" t="s">
        <v>3926</v>
      </c>
      <c r="F933" s="160" t="s">
        <v>3040</v>
      </c>
      <c r="G933" s="146" t="s">
        <v>3923</v>
      </c>
      <c r="H933" s="147" t="s">
        <v>3924</v>
      </c>
      <c r="I933" s="296" t="s">
        <v>1197</v>
      </c>
      <c r="J933" s="163"/>
      <c r="K933" s="102" t="s">
        <v>3925</v>
      </c>
      <c r="L933" s="63"/>
      <c r="M933" s="63"/>
      <c r="N933" s="63"/>
      <c r="O933" s="63"/>
      <c r="P933" s="63"/>
      <c r="Q933" s="63"/>
      <c r="R933" s="63"/>
      <c r="S933" s="63"/>
      <c r="T933" s="63"/>
      <c r="U933" s="63"/>
      <c r="V933" s="63"/>
      <c r="W933" s="63"/>
      <c r="X933" s="63"/>
      <c r="Y933" s="63"/>
      <c r="Z933" s="63"/>
      <c r="AA933" s="63"/>
      <c r="AB933" s="63"/>
      <c r="AC933" s="63"/>
      <c r="AD933" s="63"/>
      <c r="AE933" s="63"/>
      <c r="AF933" s="63"/>
    </row>
    <row r="934">
      <c r="A934" s="69"/>
      <c r="B934" s="33" t="s">
        <v>76</v>
      </c>
      <c r="C934" s="102"/>
      <c r="D934" s="109"/>
      <c r="E934" s="109"/>
      <c r="F934" s="167"/>
      <c r="G934" s="159"/>
      <c r="H934" s="102"/>
      <c r="I934" s="71"/>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c r="A935" s="79"/>
      <c r="B935" s="33" t="s">
        <v>76</v>
      </c>
      <c r="C935" s="102"/>
      <c r="D935" s="109"/>
      <c r="E935" s="109"/>
      <c r="F935" s="167"/>
      <c r="G935" s="159"/>
      <c r="H935" s="102"/>
      <c r="I935" s="71"/>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c r="A936" s="189"/>
      <c r="B936" s="286">
        <v>44677.0</v>
      </c>
      <c r="C936" s="102"/>
      <c r="D936" s="109"/>
      <c r="E936" s="109"/>
      <c r="F936" s="167"/>
      <c r="G936" s="159"/>
      <c r="H936" s="102"/>
      <c r="I936" s="71"/>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c r="A937" s="287" t="s">
        <v>3478</v>
      </c>
      <c r="B937" s="33" t="s">
        <v>76</v>
      </c>
      <c r="C937" s="102"/>
      <c r="D937" s="109"/>
      <c r="E937" s="109"/>
      <c r="F937" s="167"/>
      <c r="G937" s="159"/>
      <c r="H937" s="102"/>
      <c r="I937" s="71"/>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c r="A938" s="69"/>
      <c r="B938" s="33" t="s">
        <v>76</v>
      </c>
      <c r="C938" s="102"/>
      <c r="D938" s="109"/>
      <c r="E938" s="109"/>
      <c r="F938" s="167"/>
      <c r="G938" s="159"/>
      <c r="H938" s="102"/>
      <c r="I938" s="71"/>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c r="A939" s="69"/>
      <c r="B939" s="33" t="s">
        <v>76</v>
      </c>
      <c r="C939" s="261" t="s">
        <v>110</v>
      </c>
      <c r="D939" s="296" t="s">
        <v>1224</v>
      </c>
      <c r="E939" s="296" t="s">
        <v>1225</v>
      </c>
      <c r="F939" s="157">
        <v>0.5416666666666666</v>
      </c>
      <c r="G939" s="146" t="s">
        <v>3927</v>
      </c>
      <c r="H939" s="147" t="s">
        <v>3928</v>
      </c>
      <c r="I939" s="296" t="s">
        <v>1227</v>
      </c>
      <c r="J939" s="216" t="s">
        <v>3929</v>
      </c>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c r="A940" s="69"/>
      <c r="B940" s="33" t="s">
        <v>76</v>
      </c>
      <c r="C940" s="259" t="s">
        <v>110</v>
      </c>
      <c r="D940" s="297" t="s">
        <v>2859</v>
      </c>
      <c r="E940" s="297" t="s">
        <v>2860</v>
      </c>
      <c r="F940" s="191">
        <v>0.625</v>
      </c>
      <c r="G940" s="192" t="s">
        <v>3927</v>
      </c>
      <c r="H940" s="193" t="s">
        <v>3930</v>
      </c>
      <c r="I940" s="297" t="s">
        <v>2862</v>
      </c>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c r="A941" s="69"/>
      <c r="B941" s="33" t="s">
        <v>76</v>
      </c>
      <c r="C941" s="261" t="s">
        <v>110</v>
      </c>
      <c r="D941" s="296" t="s">
        <v>1658</v>
      </c>
      <c r="E941" s="296" t="s">
        <v>1659</v>
      </c>
      <c r="F941" s="157">
        <v>0.7083333333333334</v>
      </c>
      <c r="G941" s="146" t="s">
        <v>3931</v>
      </c>
      <c r="H941" s="147" t="s">
        <v>3932</v>
      </c>
      <c r="I941" s="296" t="s">
        <v>1660</v>
      </c>
      <c r="J941" s="216" t="s">
        <v>3929</v>
      </c>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c r="A942" s="69"/>
      <c r="B942" s="33" t="s">
        <v>76</v>
      </c>
      <c r="C942" s="259" t="s">
        <v>110</v>
      </c>
      <c r="D942" s="297" t="s">
        <v>1997</v>
      </c>
      <c r="E942" s="297" t="s">
        <v>1998</v>
      </c>
      <c r="F942" s="191">
        <v>0.7708333333333334</v>
      </c>
      <c r="G942" s="192" t="s">
        <v>3933</v>
      </c>
      <c r="H942" s="193" t="s">
        <v>3934</v>
      </c>
      <c r="I942" s="297" t="s">
        <v>3935</v>
      </c>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c r="A943" s="69"/>
      <c r="B943" s="33" t="s">
        <v>76</v>
      </c>
      <c r="C943" s="102"/>
      <c r="D943" s="109"/>
      <c r="E943" s="109"/>
      <c r="F943" s="167"/>
      <c r="G943" s="159"/>
      <c r="H943" s="102"/>
      <c r="I943" s="71"/>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c r="A944" s="69"/>
      <c r="B944" s="33" t="s">
        <v>76</v>
      </c>
      <c r="C944" s="102"/>
      <c r="D944" s="109"/>
      <c r="E944" s="109"/>
      <c r="F944" s="167"/>
      <c r="G944" s="159"/>
      <c r="H944" s="102"/>
      <c r="I944" s="71"/>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c r="A945" s="69"/>
      <c r="B945" s="33" t="s">
        <v>76</v>
      </c>
      <c r="C945" s="102"/>
      <c r="D945" s="109"/>
      <c r="E945" s="109"/>
      <c r="F945" s="167"/>
      <c r="G945" s="159"/>
      <c r="H945" s="102"/>
      <c r="I945" s="71"/>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c r="A946" s="79"/>
      <c r="B946" s="33" t="s">
        <v>76</v>
      </c>
      <c r="C946" s="102"/>
      <c r="D946" s="109"/>
      <c r="E946" s="109"/>
      <c r="F946" s="167"/>
      <c r="G946" s="159"/>
      <c r="H946" s="102"/>
      <c r="I946" s="71"/>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c r="A947" s="189"/>
      <c r="B947" s="286">
        <v>44678.0</v>
      </c>
      <c r="C947" s="102"/>
      <c r="D947" s="109"/>
      <c r="E947" s="109"/>
      <c r="F947" s="167"/>
      <c r="G947" s="159"/>
      <c r="H947" s="102"/>
      <c r="I947" s="71"/>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c r="A948" s="287" t="s">
        <v>3478</v>
      </c>
      <c r="B948" s="33" t="s">
        <v>76</v>
      </c>
      <c r="C948" s="102"/>
      <c r="D948" s="109"/>
      <c r="E948" s="109"/>
      <c r="F948" s="167"/>
      <c r="G948" s="159"/>
      <c r="H948" s="102"/>
      <c r="I948" s="71"/>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c r="A949" s="69"/>
      <c r="B949" s="33" t="s">
        <v>76</v>
      </c>
      <c r="C949" s="102"/>
      <c r="D949" s="109"/>
      <c r="E949" s="109"/>
      <c r="F949" s="167"/>
      <c r="G949" s="159"/>
      <c r="H949" s="102"/>
      <c r="I949" s="71"/>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c r="A950" s="69"/>
      <c r="B950" s="33" t="s">
        <v>76</v>
      </c>
      <c r="C950" s="137"/>
      <c r="D950" s="22"/>
      <c r="E950" s="22"/>
      <c r="F950" s="167"/>
      <c r="G950" s="159"/>
      <c r="H950" s="102"/>
      <c r="I950" s="71"/>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c r="A951" s="69"/>
      <c r="B951" s="33" t="s">
        <v>76</v>
      </c>
      <c r="C951" s="259" t="s">
        <v>110</v>
      </c>
      <c r="D951" s="297" t="s">
        <v>1990</v>
      </c>
      <c r="E951" s="297" t="s">
        <v>1991</v>
      </c>
      <c r="F951" s="191">
        <v>0.625</v>
      </c>
      <c r="G951" s="192" t="s">
        <v>3593</v>
      </c>
      <c r="H951" s="193" t="s">
        <v>3936</v>
      </c>
      <c r="I951" s="297" t="s">
        <v>1993</v>
      </c>
      <c r="J951" s="102" t="s">
        <v>3937</v>
      </c>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c r="A952" s="69"/>
      <c r="B952" s="33" t="s">
        <v>76</v>
      </c>
      <c r="C952" s="259" t="s">
        <v>110</v>
      </c>
      <c r="D952" s="297" t="s">
        <v>2114</v>
      </c>
      <c r="E952" s="297" t="s">
        <v>2115</v>
      </c>
      <c r="F952" s="191">
        <v>0.7083333333333334</v>
      </c>
      <c r="G952" s="192" t="s">
        <v>3510</v>
      </c>
      <c r="H952" s="193" t="s">
        <v>3938</v>
      </c>
      <c r="I952" s="297" t="s">
        <v>2117</v>
      </c>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c r="A953" s="69"/>
      <c r="B953" s="33" t="s">
        <v>76</v>
      </c>
      <c r="C953" s="261" t="s">
        <v>110</v>
      </c>
      <c r="D953" s="296" t="s">
        <v>493</v>
      </c>
      <c r="E953" s="296" t="s">
        <v>494</v>
      </c>
      <c r="F953" s="157">
        <v>0.7708333333333334</v>
      </c>
      <c r="G953" s="146" t="s">
        <v>3939</v>
      </c>
      <c r="H953" s="147" t="s">
        <v>3940</v>
      </c>
      <c r="I953" s="296" t="s">
        <v>497</v>
      </c>
      <c r="J953" s="163"/>
      <c r="K953" s="102" t="s">
        <v>3941</v>
      </c>
      <c r="L953" s="63"/>
      <c r="M953" s="63"/>
      <c r="N953" s="63"/>
      <c r="O953" s="63"/>
      <c r="P953" s="63"/>
      <c r="Q953" s="63"/>
      <c r="R953" s="63"/>
      <c r="S953" s="63"/>
      <c r="T953" s="63"/>
      <c r="U953" s="63"/>
      <c r="V953" s="63"/>
      <c r="W953" s="63"/>
      <c r="X953" s="63"/>
      <c r="Y953" s="63"/>
      <c r="Z953" s="63"/>
      <c r="AA953" s="63"/>
      <c r="AB953" s="63"/>
      <c r="AC953" s="63"/>
      <c r="AD953" s="63"/>
      <c r="AE953" s="63"/>
      <c r="AF953" s="63"/>
    </row>
    <row r="954">
      <c r="A954" s="69"/>
      <c r="B954" s="33" t="s">
        <v>76</v>
      </c>
      <c r="C954" s="261" t="s">
        <v>110</v>
      </c>
      <c r="D954" s="262" t="s">
        <v>2067</v>
      </c>
      <c r="E954" s="262" t="s">
        <v>2068</v>
      </c>
      <c r="F954" s="157">
        <v>0.7708333333333334</v>
      </c>
      <c r="G954" s="146" t="s">
        <v>3939</v>
      </c>
      <c r="H954" s="147" t="s">
        <v>3940</v>
      </c>
      <c r="I954" s="296" t="s">
        <v>497</v>
      </c>
      <c r="J954" s="147" t="s">
        <v>3942</v>
      </c>
      <c r="K954" s="102" t="s">
        <v>3943</v>
      </c>
      <c r="L954" s="63"/>
      <c r="M954" s="63"/>
      <c r="N954" s="63"/>
      <c r="O954" s="63"/>
      <c r="P954" s="63"/>
      <c r="Q954" s="63"/>
      <c r="R954" s="63"/>
      <c r="S954" s="63"/>
      <c r="T954" s="63"/>
      <c r="U954" s="63"/>
      <c r="V954" s="63"/>
      <c r="W954" s="63"/>
      <c r="X954" s="63"/>
      <c r="Y954" s="63"/>
      <c r="Z954" s="63"/>
      <c r="AA954" s="63"/>
      <c r="AB954" s="63"/>
      <c r="AC954" s="63"/>
      <c r="AD954" s="63"/>
      <c r="AE954" s="63"/>
      <c r="AF954" s="63"/>
    </row>
    <row r="955">
      <c r="A955" s="69"/>
      <c r="B955" s="33" t="s">
        <v>76</v>
      </c>
      <c r="C955" s="214" t="s">
        <v>3786</v>
      </c>
      <c r="D955" s="297" t="s">
        <v>1448</v>
      </c>
      <c r="E955" s="297" t="s">
        <v>1449</v>
      </c>
      <c r="F955" s="208" t="s">
        <v>3944</v>
      </c>
      <c r="G955" s="192" t="s">
        <v>3029</v>
      </c>
      <c r="H955" s="193" t="s">
        <v>3945</v>
      </c>
      <c r="I955" s="125" t="s">
        <v>1451</v>
      </c>
      <c r="J955" s="211"/>
      <c r="K955" s="211"/>
      <c r="L955" s="63"/>
      <c r="M955" s="63"/>
      <c r="N955" s="63"/>
      <c r="O955" s="63"/>
      <c r="P955" s="63"/>
      <c r="Q955" s="63"/>
      <c r="R955" s="63"/>
      <c r="S955" s="63"/>
      <c r="T955" s="63"/>
      <c r="U955" s="63"/>
      <c r="V955" s="63"/>
      <c r="W955" s="63"/>
      <c r="X955" s="63"/>
      <c r="Y955" s="63"/>
      <c r="Z955" s="63"/>
      <c r="AA955" s="63"/>
      <c r="AB955" s="63"/>
      <c r="AC955" s="63"/>
      <c r="AD955" s="63"/>
      <c r="AE955" s="63"/>
      <c r="AF955" s="63"/>
    </row>
    <row r="956">
      <c r="A956" s="69"/>
      <c r="B956" s="33" t="s">
        <v>76</v>
      </c>
      <c r="L956" s="63"/>
      <c r="M956" s="63"/>
      <c r="N956" s="63"/>
      <c r="O956" s="63"/>
      <c r="P956" s="63"/>
      <c r="Q956" s="63"/>
      <c r="R956" s="63"/>
      <c r="S956" s="63"/>
      <c r="T956" s="63"/>
      <c r="U956" s="63"/>
      <c r="V956" s="63"/>
      <c r="W956" s="63"/>
      <c r="X956" s="63"/>
      <c r="Y956" s="63"/>
      <c r="Z956" s="63"/>
      <c r="AA956" s="63"/>
      <c r="AB956" s="63"/>
      <c r="AC956" s="63"/>
      <c r="AD956" s="63"/>
      <c r="AE956" s="63"/>
      <c r="AF956" s="63"/>
    </row>
    <row r="957">
      <c r="A957" s="79"/>
      <c r="B957" s="33" t="s">
        <v>76</v>
      </c>
      <c r="C957" s="102"/>
      <c r="D957" s="109"/>
      <c r="E957" s="109"/>
      <c r="F957" s="167"/>
      <c r="G957" s="159"/>
      <c r="H957" s="102"/>
      <c r="I957" s="71"/>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c r="A958" s="189"/>
      <c r="B958" s="286">
        <v>44680.0</v>
      </c>
      <c r="C958" s="102"/>
      <c r="D958" s="109"/>
      <c r="E958" s="109"/>
      <c r="F958" s="167"/>
      <c r="G958" s="159"/>
      <c r="H958" s="102"/>
      <c r="I958" s="71"/>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c r="A959" s="287" t="s">
        <v>3478</v>
      </c>
      <c r="B959" s="33" t="s">
        <v>76</v>
      </c>
      <c r="C959" s="102"/>
      <c r="D959" s="109"/>
      <c r="E959" s="109"/>
      <c r="F959" s="167"/>
      <c r="G959" s="159"/>
      <c r="H959" s="102"/>
      <c r="I959" s="71"/>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c r="A960" s="69"/>
      <c r="B960" s="33" t="s">
        <v>76</v>
      </c>
      <c r="C960" s="102"/>
      <c r="D960" s="109"/>
      <c r="E960" s="109"/>
      <c r="F960" s="167"/>
      <c r="G960" s="159"/>
      <c r="H960" s="102"/>
      <c r="I960" s="71"/>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c r="A961" s="69"/>
      <c r="B961" s="33" t="s">
        <v>76</v>
      </c>
      <c r="C961" s="102"/>
      <c r="D961" s="109"/>
      <c r="E961" s="109"/>
      <c r="F961" s="167"/>
      <c r="G961" s="159"/>
      <c r="H961" s="102"/>
      <c r="I961" s="71"/>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c r="A962" s="69"/>
      <c r="B962" s="33" t="s">
        <v>76</v>
      </c>
      <c r="C962" s="102"/>
      <c r="D962" s="109"/>
      <c r="E962" s="109"/>
      <c r="F962" s="167"/>
      <c r="G962" s="159"/>
      <c r="H962" s="102"/>
      <c r="I962" s="71"/>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c r="A963" s="69"/>
      <c r="B963" s="33" t="s">
        <v>76</v>
      </c>
      <c r="C963" s="214" t="s">
        <v>3786</v>
      </c>
      <c r="D963" s="297" t="s">
        <v>1311</v>
      </c>
      <c r="E963" s="297" t="s">
        <v>1312</v>
      </c>
      <c r="F963" s="208" t="s">
        <v>3011</v>
      </c>
      <c r="G963" s="192" t="s">
        <v>3113</v>
      </c>
      <c r="H963" s="193" t="s">
        <v>3946</v>
      </c>
      <c r="I963" s="297" t="s">
        <v>3947</v>
      </c>
      <c r="J963" s="211"/>
      <c r="K963" s="211"/>
      <c r="L963" s="63"/>
      <c r="M963" s="63"/>
      <c r="N963" s="63"/>
      <c r="O963" s="63"/>
      <c r="P963" s="63"/>
      <c r="Q963" s="63"/>
      <c r="R963" s="63"/>
      <c r="S963" s="63"/>
      <c r="T963" s="63"/>
      <c r="U963" s="63"/>
      <c r="V963" s="63"/>
      <c r="W963" s="63"/>
      <c r="X963" s="63"/>
      <c r="Y963" s="63"/>
      <c r="Z963" s="63"/>
      <c r="AA963" s="63"/>
      <c r="AB963" s="63"/>
      <c r="AC963" s="63"/>
      <c r="AD963" s="63"/>
      <c r="AE963" s="63"/>
      <c r="AF963" s="63"/>
    </row>
    <row r="964">
      <c r="A964" s="69"/>
      <c r="B964" s="33" t="s">
        <v>76</v>
      </c>
      <c r="C964" s="131" t="s">
        <v>3786</v>
      </c>
      <c r="D964" s="296" t="s">
        <v>1239</v>
      </c>
      <c r="E964" s="296" t="s">
        <v>1240</v>
      </c>
      <c r="F964" s="160" t="s">
        <v>3014</v>
      </c>
      <c r="G964" s="146" t="s">
        <v>3555</v>
      </c>
      <c r="H964" s="147" t="s">
        <v>3948</v>
      </c>
      <c r="I964" s="81" t="s">
        <v>1242</v>
      </c>
      <c r="J964" s="163"/>
      <c r="K964" s="163"/>
      <c r="L964" s="102" t="s">
        <v>3949</v>
      </c>
      <c r="M964" s="63"/>
      <c r="N964" s="63"/>
      <c r="O964" s="63"/>
      <c r="P964" s="63"/>
      <c r="Q964" s="63"/>
      <c r="R964" s="63"/>
      <c r="S964" s="63"/>
      <c r="T964" s="63"/>
      <c r="U964" s="63"/>
      <c r="V964" s="63"/>
      <c r="W964" s="63"/>
      <c r="X964" s="63"/>
      <c r="Y964" s="63"/>
      <c r="Z964" s="63"/>
      <c r="AA964" s="63"/>
      <c r="AB964" s="63"/>
      <c r="AC964" s="63"/>
      <c r="AD964" s="63"/>
      <c r="AE964" s="63"/>
      <c r="AF964" s="63"/>
    </row>
    <row r="965">
      <c r="A965" s="69"/>
      <c r="B965" s="33" t="s">
        <v>76</v>
      </c>
      <c r="C965" s="131" t="s">
        <v>3786</v>
      </c>
      <c r="D965" s="296" t="s">
        <v>2873</v>
      </c>
      <c r="E965" s="296" t="s">
        <v>3950</v>
      </c>
      <c r="F965" s="160" t="s">
        <v>3211</v>
      </c>
      <c r="G965" s="146" t="s">
        <v>3951</v>
      </c>
      <c r="H965" s="147" t="s">
        <v>3952</v>
      </c>
      <c r="I965" s="81" t="s">
        <v>2876</v>
      </c>
      <c r="J965" s="163"/>
      <c r="K965" s="163"/>
      <c r="L965" s="102" t="s">
        <v>3949</v>
      </c>
      <c r="M965" s="63"/>
      <c r="N965" s="63"/>
      <c r="O965" s="63"/>
      <c r="P965" s="63"/>
      <c r="Q965" s="63"/>
      <c r="R965" s="63"/>
      <c r="S965" s="63"/>
      <c r="T965" s="63"/>
      <c r="U965" s="63"/>
      <c r="V965" s="63"/>
      <c r="W965" s="63"/>
      <c r="X965" s="63"/>
      <c r="Y965" s="63"/>
      <c r="Z965" s="63"/>
      <c r="AA965" s="63"/>
      <c r="AB965" s="63"/>
      <c r="AC965" s="63"/>
      <c r="AD965" s="63"/>
      <c r="AE965" s="63"/>
      <c r="AF965" s="63"/>
    </row>
    <row r="966">
      <c r="A966" s="69"/>
      <c r="B966" s="33" t="s">
        <v>76</v>
      </c>
      <c r="C966" s="131" t="s">
        <v>3786</v>
      </c>
      <c r="D966" s="296" t="s">
        <v>1214</v>
      </c>
      <c r="E966" s="296" t="s">
        <v>1215</v>
      </c>
      <c r="F966" s="160" t="s">
        <v>3040</v>
      </c>
      <c r="G966" s="146" t="s">
        <v>3127</v>
      </c>
      <c r="H966" s="147" t="s">
        <v>3953</v>
      </c>
      <c r="I966" s="296" t="s">
        <v>1217</v>
      </c>
      <c r="J966" s="163"/>
      <c r="K966" s="163"/>
      <c r="L966" s="102" t="s">
        <v>3949</v>
      </c>
      <c r="M966" s="63"/>
      <c r="N966" s="63"/>
      <c r="O966" s="63"/>
      <c r="P966" s="63"/>
      <c r="Q966" s="63"/>
      <c r="R966" s="63"/>
      <c r="S966" s="63"/>
      <c r="T966" s="63"/>
      <c r="U966" s="63"/>
      <c r="V966" s="63"/>
      <c r="W966" s="63"/>
      <c r="X966" s="63"/>
      <c r="Y966" s="63"/>
      <c r="Z966" s="63"/>
      <c r="AA966" s="63"/>
      <c r="AB966" s="63"/>
      <c r="AC966" s="63"/>
      <c r="AD966" s="63"/>
      <c r="AE966" s="63"/>
      <c r="AF966" s="63"/>
    </row>
    <row r="967">
      <c r="A967" s="69"/>
      <c r="B967" s="33" t="s">
        <v>76</v>
      </c>
      <c r="C967" s="102"/>
      <c r="D967" s="109"/>
      <c r="E967" s="109"/>
      <c r="F967" s="167"/>
      <c r="G967" s="159"/>
      <c r="H967" s="102"/>
      <c r="I967" s="71"/>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c r="A968" s="79"/>
      <c r="B968" s="33" t="s">
        <v>76</v>
      </c>
      <c r="C968" s="102"/>
      <c r="D968" s="109"/>
      <c r="E968" s="109"/>
      <c r="F968" s="167"/>
      <c r="G968" s="159"/>
      <c r="H968" s="102"/>
      <c r="I968" s="71"/>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c r="A969" s="135"/>
      <c r="B969" s="38"/>
      <c r="C969" s="102"/>
      <c r="D969" s="109"/>
      <c r="E969" s="109"/>
      <c r="F969" s="167"/>
      <c r="G969" s="159"/>
      <c r="H969" s="102"/>
      <c r="I969" s="71"/>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c r="A970" s="135"/>
      <c r="B970" s="38"/>
      <c r="C970" s="102"/>
      <c r="D970" s="109"/>
      <c r="E970" s="109"/>
      <c r="F970" s="167"/>
      <c r="G970" s="159"/>
      <c r="H970" s="102"/>
      <c r="I970" s="71"/>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c r="A971" s="135"/>
      <c r="B971" s="38"/>
      <c r="C971" s="102"/>
      <c r="D971" s="109"/>
      <c r="E971" s="109"/>
      <c r="F971" s="167"/>
      <c r="G971" s="159"/>
      <c r="H971" s="102"/>
      <c r="I971" s="71"/>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c r="A972" s="135"/>
      <c r="B972" s="38"/>
      <c r="C972" s="102"/>
      <c r="D972" s="109"/>
      <c r="E972" s="109"/>
      <c r="F972" s="167"/>
      <c r="G972" s="159"/>
      <c r="H972" s="102"/>
      <c r="I972" s="71"/>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c r="A973" s="135"/>
      <c r="B973" s="38"/>
      <c r="C973" s="102"/>
      <c r="D973" s="109"/>
      <c r="E973" s="109"/>
      <c r="F973" s="167"/>
      <c r="G973" s="159"/>
      <c r="H973" s="102"/>
      <c r="I973" s="71"/>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c r="A974" s="135"/>
      <c r="B974" s="38"/>
      <c r="C974" s="102"/>
      <c r="D974" s="109"/>
      <c r="E974" s="109"/>
      <c r="F974" s="167"/>
      <c r="G974" s="159"/>
      <c r="H974" s="102"/>
      <c r="I974" s="71"/>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c r="A975" s="135"/>
      <c r="B975" s="38"/>
      <c r="C975" s="102"/>
      <c r="D975" s="109"/>
      <c r="E975" s="109"/>
      <c r="F975" s="167"/>
      <c r="G975" s="159"/>
      <c r="H975" s="102"/>
      <c r="I975" s="71"/>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c r="A976" s="135"/>
      <c r="B976" s="38"/>
      <c r="C976" s="102"/>
      <c r="D976" s="109"/>
      <c r="E976" s="109"/>
      <c r="F976" s="167"/>
      <c r="G976" s="159"/>
      <c r="H976" s="102"/>
      <c r="I976" s="71"/>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c r="A977" s="135"/>
      <c r="B977" s="38"/>
      <c r="C977" s="102"/>
      <c r="D977" s="109"/>
      <c r="E977" s="109"/>
      <c r="F977" s="167"/>
      <c r="G977" s="159"/>
      <c r="H977" s="102"/>
      <c r="I977" s="71"/>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c r="A978" s="135"/>
      <c r="B978" s="38"/>
      <c r="C978" s="102"/>
      <c r="D978" s="109"/>
      <c r="E978" s="109"/>
      <c r="F978" s="167"/>
      <c r="G978" s="159"/>
      <c r="H978" s="102"/>
      <c r="I978" s="71"/>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c r="A979" s="135"/>
      <c r="B979" s="38"/>
      <c r="C979" s="102"/>
      <c r="D979" s="109"/>
      <c r="E979" s="109"/>
      <c r="F979" s="167"/>
      <c r="G979" s="159"/>
      <c r="H979" s="102"/>
      <c r="I979" s="71"/>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c r="A980" s="135"/>
      <c r="B980" s="38"/>
      <c r="C980" s="102"/>
      <c r="D980" s="109"/>
      <c r="E980" s="109"/>
      <c r="F980" s="167"/>
      <c r="G980" s="159"/>
      <c r="H980" s="102"/>
      <c r="I980" s="71"/>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c r="A981" s="135"/>
      <c r="B981" s="38"/>
      <c r="C981" s="102"/>
      <c r="D981" s="109"/>
      <c r="E981" s="109"/>
      <c r="F981" s="167"/>
      <c r="G981" s="159"/>
      <c r="H981" s="102"/>
      <c r="I981" s="71"/>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c r="A982" s="135"/>
      <c r="B982" s="38"/>
      <c r="C982" s="102"/>
      <c r="D982" s="109"/>
      <c r="E982" s="109"/>
      <c r="F982" s="167"/>
      <c r="G982" s="159"/>
      <c r="H982" s="102"/>
      <c r="I982" s="71"/>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c r="A983" s="135"/>
      <c r="B983" s="38"/>
      <c r="C983" s="102"/>
      <c r="D983" s="109"/>
      <c r="E983" s="109"/>
      <c r="F983" s="167"/>
      <c r="G983" s="159"/>
      <c r="H983" s="102"/>
      <c r="I983" s="71"/>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c r="A984" s="135"/>
      <c r="B984" s="38"/>
      <c r="C984" s="102"/>
      <c r="D984" s="109"/>
      <c r="E984" s="109"/>
      <c r="F984" s="167"/>
      <c r="G984" s="159"/>
      <c r="H984" s="102"/>
      <c r="I984" s="71"/>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c r="A985" s="135"/>
      <c r="B985" s="38"/>
      <c r="C985" s="102"/>
      <c r="D985" s="109"/>
      <c r="E985" s="109"/>
      <c r="F985" s="167"/>
      <c r="G985" s="159"/>
      <c r="H985" s="102"/>
      <c r="I985" s="71"/>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c r="A986" s="135"/>
      <c r="B986" s="38"/>
      <c r="C986" s="102"/>
      <c r="D986" s="109"/>
      <c r="E986" s="109"/>
      <c r="F986" s="167"/>
      <c r="G986" s="159"/>
      <c r="H986" s="102"/>
      <c r="I986" s="71"/>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c r="A987" s="135"/>
      <c r="B987" s="38"/>
      <c r="C987" s="102"/>
      <c r="D987" s="109"/>
      <c r="E987" s="109"/>
      <c r="F987" s="167"/>
      <c r="G987" s="159"/>
      <c r="H987" s="102"/>
      <c r="I987" s="71"/>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c r="A988" s="135"/>
      <c r="B988" s="38"/>
      <c r="C988" s="102"/>
      <c r="D988" s="109"/>
      <c r="E988" s="109"/>
      <c r="F988" s="167"/>
      <c r="G988" s="159"/>
      <c r="H988" s="102"/>
      <c r="I988" s="71"/>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c r="A989" s="135"/>
      <c r="B989" s="38"/>
      <c r="C989" s="102"/>
      <c r="D989" s="109"/>
      <c r="E989" s="109"/>
      <c r="F989" s="167"/>
      <c r="G989" s="159"/>
      <c r="H989" s="102"/>
      <c r="I989" s="71"/>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c r="A990" s="135"/>
      <c r="B990" s="38"/>
      <c r="C990" s="102"/>
      <c r="D990" s="109"/>
      <c r="E990" s="109"/>
      <c r="F990" s="167"/>
      <c r="G990" s="159"/>
      <c r="H990" s="102"/>
      <c r="I990" s="71"/>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c r="A991" s="135"/>
      <c r="B991" s="38"/>
      <c r="C991" s="102"/>
      <c r="D991" s="109"/>
      <c r="E991" s="109"/>
      <c r="F991" s="167"/>
      <c r="G991" s="159"/>
      <c r="H991" s="102"/>
      <c r="I991" s="71"/>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c r="A992" s="135"/>
      <c r="B992" s="38"/>
      <c r="C992" s="102"/>
      <c r="D992" s="109"/>
      <c r="E992" s="109"/>
      <c r="F992" s="167"/>
      <c r="G992" s="159"/>
      <c r="H992" s="102"/>
      <c r="I992" s="71"/>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c r="A993" s="135"/>
      <c r="B993" s="38"/>
      <c r="C993" s="102"/>
      <c r="D993" s="109"/>
      <c r="E993" s="109"/>
      <c r="F993" s="167"/>
      <c r="G993" s="159"/>
      <c r="H993" s="102"/>
      <c r="I993" s="71"/>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c r="A994" s="135"/>
      <c r="B994" s="38"/>
      <c r="C994" s="102"/>
      <c r="D994" s="109"/>
      <c r="E994" s="109"/>
      <c r="F994" s="167"/>
      <c r="G994" s="159"/>
      <c r="H994" s="102"/>
      <c r="I994" s="71"/>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c r="A995" s="135"/>
      <c r="B995" s="38"/>
      <c r="C995" s="102"/>
      <c r="D995" s="109"/>
      <c r="E995" s="109"/>
      <c r="F995" s="167"/>
      <c r="G995" s="159"/>
      <c r="H995" s="102"/>
      <c r="I995" s="71"/>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c r="A996" s="135"/>
      <c r="B996" s="38"/>
      <c r="C996" s="102"/>
      <c r="D996" s="109"/>
      <c r="E996" s="109"/>
      <c r="F996" s="167"/>
      <c r="G996" s="159"/>
      <c r="H996" s="102"/>
      <c r="I996" s="71"/>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c r="A997" s="135"/>
      <c r="B997" s="38"/>
      <c r="C997" s="102"/>
      <c r="D997" s="109"/>
      <c r="E997" s="109"/>
      <c r="F997" s="167"/>
      <c r="G997" s="159"/>
      <c r="H997" s="102"/>
      <c r="I997" s="71"/>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c r="A998" s="135"/>
      <c r="B998" s="38"/>
      <c r="C998" s="102"/>
      <c r="D998" s="109"/>
      <c r="E998" s="109"/>
      <c r="F998" s="167"/>
      <c r="G998" s="159"/>
      <c r="H998" s="102"/>
      <c r="I998" s="71"/>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c r="A999" s="135"/>
      <c r="B999" s="38"/>
      <c r="C999" s="102"/>
      <c r="D999" s="109"/>
      <c r="E999" s="109"/>
      <c r="F999" s="167"/>
      <c r="G999" s="159"/>
      <c r="H999" s="102"/>
      <c r="I999" s="71"/>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c r="A1000" s="135"/>
      <c r="B1000" s="38"/>
      <c r="C1000" s="102"/>
      <c r="D1000" s="109"/>
      <c r="E1000" s="109"/>
      <c r="F1000" s="167"/>
      <c r="G1000" s="159"/>
      <c r="H1000" s="102"/>
      <c r="I1000" s="71"/>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row r="1001">
      <c r="A1001" s="135"/>
      <c r="B1001" s="38"/>
      <c r="C1001" s="102"/>
      <c r="D1001" s="109"/>
      <c r="E1001" s="109"/>
      <c r="F1001" s="167"/>
      <c r="G1001" s="159"/>
      <c r="H1001" s="102"/>
      <c r="I1001" s="71"/>
      <c r="J1001" s="63"/>
      <c r="K1001" s="63"/>
      <c r="L1001" s="63"/>
      <c r="M1001" s="63"/>
      <c r="N1001" s="63"/>
      <c r="O1001" s="63"/>
      <c r="P1001" s="63"/>
      <c r="Q1001" s="63"/>
      <c r="R1001" s="63"/>
      <c r="S1001" s="63"/>
      <c r="T1001" s="63"/>
      <c r="U1001" s="63"/>
      <c r="V1001" s="63"/>
      <c r="W1001" s="63"/>
      <c r="X1001" s="63"/>
      <c r="Y1001" s="63"/>
      <c r="Z1001" s="63"/>
      <c r="AA1001" s="63"/>
      <c r="AB1001" s="63"/>
      <c r="AC1001" s="63"/>
      <c r="AD1001" s="63"/>
      <c r="AE1001" s="63"/>
      <c r="AF1001" s="63"/>
    </row>
    <row r="1002">
      <c r="A1002" s="135"/>
      <c r="B1002" s="38"/>
      <c r="C1002" s="102"/>
      <c r="D1002" s="109"/>
      <c r="E1002" s="109"/>
      <c r="F1002" s="167"/>
      <c r="G1002" s="159"/>
      <c r="H1002" s="102"/>
      <c r="I1002" s="71"/>
      <c r="J1002" s="63"/>
      <c r="K1002" s="63"/>
      <c r="L1002" s="63"/>
      <c r="M1002" s="63"/>
      <c r="N1002" s="63"/>
      <c r="O1002" s="63"/>
      <c r="P1002" s="63"/>
      <c r="Q1002" s="63"/>
      <c r="R1002" s="63"/>
      <c r="S1002" s="63"/>
      <c r="T1002" s="63"/>
      <c r="U1002" s="63"/>
      <c r="V1002" s="63"/>
      <c r="W1002" s="63"/>
      <c r="X1002" s="63"/>
      <c r="Y1002" s="63"/>
      <c r="Z1002" s="63"/>
      <c r="AA1002" s="63"/>
      <c r="AB1002" s="63"/>
      <c r="AC1002" s="63"/>
      <c r="AD1002" s="63"/>
      <c r="AE1002" s="63"/>
      <c r="AF1002" s="63"/>
    </row>
    <row r="1003">
      <c r="A1003" s="135"/>
      <c r="B1003" s="38"/>
      <c r="C1003" s="102"/>
      <c r="D1003" s="109"/>
      <c r="E1003" s="109"/>
      <c r="F1003" s="167"/>
      <c r="G1003" s="159"/>
      <c r="H1003" s="102"/>
      <c r="I1003" s="71"/>
      <c r="J1003" s="63"/>
      <c r="K1003" s="63"/>
      <c r="L1003" s="63"/>
      <c r="M1003" s="63"/>
      <c r="N1003" s="63"/>
      <c r="O1003" s="63"/>
      <c r="P1003" s="63"/>
      <c r="Q1003" s="63"/>
      <c r="R1003" s="63"/>
      <c r="S1003" s="63"/>
      <c r="T1003" s="63"/>
      <c r="U1003" s="63"/>
      <c r="V1003" s="63"/>
      <c r="W1003" s="63"/>
      <c r="X1003" s="63"/>
      <c r="Y1003" s="63"/>
      <c r="Z1003" s="63"/>
      <c r="AA1003" s="63"/>
      <c r="AB1003" s="63"/>
      <c r="AC1003" s="63"/>
      <c r="AD1003" s="63"/>
      <c r="AE1003" s="63"/>
      <c r="AF1003" s="63"/>
    </row>
    <row r="1004">
      <c r="A1004" s="135"/>
      <c r="B1004" s="38"/>
      <c r="C1004" s="102"/>
      <c r="D1004" s="109"/>
      <c r="E1004" s="109"/>
      <c r="F1004" s="167"/>
      <c r="G1004" s="159"/>
      <c r="H1004" s="102"/>
      <c r="I1004" s="71"/>
      <c r="J1004" s="63"/>
      <c r="K1004" s="63"/>
      <c r="L1004" s="63"/>
      <c r="M1004" s="63"/>
      <c r="N1004" s="63"/>
      <c r="O1004" s="63"/>
      <c r="P1004" s="63"/>
      <c r="Q1004" s="63"/>
      <c r="R1004" s="63"/>
      <c r="S1004" s="63"/>
      <c r="T1004" s="63"/>
      <c r="U1004" s="63"/>
      <c r="V1004" s="63"/>
      <c r="W1004" s="63"/>
      <c r="X1004" s="63"/>
      <c r="Y1004" s="63"/>
      <c r="Z1004" s="63"/>
      <c r="AA1004" s="63"/>
      <c r="AB1004" s="63"/>
      <c r="AC1004" s="63"/>
      <c r="AD1004" s="63"/>
      <c r="AE1004" s="63"/>
      <c r="AF1004" s="63"/>
    </row>
    <row r="1005">
      <c r="A1005" s="135"/>
      <c r="B1005" s="38"/>
      <c r="C1005" s="102"/>
      <c r="D1005" s="109"/>
      <c r="E1005" s="109"/>
      <c r="F1005" s="167"/>
      <c r="G1005" s="159"/>
      <c r="H1005" s="102"/>
      <c r="I1005" s="71"/>
      <c r="J1005" s="63"/>
      <c r="K1005" s="63"/>
      <c r="L1005" s="63"/>
      <c r="M1005" s="63"/>
      <c r="N1005" s="63"/>
      <c r="O1005" s="63"/>
      <c r="P1005" s="63"/>
      <c r="Q1005" s="63"/>
      <c r="R1005" s="63"/>
      <c r="S1005" s="63"/>
      <c r="T1005" s="63"/>
      <c r="U1005" s="63"/>
      <c r="V1005" s="63"/>
      <c r="W1005" s="63"/>
      <c r="X1005" s="63"/>
      <c r="Y1005" s="63"/>
      <c r="Z1005" s="63"/>
      <c r="AA1005" s="63"/>
      <c r="AB1005" s="63"/>
      <c r="AC1005" s="63"/>
      <c r="AD1005" s="63"/>
      <c r="AE1005" s="63"/>
      <c r="AF1005" s="63"/>
    </row>
    <row r="1006">
      <c r="A1006" s="135"/>
      <c r="B1006" s="38"/>
      <c r="C1006" s="102"/>
      <c r="D1006" s="109"/>
      <c r="E1006" s="109"/>
      <c r="F1006" s="167"/>
      <c r="G1006" s="159"/>
      <c r="H1006" s="102"/>
      <c r="I1006" s="71"/>
      <c r="J1006" s="63"/>
      <c r="K1006" s="63"/>
      <c r="L1006" s="63"/>
      <c r="M1006" s="63"/>
      <c r="N1006" s="63"/>
      <c r="O1006" s="63"/>
      <c r="P1006" s="63"/>
      <c r="Q1006" s="63"/>
      <c r="R1006" s="63"/>
      <c r="S1006" s="63"/>
      <c r="T1006" s="63"/>
      <c r="U1006" s="63"/>
      <c r="V1006" s="63"/>
      <c r="W1006" s="63"/>
      <c r="X1006" s="63"/>
      <c r="Y1006" s="63"/>
      <c r="Z1006" s="63"/>
      <c r="AA1006" s="63"/>
      <c r="AB1006" s="63"/>
      <c r="AC1006" s="63"/>
      <c r="AD1006" s="63"/>
      <c r="AE1006" s="63"/>
      <c r="AF1006" s="63"/>
    </row>
    <row r="1007">
      <c r="A1007" s="135"/>
      <c r="B1007" s="38"/>
      <c r="C1007" s="102"/>
      <c r="D1007" s="109"/>
      <c r="E1007" s="109"/>
      <c r="F1007" s="167"/>
      <c r="G1007" s="159"/>
      <c r="H1007" s="102"/>
      <c r="I1007" s="71"/>
      <c r="J1007" s="63"/>
      <c r="K1007" s="63"/>
      <c r="L1007" s="63"/>
      <c r="M1007" s="63"/>
      <c r="N1007" s="63"/>
      <c r="O1007" s="63"/>
      <c r="P1007" s="63"/>
      <c r="Q1007" s="63"/>
      <c r="R1007" s="63"/>
      <c r="S1007" s="63"/>
      <c r="T1007" s="63"/>
      <c r="U1007" s="63"/>
      <c r="V1007" s="63"/>
      <c r="W1007" s="63"/>
      <c r="X1007" s="63"/>
      <c r="Y1007" s="63"/>
      <c r="Z1007" s="63"/>
      <c r="AA1007" s="63"/>
      <c r="AB1007" s="63"/>
      <c r="AC1007" s="63"/>
      <c r="AD1007" s="63"/>
      <c r="AE1007" s="63"/>
      <c r="AF1007" s="63"/>
    </row>
    <row r="1008">
      <c r="A1008" s="135"/>
      <c r="B1008" s="38"/>
      <c r="C1008" s="102"/>
      <c r="D1008" s="109"/>
      <c r="E1008" s="109"/>
      <c r="F1008" s="167"/>
      <c r="G1008" s="159"/>
      <c r="H1008" s="102"/>
      <c r="I1008" s="71"/>
      <c r="J1008" s="63"/>
      <c r="K1008" s="63"/>
      <c r="L1008" s="63"/>
      <c r="M1008" s="63"/>
      <c r="N1008" s="63"/>
      <c r="O1008" s="63"/>
      <c r="P1008" s="63"/>
      <c r="Q1008" s="63"/>
      <c r="R1008" s="63"/>
      <c r="S1008" s="63"/>
      <c r="T1008" s="63"/>
      <c r="U1008" s="63"/>
      <c r="V1008" s="63"/>
      <c r="W1008" s="63"/>
      <c r="X1008" s="63"/>
      <c r="Y1008" s="63"/>
      <c r="Z1008" s="63"/>
      <c r="AA1008" s="63"/>
      <c r="AB1008" s="63"/>
      <c r="AC1008" s="63"/>
      <c r="AD1008" s="63"/>
      <c r="AE1008" s="63"/>
      <c r="AF1008" s="63"/>
    </row>
    <row r="1009">
      <c r="A1009" s="135"/>
      <c r="B1009" s="38"/>
      <c r="C1009" s="102"/>
      <c r="D1009" s="109"/>
      <c r="E1009" s="109"/>
      <c r="F1009" s="167"/>
      <c r="G1009" s="159"/>
      <c r="H1009" s="102"/>
      <c r="I1009" s="71"/>
      <c r="J1009" s="63"/>
      <c r="K1009" s="63"/>
      <c r="L1009" s="63"/>
      <c r="M1009" s="63"/>
      <c r="N1009" s="63"/>
      <c r="O1009" s="63"/>
      <c r="P1009" s="63"/>
      <c r="Q1009" s="63"/>
      <c r="R1009" s="63"/>
      <c r="S1009" s="63"/>
      <c r="T1009" s="63"/>
      <c r="U1009" s="63"/>
      <c r="V1009" s="63"/>
      <c r="W1009" s="63"/>
      <c r="X1009" s="63"/>
      <c r="Y1009" s="63"/>
      <c r="Z1009" s="63"/>
      <c r="AA1009" s="63"/>
      <c r="AB1009" s="63"/>
      <c r="AC1009" s="63"/>
      <c r="AD1009" s="63"/>
      <c r="AE1009" s="63"/>
      <c r="AF1009" s="63"/>
    </row>
    <row r="1010">
      <c r="A1010" s="135"/>
      <c r="B1010" s="38"/>
      <c r="C1010" s="102"/>
      <c r="D1010" s="109"/>
      <c r="E1010" s="109"/>
      <c r="F1010" s="167"/>
      <c r="G1010" s="159"/>
      <c r="H1010" s="102"/>
      <c r="I1010" s="71"/>
      <c r="J1010" s="63"/>
      <c r="K1010" s="63"/>
      <c r="L1010" s="63"/>
      <c r="M1010" s="63"/>
      <c r="N1010" s="63"/>
      <c r="O1010" s="63"/>
      <c r="P1010" s="63"/>
      <c r="Q1010" s="63"/>
      <c r="R1010" s="63"/>
      <c r="S1010" s="63"/>
      <c r="T1010" s="63"/>
      <c r="U1010" s="63"/>
      <c r="V1010" s="63"/>
      <c r="W1010" s="63"/>
      <c r="X1010" s="63"/>
      <c r="Y1010" s="63"/>
      <c r="Z1010" s="63"/>
      <c r="AA1010" s="63"/>
      <c r="AB1010" s="63"/>
      <c r="AC1010" s="63"/>
      <c r="AD1010" s="63"/>
      <c r="AE1010" s="63"/>
      <c r="AF1010" s="63"/>
    </row>
    <row r="1011">
      <c r="A1011" s="135"/>
      <c r="B1011" s="38"/>
      <c r="C1011" s="102"/>
      <c r="D1011" s="109"/>
      <c r="E1011" s="109"/>
      <c r="F1011" s="167"/>
      <c r="G1011" s="159"/>
      <c r="H1011" s="102"/>
      <c r="I1011" s="71"/>
      <c r="J1011" s="63"/>
      <c r="K1011" s="63"/>
      <c r="L1011" s="63"/>
      <c r="M1011" s="63"/>
      <c r="N1011" s="63"/>
      <c r="O1011" s="63"/>
      <c r="P1011" s="63"/>
      <c r="Q1011" s="63"/>
      <c r="R1011" s="63"/>
      <c r="S1011" s="63"/>
      <c r="T1011" s="63"/>
      <c r="U1011" s="63"/>
      <c r="V1011" s="63"/>
      <c r="W1011" s="63"/>
      <c r="X1011" s="63"/>
      <c r="Y1011" s="63"/>
      <c r="Z1011" s="63"/>
      <c r="AA1011" s="63"/>
      <c r="AB1011" s="63"/>
      <c r="AC1011" s="63"/>
      <c r="AD1011" s="63"/>
      <c r="AE1011" s="63"/>
      <c r="AF1011" s="63"/>
    </row>
    <row r="1012">
      <c r="A1012" s="135"/>
      <c r="B1012" s="38"/>
      <c r="C1012" s="102"/>
      <c r="D1012" s="109"/>
      <c r="E1012" s="109"/>
      <c r="F1012" s="167"/>
      <c r="G1012" s="159"/>
      <c r="H1012" s="102"/>
      <c r="I1012" s="71"/>
      <c r="J1012" s="63"/>
      <c r="K1012" s="63"/>
      <c r="L1012" s="63"/>
      <c r="M1012" s="63"/>
      <c r="N1012" s="63"/>
      <c r="O1012" s="63"/>
      <c r="P1012" s="63"/>
      <c r="Q1012" s="63"/>
      <c r="R1012" s="63"/>
      <c r="S1012" s="63"/>
      <c r="T1012" s="63"/>
      <c r="U1012" s="63"/>
      <c r="V1012" s="63"/>
      <c r="W1012" s="63"/>
      <c r="X1012" s="63"/>
      <c r="Y1012" s="63"/>
      <c r="Z1012" s="63"/>
      <c r="AA1012" s="63"/>
      <c r="AB1012" s="63"/>
      <c r="AC1012" s="63"/>
      <c r="AD1012" s="63"/>
      <c r="AE1012" s="63"/>
      <c r="AF1012" s="63"/>
    </row>
    <row r="1013">
      <c r="A1013" s="135"/>
      <c r="B1013" s="38"/>
      <c r="C1013" s="102"/>
      <c r="D1013" s="109"/>
      <c r="E1013" s="109"/>
      <c r="F1013" s="167"/>
      <c r="G1013" s="159"/>
      <c r="H1013" s="102"/>
      <c r="I1013" s="71"/>
      <c r="J1013" s="63"/>
      <c r="K1013" s="63"/>
      <c r="L1013" s="63"/>
      <c r="M1013" s="63"/>
      <c r="N1013" s="63"/>
      <c r="O1013" s="63"/>
      <c r="P1013" s="63"/>
      <c r="Q1013" s="63"/>
      <c r="R1013" s="63"/>
      <c r="S1013" s="63"/>
      <c r="T1013" s="63"/>
      <c r="U1013" s="63"/>
      <c r="V1013" s="63"/>
      <c r="W1013" s="63"/>
      <c r="X1013" s="63"/>
      <c r="Y1013" s="63"/>
      <c r="Z1013" s="63"/>
      <c r="AA1013" s="63"/>
      <c r="AB1013" s="63"/>
      <c r="AC1013" s="63"/>
      <c r="AD1013" s="63"/>
      <c r="AE1013" s="63"/>
      <c r="AF1013" s="63"/>
    </row>
    <row r="1014">
      <c r="A1014" s="135"/>
      <c r="B1014" s="38"/>
      <c r="C1014" s="102"/>
      <c r="D1014" s="109"/>
      <c r="E1014" s="109"/>
      <c r="F1014" s="167"/>
      <c r="G1014" s="159"/>
      <c r="H1014" s="102"/>
      <c r="I1014" s="71"/>
      <c r="J1014" s="63"/>
      <c r="K1014" s="63"/>
      <c r="L1014" s="63"/>
      <c r="M1014" s="63"/>
      <c r="N1014" s="63"/>
      <c r="O1014" s="63"/>
      <c r="P1014" s="63"/>
      <c r="Q1014" s="63"/>
      <c r="R1014" s="63"/>
      <c r="S1014" s="63"/>
      <c r="T1014" s="63"/>
      <c r="U1014" s="63"/>
      <c r="V1014" s="63"/>
      <c r="W1014" s="63"/>
      <c r="X1014" s="63"/>
      <c r="Y1014" s="63"/>
      <c r="Z1014" s="63"/>
      <c r="AA1014" s="63"/>
      <c r="AB1014" s="63"/>
      <c r="AC1014" s="63"/>
      <c r="AD1014" s="63"/>
      <c r="AE1014" s="63"/>
      <c r="AF1014" s="63"/>
    </row>
    <row r="1015">
      <c r="A1015" s="135"/>
      <c r="B1015" s="38"/>
      <c r="C1015" s="102"/>
      <c r="D1015" s="109"/>
      <c r="E1015" s="109"/>
      <c r="F1015" s="167"/>
      <c r="G1015" s="159"/>
      <c r="H1015" s="102"/>
      <c r="I1015" s="71"/>
      <c r="J1015" s="63"/>
      <c r="K1015" s="63"/>
      <c r="L1015" s="63"/>
      <c r="M1015" s="63"/>
      <c r="N1015" s="63"/>
      <c r="O1015" s="63"/>
      <c r="P1015" s="63"/>
      <c r="Q1015" s="63"/>
      <c r="R1015" s="63"/>
      <c r="S1015" s="63"/>
      <c r="T1015" s="63"/>
      <c r="U1015" s="63"/>
      <c r="V1015" s="63"/>
      <c r="W1015" s="63"/>
      <c r="X1015" s="63"/>
      <c r="Y1015" s="63"/>
      <c r="Z1015" s="63"/>
      <c r="AA1015" s="63"/>
      <c r="AB1015" s="63"/>
      <c r="AC1015" s="63"/>
      <c r="AD1015" s="63"/>
      <c r="AE1015" s="63"/>
      <c r="AF1015" s="63"/>
    </row>
    <row r="1016">
      <c r="A1016" s="135"/>
      <c r="B1016" s="38"/>
      <c r="C1016" s="102"/>
      <c r="D1016" s="109"/>
      <c r="E1016" s="109"/>
      <c r="F1016" s="167"/>
      <c r="G1016" s="159"/>
      <c r="H1016" s="102"/>
      <c r="I1016" s="71"/>
      <c r="J1016" s="63"/>
      <c r="K1016" s="63"/>
      <c r="L1016" s="63"/>
      <c r="M1016" s="63"/>
      <c r="N1016" s="63"/>
      <c r="O1016" s="63"/>
      <c r="P1016" s="63"/>
      <c r="Q1016" s="63"/>
      <c r="R1016" s="63"/>
      <c r="S1016" s="63"/>
      <c r="T1016" s="63"/>
      <c r="U1016" s="63"/>
      <c r="V1016" s="63"/>
      <c r="W1016" s="63"/>
      <c r="X1016" s="63"/>
      <c r="Y1016" s="63"/>
      <c r="Z1016" s="63"/>
      <c r="AA1016" s="63"/>
      <c r="AB1016" s="63"/>
      <c r="AC1016" s="63"/>
      <c r="AD1016" s="63"/>
      <c r="AE1016" s="63"/>
      <c r="AF1016" s="63"/>
    </row>
    <row r="1017">
      <c r="A1017" s="135"/>
      <c r="B1017" s="38"/>
      <c r="C1017" s="102"/>
      <c r="D1017" s="109"/>
      <c r="E1017" s="109"/>
      <c r="F1017" s="167"/>
      <c r="G1017" s="159"/>
      <c r="H1017" s="102"/>
      <c r="I1017" s="71"/>
      <c r="J1017" s="63"/>
      <c r="K1017" s="63"/>
      <c r="L1017" s="63"/>
      <c r="M1017" s="63"/>
      <c r="N1017" s="63"/>
      <c r="O1017" s="63"/>
      <c r="P1017" s="63"/>
      <c r="Q1017" s="63"/>
      <c r="R1017" s="63"/>
      <c r="S1017" s="63"/>
      <c r="T1017" s="63"/>
      <c r="U1017" s="63"/>
      <c r="V1017" s="63"/>
      <c r="W1017" s="63"/>
      <c r="X1017" s="63"/>
      <c r="Y1017" s="63"/>
      <c r="Z1017" s="63"/>
      <c r="AA1017" s="63"/>
      <c r="AB1017" s="63"/>
      <c r="AC1017" s="63"/>
      <c r="AD1017" s="63"/>
      <c r="AE1017" s="63"/>
      <c r="AF1017" s="63"/>
    </row>
    <row r="1018">
      <c r="A1018" s="135"/>
      <c r="B1018" s="38"/>
      <c r="C1018" s="102"/>
      <c r="D1018" s="109"/>
      <c r="E1018" s="109"/>
      <c r="F1018" s="167"/>
      <c r="G1018" s="159"/>
      <c r="H1018" s="102"/>
      <c r="I1018" s="71"/>
      <c r="J1018" s="63"/>
      <c r="K1018" s="63"/>
      <c r="L1018" s="63"/>
      <c r="M1018" s="63"/>
      <c r="N1018" s="63"/>
      <c r="O1018" s="63"/>
      <c r="P1018" s="63"/>
      <c r="Q1018" s="63"/>
      <c r="R1018" s="63"/>
      <c r="S1018" s="63"/>
      <c r="T1018" s="63"/>
      <c r="U1018" s="63"/>
      <c r="V1018" s="63"/>
      <c r="W1018" s="63"/>
      <c r="X1018" s="63"/>
      <c r="Y1018" s="63"/>
      <c r="Z1018" s="63"/>
      <c r="AA1018" s="63"/>
      <c r="AB1018" s="63"/>
      <c r="AC1018" s="63"/>
      <c r="AD1018" s="63"/>
      <c r="AE1018" s="63"/>
      <c r="AF1018" s="63"/>
    </row>
    <row r="1019">
      <c r="A1019" s="135"/>
      <c r="B1019" s="38"/>
      <c r="C1019" s="102"/>
      <c r="D1019" s="109"/>
      <c r="E1019" s="109"/>
      <c r="F1019" s="167"/>
      <c r="G1019" s="159"/>
      <c r="H1019" s="102"/>
      <c r="I1019" s="71"/>
      <c r="J1019" s="63"/>
      <c r="K1019" s="63"/>
      <c r="L1019" s="63"/>
      <c r="M1019" s="63"/>
      <c r="N1019" s="63"/>
      <c r="O1019" s="63"/>
      <c r="P1019" s="63"/>
      <c r="Q1019" s="63"/>
      <c r="R1019" s="63"/>
      <c r="S1019" s="63"/>
      <c r="T1019" s="63"/>
      <c r="U1019" s="63"/>
      <c r="V1019" s="63"/>
      <c r="W1019" s="63"/>
      <c r="X1019" s="63"/>
      <c r="Y1019" s="63"/>
      <c r="Z1019" s="63"/>
      <c r="AA1019" s="63"/>
      <c r="AB1019" s="63"/>
      <c r="AC1019" s="63"/>
      <c r="AD1019" s="63"/>
      <c r="AE1019" s="63"/>
      <c r="AF1019" s="63"/>
    </row>
    <row r="1020">
      <c r="A1020" s="135"/>
      <c r="B1020" s="38"/>
      <c r="C1020" s="102"/>
      <c r="D1020" s="109"/>
      <c r="E1020" s="109"/>
      <c r="F1020" s="167"/>
      <c r="G1020" s="159"/>
      <c r="H1020" s="102"/>
      <c r="I1020" s="71"/>
      <c r="J1020" s="63"/>
      <c r="K1020" s="63"/>
      <c r="L1020" s="63"/>
      <c r="M1020" s="63"/>
      <c r="N1020" s="63"/>
      <c r="O1020" s="63"/>
      <c r="P1020" s="63"/>
      <c r="Q1020" s="63"/>
      <c r="R1020" s="63"/>
      <c r="S1020" s="63"/>
      <c r="T1020" s="63"/>
      <c r="U1020" s="63"/>
      <c r="V1020" s="63"/>
      <c r="W1020" s="63"/>
      <c r="X1020" s="63"/>
      <c r="Y1020" s="63"/>
      <c r="Z1020" s="63"/>
      <c r="AA1020" s="63"/>
      <c r="AB1020" s="63"/>
      <c r="AC1020" s="63"/>
      <c r="AD1020" s="63"/>
      <c r="AE1020" s="63"/>
      <c r="AF1020" s="63"/>
    </row>
    <row r="1021">
      <c r="A1021" s="135"/>
      <c r="B1021" s="38"/>
      <c r="C1021" s="102"/>
      <c r="D1021" s="109"/>
      <c r="E1021" s="109"/>
      <c r="F1021" s="167"/>
      <c r="G1021" s="159"/>
      <c r="H1021" s="102"/>
      <c r="I1021" s="71"/>
      <c r="J1021" s="63"/>
      <c r="K1021" s="63"/>
      <c r="L1021" s="63"/>
      <c r="M1021" s="63"/>
      <c r="N1021" s="63"/>
      <c r="O1021" s="63"/>
      <c r="P1021" s="63"/>
      <c r="Q1021" s="63"/>
      <c r="R1021" s="63"/>
      <c r="S1021" s="63"/>
      <c r="T1021" s="63"/>
      <c r="U1021" s="63"/>
      <c r="V1021" s="63"/>
      <c r="W1021" s="63"/>
      <c r="X1021" s="63"/>
      <c r="Y1021" s="63"/>
      <c r="Z1021" s="63"/>
      <c r="AA1021" s="63"/>
      <c r="AB1021" s="63"/>
      <c r="AC1021" s="63"/>
      <c r="AD1021" s="63"/>
      <c r="AE1021" s="63"/>
      <c r="AF1021" s="63"/>
    </row>
    <row r="1022">
      <c r="A1022" s="135"/>
      <c r="B1022" s="38"/>
      <c r="C1022" s="102"/>
      <c r="D1022" s="109"/>
      <c r="E1022" s="109"/>
      <c r="F1022" s="167"/>
      <c r="G1022" s="159"/>
      <c r="H1022" s="102"/>
      <c r="I1022" s="71"/>
      <c r="J1022" s="63"/>
      <c r="K1022" s="63"/>
      <c r="L1022" s="63"/>
      <c r="M1022" s="63"/>
      <c r="N1022" s="63"/>
      <c r="O1022" s="63"/>
      <c r="P1022" s="63"/>
      <c r="Q1022" s="63"/>
      <c r="R1022" s="63"/>
      <c r="S1022" s="63"/>
      <c r="T1022" s="63"/>
      <c r="U1022" s="63"/>
      <c r="V1022" s="63"/>
      <c r="W1022" s="63"/>
      <c r="X1022" s="63"/>
      <c r="Y1022" s="63"/>
      <c r="Z1022" s="63"/>
      <c r="AA1022" s="63"/>
      <c r="AB1022" s="63"/>
      <c r="AC1022" s="63"/>
      <c r="AD1022" s="63"/>
      <c r="AE1022" s="63"/>
      <c r="AF1022" s="63"/>
    </row>
    <row r="1023">
      <c r="A1023" s="135"/>
      <c r="B1023" s="38"/>
      <c r="C1023" s="102"/>
      <c r="D1023" s="109"/>
      <c r="E1023" s="109"/>
      <c r="F1023" s="167"/>
      <c r="G1023" s="159"/>
      <c r="H1023" s="102"/>
      <c r="I1023" s="71"/>
      <c r="J1023" s="63"/>
      <c r="K1023" s="63"/>
      <c r="L1023" s="63"/>
      <c r="M1023" s="63"/>
      <c r="N1023" s="63"/>
      <c r="O1023" s="63"/>
      <c r="P1023" s="63"/>
      <c r="Q1023" s="63"/>
      <c r="R1023" s="63"/>
      <c r="S1023" s="63"/>
      <c r="T1023" s="63"/>
      <c r="U1023" s="63"/>
      <c r="V1023" s="63"/>
      <c r="W1023" s="63"/>
      <c r="X1023" s="63"/>
      <c r="Y1023" s="63"/>
      <c r="Z1023" s="63"/>
      <c r="AA1023" s="63"/>
      <c r="AB1023" s="63"/>
      <c r="AC1023" s="63"/>
      <c r="AD1023" s="63"/>
      <c r="AE1023" s="63"/>
      <c r="AF1023" s="63"/>
    </row>
    <row r="1024">
      <c r="A1024" s="135"/>
      <c r="B1024" s="38"/>
      <c r="C1024" s="102"/>
      <c r="D1024" s="109"/>
      <c r="E1024" s="109"/>
      <c r="F1024" s="167"/>
      <c r="G1024" s="159"/>
      <c r="H1024" s="102"/>
      <c r="I1024" s="71"/>
      <c r="J1024" s="63"/>
      <c r="K1024" s="63"/>
      <c r="L1024" s="63"/>
      <c r="M1024" s="63"/>
      <c r="N1024" s="63"/>
      <c r="O1024" s="63"/>
      <c r="P1024" s="63"/>
      <c r="Q1024" s="63"/>
      <c r="R1024" s="63"/>
      <c r="S1024" s="63"/>
      <c r="T1024" s="63"/>
      <c r="U1024" s="63"/>
      <c r="V1024" s="63"/>
      <c r="W1024" s="63"/>
      <c r="X1024" s="63"/>
      <c r="Y1024" s="63"/>
      <c r="Z1024" s="63"/>
      <c r="AA1024" s="63"/>
      <c r="AB1024" s="63"/>
      <c r="AC1024" s="63"/>
      <c r="AD1024" s="63"/>
      <c r="AE1024" s="63"/>
      <c r="AF1024" s="63"/>
    </row>
    <row r="1025">
      <c r="A1025" s="135"/>
      <c r="B1025" s="38"/>
      <c r="C1025" s="102"/>
      <c r="D1025" s="109"/>
      <c r="E1025" s="109"/>
      <c r="F1025" s="167"/>
      <c r="G1025" s="159"/>
      <c r="H1025" s="102"/>
      <c r="I1025" s="71"/>
      <c r="J1025" s="63"/>
      <c r="K1025" s="63"/>
      <c r="L1025" s="63"/>
      <c r="M1025" s="63"/>
      <c r="N1025" s="63"/>
      <c r="O1025" s="63"/>
      <c r="P1025" s="63"/>
      <c r="Q1025" s="63"/>
      <c r="R1025" s="63"/>
      <c r="S1025" s="63"/>
      <c r="T1025" s="63"/>
      <c r="U1025" s="63"/>
      <c r="V1025" s="63"/>
      <c r="W1025" s="63"/>
      <c r="X1025" s="63"/>
      <c r="Y1025" s="63"/>
      <c r="Z1025" s="63"/>
      <c r="AA1025" s="63"/>
      <c r="AB1025" s="63"/>
      <c r="AC1025" s="63"/>
      <c r="AD1025" s="63"/>
      <c r="AE1025" s="63"/>
      <c r="AF1025" s="63"/>
    </row>
    <row r="1026">
      <c r="A1026" s="135"/>
      <c r="B1026" s="38"/>
      <c r="C1026" s="102"/>
      <c r="D1026" s="109"/>
      <c r="E1026" s="109"/>
      <c r="F1026" s="167"/>
      <c r="G1026" s="159"/>
      <c r="H1026" s="102"/>
      <c r="I1026" s="71"/>
      <c r="J1026" s="63"/>
      <c r="K1026" s="63"/>
      <c r="L1026" s="63"/>
      <c r="M1026" s="63"/>
      <c r="N1026" s="63"/>
      <c r="O1026" s="63"/>
      <c r="P1026" s="63"/>
      <c r="Q1026" s="63"/>
      <c r="R1026" s="63"/>
      <c r="S1026" s="63"/>
      <c r="T1026" s="63"/>
      <c r="U1026" s="63"/>
      <c r="V1026" s="63"/>
      <c r="W1026" s="63"/>
      <c r="X1026" s="63"/>
      <c r="Y1026" s="63"/>
      <c r="Z1026" s="63"/>
      <c r="AA1026" s="63"/>
      <c r="AB1026" s="63"/>
      <c r="AC1026" s="63"/>
      <c r="AD1026" s="63"/>
      <c r="AE1026" s="63"/>
      <c r="AF1026" s="63"/>
    </row>
    <row r="1027">
      <c r="A1027" s="135"/>
      <c r="B1027" s="38"/>
      <c r="C1027" s="102"/>
      <c r="D1027" s="109"/>
      <c r="E1027" s="109"/>
      <c r="F1027" s="167"/>
      <c r="G1027" s="159"/>
      <c r="H1027" s="102"/>
      <c r="I1027" s="71"/>
      <c r="J1027" s="63"/>
      <c r="K1027" s="63"/>
      <c r="L1027" s="63"/>
      <c r="M1027" s="63"/>
      <c r="N1027" s="63"/>
      <c r="O1027" s="63"/>
      <c r="P1027" s="63"/>
      <c r="Q1027" s="63"/>
      <c r="R1027" s="63"/>
      <c r="S1027" s="63"/>
      <c r="T1027" s="63"/>
      <c r="U1027" s="63"/>
      <c r="V1027" s="63"/>
      <c r="W1027" s="63"/>
      <c r="X1027" s="63"/>
      <c r="Y1027" s="63"/>
      <c r="Z1027" s="63"/>
      <c r="AA1027" s="63"/>
      <c r="AB1027" s="63"/>
      <c r="AC1027" s="63"/>
      <c r="AD1027" s="63"/>
      <c r="AE1027" s="63"/>
      <c r="AF1027" s="63"/>
    </row>
    <row r="1028">
      <c r="A1028" s="135"/>
      <c r="B1028" s="38"/>
      <c r="C1028" s="102"/>
      <c r="D1028" s="109"/>
      <c r="E1028" s="109"/>
      <c r="F1028" s="167"/>
      <c r="G1028" s="159"/>
      <c r="H1028" s="102"/>
      <c r="I1028" s="71"/>
      <c r="J1028" s="63"/>
      <c r="K1028" s="63"/>
      <c r="L1028" s="63"/>
      <c r="M1028" s="63"/>
      <c r="N1028" s="63"/>
      <c r="O1028" s="63"/>
      <c r="P1028" s="63"/>
      <c r="Q1028" s="63"/>
      <c r="R1028" s="63"/>
      <c r="S1028" s="63"/>
      <c r="T1028" s="63"/>
      <c r="U1028" s="63"/>
      <c r="V1028" s="63"/>
      <c r="W1028" s="63"/>
      <c r="X1028" s="63"/>
      <c r="Y1028" s="63"/>
      <c r="Z1028" s="63"/>
      <c r="AA1028" s="63"/>
      <c r="AB1028" s="63"/>
      <c r="AC1028" s="63"/>
      <c r="AD1028" s="63"/>
      <c r="AE1028" s="63"/>
      <c r="AF1028" s="63"/>
    </row>
    <row r="1029">
      <c r="A1029" s="135"/>
      <c r="B1029" s="38"/>
      <c r="C1029" s="102"/>
      <c r="D1029" s="109"/>
      <c r="E1029" s="109"/>
      <c r="F1029" s="167"/>
      <c r="G1029" s="159"/>
      <c r="H1029" s="102"/>
      <c r="I1029" s="71"/>
      <c r="J1029" s="63"/>
      <c r="K1029" s="63"/>
      <c r="L1029" s="63"/>
      <c r="M1029" s="63"/>
      <c r="N1029" s="63"/>
      <c r="O1029" s="63"/>
      <c r="P1029" s="63"/>
      <c r="Q1029" s="63"/>
      <c r="R1029" s="63"/>
      <c r="S1029" s="63"/>
      <c r="T1029" s="63"/>
      <c r="U1029" s="63"/>
      <c r="V1029" s="63"/>
      <c r="W1029" s="63"/>
      <c r="X1029" s="63"/>
      <c r="Y1029" s="63"/>
      <c r="Z1029" s="63"/>
      <c r="AA1029" s="63"/>
      <c r="AB1029" s="63"/>
      <c r="AC1029" s="63"/>
      <c r="AD1029" s="63"/>
      <c r="AE1029" s="63"/>
      <c r="AF1029" s="63"/>
    </row>
    <row r="1030">
      <c r="A1030" s="135"/>
      <c r="B1030" s="38"/>
      <c r="C1030" s="102"/>
      <c r="D1030" s="109"/>
      <c r="E1030" s="109"/>
      <c r="F1030" s="167"/>
      <c r="G1030" s="159"/>
      <c r="H1030" s="102"/>
      <c r="I1030" s="71"/>
      <c r="J1030" s="63"/>
      <c r="K1030" s="63"/>
      <c r="L1030" s="63"/>
      <c r="M1030" s="63"/>
      <c r="N1030" s="63"/>
      <c r="O1030" s="63"/>
      <c r="P1030" s="63"/>
      <c r="Q1030" s="63"/>
      <c r="R1030" s="63"/>
      <c r="S1030" s="63"/>
      <c r="T1030" s="63"/>
      <c r="U1030" s="63"/>
      <c r="V1030" s="63"/>
      <c r="W1030" s="63"/>
      <c r="X1030" s="63"/>
      <c r="Y1030" s="63"/>
      <c r="Z1030" s="63"/>
      <c r="AA1030" s="63"/>
      <c r="AB1030" s="63"/>
      <c r="AC1030" s="63"/>
      <c r="AD1030" s="63"/>
      <c r="AE1030" s="63"/>
      <c r="AF1030" s="63"/>
    </row>
    <row r="1031">
      <c r="A1031" s="135"/>
      <c r="B1031" s="38"/>
      <c r="C1031" s="102"/>
      <c r="D1031" s="109"/>
      <c r="E1031" s="109"/>
      <c r="F1031" s="167"/>
      <c r="G1031" s="159"/>
      <c r="H1031" s="102"/>
      <c r="I1031" s="71"/>
      <c r="J1031" s="63"/>
      <c r="K1031" s="63"/>
      <c r="L1031" s="63"/>
      <c r="M1031" s="63"/>
      <c r="N1031" s="63"/>
      <c r="O1031" s="63"/>
      <c r="P1031" s="63"/>
      <c r="Q1031" s="63"/>
      <c r="R1031" s="63"/>
      <c r="S1031" s="63"/>
      <c r="T1031" s="63"/>
      <c r="U1031" s="63"/>
      <c r="V1031" s="63"/>
      <c r="W1031" s="63"/>
      <c r="X1031" s="63"/>
      <c r="Y1031" s="63"/>
      <c r="Z1031" s="63"/>
      <c r="AA1031" s="63"/>
      <c r="AB1031" s="63"/>
      <c r="AC1031" s="63"/>
      <c r="AD1031" s="63"/>
      <c r="AE1031" s="63"/>
      <c r="AF1031" s="63"/>
    </row>
    <row r="1032">
      <c r="A1032" s="135"/>
      <c r="B1032" s="38"/>
      <c r="C1032" s="102"/>
      <c r="D1032" s="109"/>
      <c r="E1032" s="109"/>
      <c r="F1032" s="167"/>
      <c r="G1032" s="159"/>
      <c r="H1032" s="102"/>
      <c r="I1032" s="71"/>
      <c r="J1032" s="63"/>
      <c r="K1032" s="63"/>
      <c r="L1032" s="63"/>
      <c r="M1032" s="63"/>
      <c r="N1032" s="63"/>
      <c r="O1032" s="63"/>
      <c r="P1032" s="63"/>
      <c r="Q1032" s="63"/>
      <c r="R1032" s="63"/>
      <c r="S1032" s="63"/>
      <c r="T1032" s="63"/>
      <c r="U1032" s="63"/>
      <c r="V1032" s="63"/>
      <c r="W1032" s="63"/>
      <c r="X1032" s="63"/>
      <c r="Y1032" s="63"/>
      <c r="Z1032" s="63"/>
      <c r="AA1032" s="63"/>
      <c r="AB1032" s="63"/>
      <c r="AC1032" s="63"/>
      <c r="AD1032" s="63"/>
      <c r="AE1032" s="63"/>
      <c r="AF1032" s="63"/>
    </row>
    <row r="1033">
      <c r="A1033" s="135"/>
      <c r="B1033" s="38"/>
      <c r="C1033" s="102"/>
      <c r="D1033" s="109"/>
      <c r="E1033" s="109"/>
      <c r="F1033" s="167"/>
      <c r="G1033" s="159"/>
      <c r="H1033" s="102"/>
      <c r="I1033" s="71"/>
      <c r="J1033" s="63"/>
      <c r="K1033" s="63"/>
      <c r="L1033" s="63"/>
      <c r="M1033" s="63"/>
      <c r="N1033" s="63"/>
      <c r="O1033" s="63"/>
      <c r="P1033" s="63"/>
      <c r="Q1033" s="63"/>
      <c r="R1033" s="63"/>
      <c r="S1033" s="63"/>
      <c r="T1033" s="63"/>
      <c r="U1033" s="63"/>
      <c r="V1033" s="63"/>
      <c r="W1033" s="63"/>
      <c r="X1033" s="63"/>
      <c r="Y1033" s="63"/>
      <c r="Z1033" s="63"/>
      <c r="AA1033" s="63"/>
      <c r="AB1033" s="63"/>
      <c r="AC1033" s="63"/>
      <c r="AD1033" s="63"/>
      <c r="AE1033" s="63"/>
      <c r="AF1033" s="63"/>
    </row>
    <row r="1034">
      <c r="A1034" s="135"/>
      <c r="B1034" s="38"/>
      <c r="C1034" s="102"/>
      <c r="D1034" s="109"/>
      <c r="E1034" s="109"/>
      <c r="F1034" s="167"/>
      <c r="G1034" s="159"/>
      <c r="H1034" s="102"/>
      <c r="I1034" s="71"/>
      <c r="J1034" s="63"/>
      <c r="K1034" s="63"/>
      <c r="L1034" s="63"/>
      <c r="M1034" s="63"/>
      <c r="N1034" s="63"/>
      <c r="O1034" s="63"/>
      <c r="P1034" s="63"/>
      <c r="Q1034" s="63"/>
      <c r="R1034" s="63"/>
      <c r="S1034" s="63"/>
      <c r="T1034" s="63"/>
      <c r="U1034" s="63"/>
      <c r="V1034" s="63"/>
      <c r="W1034" s="63"/>
      <c r="X1034" s="63"/>
      <c r="Y1034" s="63"/>
      <c r="Z1034" s="63"/>
      <c r="AA1034" s="63"/>
      <c r="AB1034" s="63"/>
      <c r="AC1034" s="63"/>
      <c r="AD1034" s="63"/>
      <c r="AE1034" s="63"/>
      <c r="AF1034" s="63"/>
    </row>
    <row r="1035">
      <c r="A1035" s="135"/>
      <c r="B1035" s="38"/>
      <c r="C1035" s="102"/>
      <c r="D1035" s="109"/>
      <c r="E1035" s="109"/>
      <c r="F1035" s="167"/>
      <c r="G1035" s="159"/>
      <c r="H1035" s="102"/>
      <c r="I1035" s="71"/>
      <c r="J1035" s="63"/>
      <c r="K1035" s="63"/>
      <c r="L1035" s="63"/>
      <c r="M1035" s="63"/>
      <c r="N1035" s="63"/>
      <c r="O1035" s="63"/>
      <c r="P1035" s="63"/>
      <c r="Q1035" s="63"/>
      <c r="R1035" s="63"/>
      <c r="S1035" s="63"/>
      <c r="T1035" s="63"/>
      <c r="U1035" s="63"/>
      <c r="V1035" s="63"/>
      <c r="W1035" s="63"/>
      <c r="X1035" s="63"/>
      <c r="Y1035" s="63"/>
      <c r="Z1035" s="63"/>
      <c r="AA1035" s="63"/>
      <c r="AB1035" s="63"/>
      <c r="AC1035" s="63"/>
      <c r="AD1035" s="63"/>
      <c r="AE1035" s="63"/>
      <c r="AF1035" s="63"/>
    </row>
    <row r="1036">
      <c r="A1036" s="135"/>
      <c r="B1036" s="38"/>
      <c r="C1036" s="102"/>
      <c r="D1036" s="109"/>
      <c r="E1036" s="109"/>
      <c r="F1036" s="167"/>
      <c r="G1036" s="159"/>
      <c r="H1036" s="102"/>
      <c r="I1036" s="71"/>
      <c r="J1036" s="63"/>
      <c r="K1036" s="63"/>
      <c r="L1036" s="63"/>
      <c r="M1036" s="63"/>
      <c r="N1036" s="63"/>
      <c r="O1036" s="63"/>
      <c r="P1036" s="63"/>
      <c r="Q1036" s="63"/>
      <c r="R1036" s="63"/>
      <c r="S1036" s="63"/>
      <c r="T1036" s="63"/>
      <c r="U1036" s="63"/>
      <c r="V1036" s="63"/>
      <c r="W1036" s="63"/>
      <c r="X1036" s="63"/>
      <c r="Y1036" s="63"/>
      <c r="Z1036" s="63"/>
      <c r="AA1036" s="63"/>
      <c r="AB1036" s="63"/>
      <c r="AC1036" s="63"/>
      <c r="AD1036" s="63"/>
      <c r="AE1036" s="63"/>
      <c r="AF1036" s="63"/>
    </row>
    <row r="1037">
      <c r="A1037" s="135"/>
      <c r="B1037" s="38"/>
      <c r="C1037" s="102"/>
      <c r="D1037" s="109"/>
      <c r="E1037" s="109"/>
      <c r="F1037" s="167"/>
      <c r="G1037" s="159"/>
      <c r="H1037" s="102"/>
      <c r="I1037" s="71"/>
      <c r="J1037" s="63"/>
      <c r="K1037" s="63"/>
      <c r="L1037" s="63"/>
      <c r="M1037" s="63"/>
      <c r="N1037" s="63"/>
      <c r="O1037" s="63"/>
      <c r="P1037" s="63"/>
      <c r="Q1037" s="63"/>
      <c r="R1037" s="63"/>
      <c r="S1037" s="63"/>
      <c r="T1037" s="63"/>
      <c r="U1037" s="63"/>
      <c r="V1037" s="63"/>
      <c r="W1037" s="63"/>
      <c r="X1037" s="63"/>
      <c r="Y1037" s="63"/>
      <c r="Z1037" s="63"/>
      <c r="AA1037" s="63"/>
      <c r="AB1037" s="63"/>
      <c r="AC1037" s="63"/>
      <c r="AD1037" s="63"/>
      <c r="AE1037" s="63"/>
      <c r="AF1037" s="63"/>
    </row>
    <row r="1038">
      <c r="A1038" s="135"/>
      <c r="B1038" s="38"/>
      <c r="C1038" s="102"/>
      <c r="D1038" s="109"/>
      <c r="E1038" s="109"/>
      <c r="F1038" s="167"/>
      <c r="G1038" s="159"/>
      <c r="H1038" s="102"/>
      <c r="I1038" s="71"/>
      <c r="J1038" s="63"/>
      <c r="K1038" s="63"/>
      <c r="L1038" s="63"/>
      <c r="M1038" s="63"/>
      <c r="N1038" s="63"/>
      <c r="O1038" s="63"/>
      <c r="P1038" s="63"/>
      <c r="Q1038" s="63"/>
      <c r="R1038" s="63"/>
      <c r="S1038" s="63"/>
      <c r="T1038" s="63"/>
      <c r="U1038" s="63"/>
      <c r="V1038" s="63"/>
      <c r="W1038" s="63"/>
      <c r="X1038" s="63"/>
      <c r="Y1038" s="63"/>
      <c r="Z1038" s="63"/>
      <c r="AA1038" s="63"/>
      <c r="AB1038" s="63"/>
      <c r="AC1038" s="63"/>
      <c r="AD1038" s="63"/>
      <c r="AE1038" s="63"/>
      <c r="AF1038" s="63"/>
    </row>
    <row r="1039">
      <c r="A1039" s="135"/>
      <c r="B1039" s="38"/>
      <c r="C1039" s="102"/>
      <c r="D1039" s="109"/>
      <c r="E1039" s="109"/>
      <c r="F1039" s="167"/>
      <c r="G1039" s="159"/>
      <c r="H1039" s="102"/>
      <c r="I1039" s="71"/>
      <c r="J1039" s="63"/>
      <c r="K1039" s="63"/>
      <c r="L1039" s="63"/>
      <c r="M1039" s="63"/>
      <c r="N1039" s="63"/>
      <c r="O1039" s="63"/>
      <c r="P1039" s="63"/>
      <c r="Q1039" s="63"/>
      <c r="R1039" s="63"/>
      <c r="S1039" s="63"/>
      <c r="T1039" s="63"/>
      <c r="U1039" s="63"/>
      <c r="V1039" s="63"/>
      <c r="W1039" s="63"/>
      <c r="X1039" s="63"/>
      <c r="Y1039" s="63"/>
      <c r="Z1039" s="63"/>
      <c r="AA1039" s="63"/>
      <c r="AB1039" s="63"/>
      <c r="AC1039" s="63"/>
      <c r="AD1039" s="63"/>
      <c r="AE1039" s="63"/>
      <c r="AF1039" s="63"/>
    </row>
    <row r="1040">
      <c r="A1040" s="135"/>
      <c r="B1040" s="38"/>
      <c r="C1040" s="102"/>
      <c r="D1040" s="109"/>
      <c r="E1040" s="109"/>
      <c r="F1040" s="167"/>
      <c r="G1040" s="159"/>
      <c r="H1040" s="102"/>
      <c r="I1040" s="71"/>
      <c r="J1040" s="63"/>
      <c r="K1040" s="63"/>
      <c r="L1040" s="63"/>
      <c r="M1040" s="63"/>
      <c r="N1040" s="63"/>
      <c r="O1040" s="63"/>
      <c r="P1040" s="63"/>
      <c r="Q1040" s="63"/>
      <c r="R1040" s="63"/>
      <c r="S1040" s="63"/>
      <c r="T1040" s="63"/>
      <c r="U1040" s="63"/>
      <c r="V1040" s="63"/>
      <c r="W1040" s="63"/>
      <c r="X1040" s="63"/>
      <c r="Y1040" s="63"/>
      <c r="Z1040" s="63"/>
      <c r="AA1040" s="63"/>
      <c r="AB1040" s="63"/>
      <c r="AC1040" s="63"/>
      <c r="AD1040" s="63"/>
      <c r="AE1040" s="63"/>
      <c r="AF1040" s="63"/>
    </row>
    <row r="1041">
      <c r="A1041" s="135"/>
      <c r="B1041" s="38"/>
      <c r="C1041" s="102"/>
      <c r="D1041" s="109"/>
      <c r="E1041" s="109"/>
      <c r="F1041" s="167"/>
      <c r="G1041" s="159"/>
      <c r="H1041" s="102"/>
      <c r="I1041" s="71"/>
      <c r="J1041" s="63"/>
      <c r="K1041" s="63"/>
      <c r="L1041" s="63"/>
      <c r="M1041" s="63"/>
      <c r="N1041" s="63"/>
      <c r="O1041" s="63"/>
      <c r="P1041" s="63"/>
      <c r="Q1041" s="63"/>
      <c r="R1041" s="63"/>
      <c r="S1041" s="63"/>
      <c r="T1041" s="63"/>
      <c r="U1041" s="63"/>
      <c r="V1041" s="63"/>
      <c r="W1041" s="63"/>
      <c r="X1041" s="63"/>
      <c r="Y1041" s="63"/>
      <c r="Z1041" s="63"/>
      <c r="AA1041" s="63"/>
      <c r="AB1041" s="63"/>
      <c r="AC1041" s="63"/>
      <c r="AD1041" s="63"/>
      <c r="AE1041" s="63"/>
      <c r="AF1041" s="63"/>
    </row>
    <row r="1042">
      <c r="A1042" s="135"/>
      <c r="B1042" s="38"/>
      <c r="C1042" s="102"/>
      <c r="D1042" s="109"/>
      <c r="E1042" s="109"/>
      <c r="F1042" s="167"/>
      <c r="G1042" s="159"/>
      <c r="H1042" s="102"/>
      <c r="I1042" s="71"/>
      <c r="J1042" s="63"/>
      <c r="K1042" s="63"/>
      <c r="L1042" s="63"/>
      <c r="M1042" s="63"/>
      <c r="N1042" s="63"/>
      <c r="O1042" s="63"/>
      <c r="P1042" s="63"/>
      <c r="Q1042" s="63"/>
      <c r="R1042" s="63"/>
      <c r="S1042" s="63"/>
      <c r="T1042" s="63"/>
      <c r="U1042" s="63"/>
      <c r="V1042" s="63"/>
      <c r="W1042" s="63"/>
      <c r="X1042" s="63"/>
      <c r="Y1042" s="63"/>
      <c r="Z1042" s="63"/>
      <c r="AA1042" s="63"/>
      <c r="AB1042" s="63"/>
      <c r="AC1042" s="63"/>
      <c r="AD1042" s="63"/>
      <c r="AE1042" s="63"/>
      <c r="AF1042" s="63"/>
    </row>
    <row r="1043">
      <c r="A1043" s="135"/>
      <c r="B1043" s="38"/>
      <c r="C1043" s="102"/>
      <c r="D1043" s="109"/>
      <c r="E1043" s="109"/>
      <c r="F1043" s="167"/>
      <c r="G1043" s="159"/>
      <c r="H1043" s="102"/>
      <c r="I1043" s="71"/>
      <c r="J1043" s="63"/>
      <c r="K1043" s="63"/>
      <c r="L1043" s="63"/>
      <c r="M1043" s="63"/>
      <c r="N1043" s="63"/>
      <c r="O1043" s="63"/>
      <c r="P1043" s="63"/>
      <c r="Q1043" s="63"/>
      <c r="R1043" s="63"/>
      <c r="S1043" s="63"/>
      <c r="T1043" s="63"/>
      <c r="U1043" s="63"/>
      <c r="V1043" s="63"/>
      <c r="W1043" s="63"/>
      <c r="X1043" s="63"/>
      <c r="Y1043" s="63"/>
      <c r="Z1043" s="63"/>
      <c r="AA1043" s="63"/>
      <c r="AB1043" s="63"/>
      <c r="AC1043" s="63"/>
      <c r="AD1043" s="63"/>
      <c r="AE1043" s="63"/>
      <c r="AF1043" s="63"/>
    </row>
    <row r="1044">
      <c r="A1044" s="135"/>
      <c r="B1044" s="38"/>
      <c r="C1044" s="102"/>
      <c r="D1044" s="109"/>
      <c r="E1044" s="109"/>
      <c r="F1044" s="167"/>
      <c r="G1044" s="159"/>
      <c r="H1044" s="102"/>
      <c r="I1044" s="71"/>
      <c r="J1044" s="63"/>
      <c r="K1044" s="63"/>
      <c r="L1044" s="63"/>
      <c r="M1044" s="63"/>
      <c r="N1044" s="63"/>
      <c r="O1044" s="63"/>
      <c r="P1044" s="63"/>
      <c r="Q1044" s="63"/>
      <c r="R1044" s="63"/>
      <c r="S1044" s="63"/>
      <c r="T1044" s="63"/>
      <c r="U1044" s="63"/>
      <c r="V1044" s="63"/>
      <c r="W1044" s="63"/>
      <c r="X1044" s="63"/>
      <c r="Y1044" s="63"/>
      <c r="Z1044" s="63"/>
      <c r="AA1044" s="63"/>
      <c r="AB1044" s="63"/>
      <c r="AC1044" s="63"/>
      <c r="AD1044" s="63"/>
      <c r="AE1044" s="63"/>
      <c r="AF1044" s="63"/>
    </row>
    <row r="1045">
      <c r="A1045" s="135"/>
      <c r="B1045" s="38"/>
      <c r="C1045" s="102"/>
      <c r="D1045" s="109"/>
      <c r="E1045" s="109"/>
      <c r="F1045" s="167"/>
      <c r="G1045" s="159"/>
      <c r="H1045" s="102"/>
      <c r="I1045" s="71"/>
      <c r="J1045" s="63"/>
      <c r="K1045" s="63"/>
      <c r="L1045" s="63"/>
      <c r="M1045" s="63"/>
      <c r="N1045" s="63"/>
      <c r="O1045" s="63"/>
      <c r="P1045" s="63"/>
      <c r="Q1045" s="63"/>
      <c r="R1045" s="63"/>
      <c r="S1045" s="63"/>
      <c r="T1045" s="63"/>
      <c r="U1045" s="63"/>
      <c r="V1045" s="63"/>
      <c r="W1045" s="63"/>
      <c r="X1045" s="63"/>
      <c r="Y1045" s="63"/>
      <c r="Z1045" s="63"/>
      <c r="AA1045" s="63"/>
      <c r="AB1045" s="63"/>
      <c r="AC1045" s="63"/>
      <c r="AD1045" s="63"/>
      <c r="AE1045" s="63"/>
      <c r="AF1045" s="63"/>
    </row>
    <row r="1046">
      <c r="A1046" s="135"/>
      <c r="B1046" s="38"/>
      <c r="C1046" s="102"/>
      <c r="D1046" s="109"/>
      <c r="E1046" s="109"/>
      <c r="F1046" s="167"/>
      <c r="G1046" s="159"/>
      <c r="H1046" s="102"/>
      <c r="I1046" s="71"/>
      <c r="J1046" s="63"/>
      <c r="K1046" s="63"/>
      <c r="L1046" s="63"/>
      <c r="M1046" s="63"/>
      <c r="N1046" s="63"/>
      <c r="O1046" s="63"/>
      <c r="P1046" s="63"/>
      <c r="Q1046" s="63"/>
      <c r="R1046" s="63"/>
      <c r="S1046" s="63"/>
      <c r="T1046" s="63"/>
      <c r="U1046" s="63"/>
      <c r="V1046" s="63"/>
      <c r="W1046" s="63"/>
      <c r="X1046" s="63"/>
      <c r="Y1046" s="63"/>
      <c r="Z1046" s="63"/>
      <c r="AA1046" s="63"/>
      <c r="AB1046" s="63"/>
      <c r="AC1046" s="63"/>
      <c r="AD1046" s="63"/>
      <c r="AE1046" s="63"/>
      <c r="AF1046" s="63"/>
    </row>
    <row r="1047">
      <c r="A1047" s="135"/>
      <c r="B1047" s="38"/>
      <c r="C1047" s="102"/>
      <c r="D1047" s="109"/>
      <c r="E1047" s="109"/>
      <c r="F1047" s="167"/>
      <c r="G1047" s="159"/>
      <c r="H1047" s="102"/>
      <c r="I1047" s="71"/>
      <c r="J1047" s="63"/>
      <c r="K1047" s="63"/>
      <c r="L1047" s="63"/>
      <c r="M1047" s="63"/>
      <c r="N1047" s="63"/>
      <c r="O1047" s="63"/>
      <c r="P1047" s="63"/>
      <c r="Q1047" s="63"/>
      <c r="R1047" s="63"/>
      <c r="S1047" s="63"/>
      <c r="T1047" s="63"/>
      <c r="U1047" s="63"/>
      <c r="V1047" s="63"/>
      <c r="W1047" s="63"/>
      <c r="X1047" s="63"/>
      <c r="Y1047" s="63"/>
      <c r="Z1047" s="63"/>
      <c r="AA1047" s="63"/>
      <c r="AB1047" s="63"/>
      <c r="AC1047" s="63"/>
      <c r="AD1047" s="63"/>
      <c r="AE1047" s="63"/>
      <c r="AF1047" s="63"/>
    </row>
    <row r="1048">
      <c r="A1048" s="135"/>
      <c r="B1048" s="38"/>
      <c r="C1048" s="102"/>
      <c r="D1048" s="109"/>
      <c r="E1048" s="109"/>
      <c r="F1048" s="167"/>
      <c r="G1048" s="159"/>
      <c r="H1048" s="102"/>
      <c r="I1048" s="71"/>
      <c r="J1048" s="63"/>
      <c r="K1048" s="63"/>
      <c r="L1048" s="63"/>
      <c r="M1048" s="63"/>
      <c r="N1048" s="63"/>
      <c r="O1048" s="63"/>
      <c r="P1048" s="63"/>
      <c r="Q1048" s="63"/>
      <c r="R1048" s="63"/>
      <c r="S1048" s="63"/>
      <c r="T1048" s="63"/>
      <c r="U1048" s="63"/>
      <c r="V1048" s="63"/>
      <c r="W1048" s="63"/>
      <c r="X1048" s="63"/>
      <c r="Y1048" s="63"/>
      <c r="Z1048" s="63"/>
      <c r="AA1048" s="63"/>
      <c r="AB1048" s="63"/>
      <c r="AC1048" s="63"/>
      <c r="AD1048" s="63"/>
      <c r="AE1048" s="63"/>
      <c r="AF1048" s="63"/>
    </row>
    <row r="1049">
      <c r="A1049" s="135"/>
      <c r="B1049" s="38"/>
      <c r="C1049" s="102"/>
      <c r="D1049" s="109"/>
      <c r="E1049" s="109"/>
      <c r="F1049" s="167"/>
      <c r="G1049" s="159"/>
      <c r="H1049" s="102"/>
      <c r="I1049" s="71"/>
      <c r="J1049" s="63"/>
      <c r="K1049" s="63"/>
      <c r="L1049" s="63"/>
      <c r="M1049" s="63"/>
      <c r="N1049" s="63"/>
      <c r="O1049" s="63"/>
      <c r="P1049" s="63"/>
      <c r="Q1049" s="63"/>
      <c r="R1049" s="63"/>
      <c r="S1049" s="63"/>
      <c r="T1049" s="63"/>
      <c r="U1049" s="63"/>
      <c r="V1049" s="63"/>
      <c r="W1049" s="63"/>
      <c r="X1049" s="63"/>
      <c r="Y1049" s="63"/>
      <c r="Z1049" s="63"/>
      <c r="AA1049" s="63"/>
      <c r="AB1049" s="63"/>
      <c r="AC1049" s="63"/>
      <c r="AD1049" s="63"/>
      <c r="AE1049" s="63"/>
      <c r="AF1049" s="63"/>
    </row>
    <row r="1050">
      <c r="A1050" s="135"/>
      <c r="B1050" s="38"/>
      <c r="C1050" s="102"/>
      <c r="D1050" s="109"/>
      <c r="E1050" s="109"/>
      <c r="F1050" s="167"/>
      <c r="G1050" s="159"/>
      <c r="H1050" s="102"/>
      <c r="I1050" s="71"/>
      <c r="J1050" s="63"/>
      <c r="K1050" s="63"/>
      <c r="L1050" s="63"/>
      <c r="M1050" s="63"/>
      <c r="N1050" s="63"/>
      <c r="O1050" s="63"/>
      <c r="P1050" s="63"/>
      <c r="Q1050" s="63"/>
      <c r="R1050" s="63"/>
      <c r="S1050" s="63"/>
      <c r="T1050" s="63"/>
      <c r="U1050" s="63"/>
      <c r="V1050" s="63"/>
      <c r="W1050" s="63"/>
      <c r="X1050" s="63"/>
      <c r="Y1050" s="63"/>
      <c r="Z1050" s="63"/>
      <c r="AA1050" s="63"/>
      <c r="AB1050" s="63"/>
      <c r="AC1050" s="63"/>
      <c r="AD1050" s="63"/>
      <c r="AE1050" s="63"/>
      <c r="AF1050" s="63"/>
    </row>
    <row r="1051">
      <c r="A1051" s="135"/>
      <c r="B1051" s="38"/>
      <c r="C1051" s="102"/>
      <c r="D1051" s="109"/>
      <c r="E1051" s="109"/>
      <c r="F1051" s="167"/>
      <c r="G1051" s="159"/>
      <c r="H1051" s="102"/>
      <c r="I1051" s="71"/>
      <c r="J1051" s="63"/>
      <c r="K1051" s="63"/>
      <c r="L1051" s="63"/>
      <c r="M1051" s="63"/>
      <c r="N1051" s="63"/>
      <c r="O1051" s="63"/>
      <c r="P1051" s="63"/>
      <c r="Q1051" s="63"/>
      <c r="R1051" s="63"/>
      <c r="S1051" s="63"/>
      <c r="T1051" s="63"/>
      <c r="U1051" s="63"/>
      <c r="V1051" s="63"/>
      <c r="W1051" s="63"/>
      <c r="X1051" s="63"/>
      <c r="Y1051" s="63"/>
      <c r="Z1051" s="63"/>
      <c r="AA1051" s="63"/>
      <c r="AB1051" s="63"/>
      <c r="AC1051" s="63"/>
      <c r="AD1051" s="63"/>
      <c r="AE1051" s="63"/>
      <c r="AF1051" s="63"/>
    </row>
    <row r="1052">
      <c r="A1052" s="135"/>
      <c r="B1052" s="38"/>
      <c r="C1052" s="102"/>
      <c r="D1052" s="109"/>
      <c r="E1052" s="109"/>
      <c r="F1052" s="167"/>
      <c r="G1052" s="159"/>
      <c r="H1052" s="102"/>
      <c r="I1052" s="71"/>
      <c r="J1052" s="63"/>
      <c r="K1052" s="63"/>
      <c r="L1052" s="63"/>
      <c r="M1052" s="63"/>
      <c r="N1052" s="63"/>
      <c r="O1052" s="63"/>
      <c r="P1052" s="63"/>
      <c r="Q1052" s="63"/>
      <c r="R1052" s="63"/>
      <c r="S1052" s="63"/>
      <c r="T1052" s="63"/>
      <c r="U1052" s="63"/>
      <c r="V1052" s="63"/>
      <c r="W1052" s="63"/>
      <c r="X1052" s="63"/>
      <c r="Y1052" s="63"/>
      <c r="Z1052" s="63"/>
      <c r="AA1052" s="63"/>
      <c r="AB1052" s="63"/>
      <c r="AC1052" s="63"/>
      <c r="AD1052" s="63"/>
      <c r="AE1052" s="63"/>
      <c r="AF1052" s="63"/>
    </row>
    <row r="1053">
      <c r="A1053" s="135"/>
      <c r="B1053" s="38"/>
      <c r="C1053" s="102"/>
      <c r="D1053" s="109"/>
      <c r="E1053" s="109"/>
      <c r="F1053" s="167"/>
      <c r="G1053" s="159"/>
      <c r="H1053" s="102"/>
      <c r="I1053" s="71"/>
      <c r="J1053" s="63"/>
      <c r="K1053" s="63"/>
      <c r="L1053" s="63"/>
      <c r="M1053" s="63"/>
      <c r="N1053" s="63"/>
      <c r="O1053" s="63"/>
      <c r="P1053" s="63"/>
      <c r="Q1053" s="63"/>
      <c r="R1053" s="63"/>
      <c r="S1053" s="63"/>
      <c r="T1053" s="63"/>
      <c r="U1053" s="63"/>
      <c r="V1053" s="63"/>
      <c r="W1053" s="63"/>
      <c r="X1053" s="63"/>
      <c r="Y1053" s="63"/>
      <c r="Z1053" s="63"/>
      <c r="AA1053" s="63"/>
      <c r="AB1053" s="63"/>
      <c r="AC1053" s="63"/>
      <c r="AD1053" s="63"/>
      <c r="AE1053" s="63"/>
      <c r="AF1053" s="63"/>
    </row>
    <row r="1054">
      <c r="A1054" s="135"/>
      <c r="B1054" s="38"/>
      <c r="C1054" s="102"/>
      <c r="D1054" s="109"/>
      <c r="E1054" s="109"/>
      <c r="F1054" s="167"/>
      <c r="G1054" s="159"/>
      <c r="H1054" s="102"/>
      <c r="I1054" s="71"/>
      <c r="J1054" s="63"/>
      <c r="K1054" s="63"/>
      <c r="L1054" s="63"/>
      <c r="M1054" s="63"/>
      <c r="N1054" s="63"/>
      <c r="O1054" s="63"/>
      <c r="P1054" s="63"/>
      <c r="Q1054" s="63"/>
      <c r="R1054" s="63"/>
      <c r="S1054" s="63"/>
      <c r="T1054" s="63"/>
      <c r="U1054" s="63"/>
      <c r="V1054" s="63"/>
      <c r="W1054" s="63"/>
      <c r="X1054" s="63"/>
      <c r="Y1054" s="63"/>
      <c r="Z1054" s="63"/>
      <c r="AA1054" s="63"/>
      <c r="AB1054" s="63"/>
      <c r="AC1054" s="63"/>
      <c r="AD1054" s="63"/>
      <c r="AE1054" s="63"/>
      <c r="AF1054" s="63"/>
    </row>
    <row r="1055">
      <c r="A1055" s="135"/>
      <c r="B1055" s="38"/>
      <c r="C1055" s="102"/>
      <c r="D1055" s="109"/>
      <c r="E1055" s="109"/>
      <c r="F1055" s="167"/>
      <c r="G1055" s="159"/>
      <c r="H1055" s="102"/>
      <c r="I1055" s="71"/>
      <c r="J1055" s="63"/>
      <c r="K1055" s="63"/>
      <c r="L1055" s="63"/>
      <c r="M1055" s="63"/>
      <c r="N1055" s="63"/>
      <c r="O1055" s="63"/>
      <c r="P1055" s="63"/>
      <c r="Q1055" s="63"/>
      <c r="R1055" s="63"/>
      <c r="S1055" s="63"/>
      <c r="T1055" s="63"/>
      <c r="U1055" s="63"/>
      <c r="V1055" s="63"/>
      <c r="W1055" s="63"/>
      <c r="X1055" s="63"/>
      <c r="Y1055" s="63"/>
      <c r="Z1055" s="63"/>
      <c r="AA1055" s="63"/>
      <c r="AB1055" s="63"/>
      <c r="AC1055" s="63"/>
      <c r="AD1055" s="63"/>
      <c r="AE1055" s="63"/>
      <c r="AF1055" s="63"/>
    </row>
    <row r="1056">
      <c r="A1056" s="135"/>
      <c r="B1056" s="38"/>
      <c r="C1056" s="102"/>
      <c r="D1056" s="109"/>
      <c r="E1056" s="109"/>
      <c r="F1056" s="167"/>
      <c r="G1056" s="159"/>
      <c r="H1056" s="102"/>
      <c r="I1056" s="71"/>
      <c r="J1056" s="63"/>
      <c r="K1056" s="63"/>
      <c r="L1056" s="63"/>
      <c r="M1056" s="63"/>
      <c r="N1056" s="63"/>
      <c r="O1056" s="63"/>
      <c r="P1056" s="63"/>
      <c r="Q1056" s="63"/>
      <c r="R1056" s="63"/>
      <c r="S1056" s="63"/>
      <c r="T1056" s="63"/>
      <c r="U1056" s="63"/>
      <c r="V1056" s="63"/>
      <c r="W1056" s="63"/>
      <c r="X1056" s="63"/>
      <c r="Y1056" s="63"/>
      <c r="Z1056" s="63"/>
      <c r="AA1056" s="63"/>
      <c r="AB1056" s="63"/>
      <c r="AC1056" s="63"/>
      <c r="AD1056" s="63"/>
      <c r="AE1056" s="63"/>
      <c r="AF1056" s="63"/>
    </row>
    <row r="1057">
      <c r="A1057" s="135"/>
      <c r="B1057" s="38"/>
      <c r="C1057" s="102"/>
      <c r="D1057" s="109"/>
      <c r="E1057" s="109"/>
      <c r="F1057" s="167"/>
      <c r="G1057" s="159"/>
      <c r="H1057" s="102"/>
      <c r="I1057" s="71"/>
      <c r="J1057" s="63"/>
      <c r="K1057" s="63"/>
      <c r="L1057" s="63"/>
      <c r="M1057" s="63"/>
      <c r="N1057" s="63"/>
      <c r="O1057" s="63"/>
      <c r="P1057" s="63"/>
      <c r="Q1057" s="63"/>
      <c r="R1057" s="63"/>
      <c r="S1057" s="63"/>
      <c r="T1057" s="63"/>
      <c r="U1057" s="63"/>
      <c r="V1057" s="63"/>
      <c r="W1057" s="63"/>
      <c r="X1057" s="63"/>
      <c r="Y1057" s="63"/>
      <c r="Z1057" s="63"/>
      <c r="AA1057" s="63"/>
      <c r="AB1057" s="63"/>
      <c r="AC1057" s="63"/>
      <c r="AD1057" s="63"/>
      <c r="AE1057" s="63"/>
      <c r="AF1057" s="63"/>
    </row>
    <row r="1058">
      <c r="A1058" s="135"/>
      <c r="B1058" s="38"/>
      <c r="C1058" s="102"/>
      <c r="D1058" s="109"/>
      <c r="E1058" s="109"/>
      <c r="F1058" s="167"/>
      <c r="G1058" s="159"/>
      <c r="H1058" s="102"/>
      <c r="I1058" s="71"/>
      <c r="J1058" s="63"/>
      <c r="K1058" s="63"/>
      <c r="L1058" s="63"/>
      <c r="M1058" s="63"/>
      <c r="N1058" s="63"/>
      <c r="O1058" s="63"/>
      <c r="P1058" s="63"/>
      <c r="Q1058" s="63"/>
      <c r="R1058" s="63"/>
      <c r="S1058" s="63"/>
      <c r="T1058" s="63"/>
      <c r="U1058" s="63"/>
      <c r="V1058" s="63"/>
      <c r="W1058" s="63"/>
      <c r="X1058" s="63"/>
      <c r="Y1058" s="63"/>
      <c r="Z1058" s="63"/>
      <c r="AA1058" s="63"/>
      <c r="AB1058" s="63"/>
      <c r="AC1058" s="63"/>
      <c r="AD1058" s="63"/>
      <c r="AE1058" s="63"/>
      <c r="AF1058" s="63"/>
    </row>
    <row r="1059">
      <c r="A1059" s="135"/>
      <c r="B1059" s="38"/>
      <c r="C1059" s="102"/>
      <c r="D1059" s="109"/>
      <c r="E1059" s="109"/>
      <c r="F1059" s="167"/>
      <c r="G1059" s="159"/>
      <c r="H1059" s="102"/>
      <c r="I1059" s="71"/>
      <c r="J1059" s="63"/>
      <c r="K1059" s="63"/>
      <c r="L1059" s="63"/>
      <c r="M1059" s="63"/>
      <c r="N1059" s="63"/>
      <c r="O1059" s="63"/>
      <c r="P1059" s="63"/>
      <c r="Q1059" s="63"/>
      <c r="R1059" s="63"/>
      <c r="S1059" s="63"/>
      <c r="T1059" s="63"/>
      <c r="U1059" s="63"/>
      <c r="V1059" s="63"/>
      <c r="W1059" s="63"/>
      <c r="X1059" s="63"/>
      <c r="Y1059" s="63"/>
      <c r="Z1059" s="63"/>
      <c r="AA1059" s="63"/>
      <c r="AB1059" s="63"/>
      <c r="AC1059" s="63"/>
      <c r="AD1059" s="63"/>
      <c r="AE1059" s="63"/>
      <c r="AF1059" s="63"/>
    </row>
    <row r="1060">
      <c r="A1060" s="135"/>
      <c r="B1060" s="38"/>
      <c r="C1060" s="102"/>
      <c r="D1060" s="109"/>
      <c r="E1060" s="109"/>
      <c r="F1060" s="167"/>
      <c r="G1060" s="159"/>
      <c r="H1060" s="102"/>
      <c r="I1060" s="71"/>
      <c r="J1060" s="63"/>
      <c r="K1060" s="63"/>
      <c r="L1060" s="63"/>
      <c r="M1060" s="63"/>
      <c r="N1060" s="63"/>
      <c r="O1060" s="63"/>
      <c r="P1060" s="63"/>
      <c r="Q1060" s="63"/>
      <c r="R1060" s="63"/>
      <c r="S1060" s="63"/>
      <c r="T1060" s="63"/>
      <c r="U1060" s="63"/>
      <c r="V1060" s="63"/>
      <c r="W1060" s="63"/>
      <c r="X1060" s="63"/>
      <c r="Y1060" s="63"/>
      <c r="Z1060" s="63"/>
      <c r="AA1060" s="63"/>
      <c r="AB1060" s="63"/>
      <c r="AC1060" s="63"/>
      <c r="AD1060" s="63"/>
      <c r="AE1060" s="63"/>
      <c r="AF1060" s="63"/>
    </row>
    <row r="1061">
      <c r="A1061" s="135"/>
      <c r="B1061" s="38"/>
      <c r="C1061" s="102"/>
      <c r="D1061" s="109"/>
      <c r="E1061" s="109"/>
      <c r="F1061" s="167"/>
      <c r="G1061" s="159"/>
      <c r="H1061" s="102"/>
      <c r="I1061" s="71"/>
      <c r="J1061" s="63"/>
      <c r="K1061" s="63"/>
      <c r="L1061" s="63"/>
      <c r="M1061" s="63"/>
      <c r="N1061" s="63"/>
      <c r="O1061" s="63"/>
      <c r="P1061" s="63"/>
      <c r="Q1061" s="63"/>
      <c r="R1061" s="63"/>
      <c r="S1061" s="63"/>
      <c r="T1061" s="63"/>
      <c r="U1061" s="63"/>
      <c r="V1061" s="63"/>
      <c r="W1061" s="63"/>
      <c r="X1061" s="63"/>
      <c r="Y1061" s="63"/>
      <c r="Z1061" s="63"/>
      <c r="AA1061" s="63"/>
      <c r="AB1061" s="63"/>
      <c r="AC1061" s="63"/>
      <c r="AD1061" s="63"/>
      <c r="AE1061" s="63"/>
      <c r="AF1061" s="63"/>
    </row>
    <row r="1062">
      <c r="A1062" s="135"/>
      <c r="B1062" s="38"/>
      <c r="C1062" s="102"/>
      <c r="D1062" s="109"/>
      <c r="E1062" s="109"/>
      <c r="F1062" s="167"/>
      <c r="G1062" s="159"/>
      <c r="H1062" s="102"/>
      <c r="I1062" s="71"/>
      <c r="J1062" s="63"/>
      <c r="K1062" s="63"/>
      <c r="L1062" s="63"/>
      <c r="M1062" s="63"/>
      <c r="N1062" s="63"/>
      <c r="O1062" s="63"/>
      <c r="P1062" s="63"/>
      <c r="Q1062" s="63"/>
      <c r="R1062" s="63"/>
      <c r="S1062" s="63"/>
      <c r="T1062" s="63"/>
      <c r="U1062" s="63"/>
      <c r="V1062" s="63"/>
      <c r="W1062" s="63"/>
      <c r="X1062" s="63"/>
      <c r="Y1062" s="63"/>
      <c r="Z1062" s="63"/>
      <c r="AA1062" s="63"/>
      <c r="AB1062" s="63"/>
      <c r="AC1062" s="63"/>
      <c r="AD1062" s="63"/>
      <c r="AE1062" s="63"/>
      <c r="AF1062" s="63"/>
    </row>
    <row r="1063">
      <c r="A1063" s="135"/>
      <c r="B1063" s="38"/>
      <c r="C1063" s="102"/>
      <c r="D1063" s="109"/>
      <c r="E1063" s="109"/>
      <c r="F1063" s="167"/>
      <c r="G1063" s="159"/>
      <c r="H1063" s="102"/>
      <c r="I1063" s="71"/>
      <c r="J1063" s="63"/>
      <c r="K1063" s="63"/>
      <c r="L1063" s="63"/>
      <c r="M1063" s="63"/>
      <c r="N1063" s="63"/>
      <c r="O1063" s="63"/>
      <c r="P1063" s="63"/>
      <c r="Q1063" s="63"/>
      <c r="R1063" s="63"/>
      <c r="S1063" s="63"/>
      <c r="T1063" s="63"/>
      <c r="U1063" s="63"/>
      <c r="V1063" s="63"/>
      <c r="W1063" s="63"/>
      <c r="X1063" s="63"/>
      <c r="Y1063" s="63"/>
      <c r="Z1063" s="63"/>
      <c r="AA1063" s="63"/>
      <c r="AB1063" s="63"/>
      <c r="AC1063" s="63"/>
      <c r="AD1063" s="63"/>
      <c r="AE1063" s="63"/>
      <c r="AF1063" s="63"/>
    </row>
    <row r="1064">
      <c r="A1064" s="135"/>
      <c r="B1064" s="38"/>
      <c r="C1064" s="102"/>
      <c r="D1064" s="109"/>
      <c r="E1064" s="109"/>
      <c r="F1064" s="167"/>
      <c r="G1064" s="159"/>
      <c r="H1064" s="102"/>
      <c r="I1064" s="71"/>
      <c r="J1064" s="63"/>
      <c r="K1064" s="63"/>
      <c r="L1064" s="63"/>
      <c r="M1064" s="63"/>
      <c r="N1064" s="63"/>
      <c r="O1064" s="63"/>
      <c r="P1064" s="63"/>
      <c r="Q1064" s="63"/>
      <c r="R1064" s="63"/>
      <c r="S1064" s="63"/>
      <c r="T1064" s="63"/>
      <c r="U1064" s="63"/>
      <c r="V1064" s="63"/>
      <c r="W1064" s="63"/>
      <c r="X1064" s="63"/>
      <c r="Y1064" s="63"/>
      <c r="Z1064" s="63"/>
      <c r="AA1064" s="63"/>
      <c r="AB1064" s="63"/>
      <c r="AC1064" s="63"/>
      <c r="AD1064" s="63"/>
      <c r="AE1064" s="63"/>
      <c r="AF1064" s="63"/>
    </row>
    <row r="1065">
      <c r="A1065" s="135"/>
      <c r="B1065" s="38"/>
      <c r="C1065" s="102"/>
      <c r="D1065" s="109"/>
      <c r="E1065" s="109"/>
      <c r="F1065" s="167"/>
      <c r="G1065" s="159"/>
      <c r="H1065" s="102"/>
      <c r="I1065" s="71"/>
      <c r="J1065" s="63"/>
      <c r="K1065" s="63"/>
      <c r="L1065" s="63"/>
      <c r="M1065" s="63"/>
      <c r="N1065" s="63"/>
      <c r="O1065" s="63"/>
      <c r="P1065" s="63"/>
      <c r="Q1065" s="63"/>
      <c r="R1065" s="63"/>
      <c r="S1065" s="63"/>
      <c r="T1065" s="63"/>
      <c r="U1065" s="63"/>
      <c r="V1065" s="63"/>
      <c r="W1065" s="63"/>
      <c r="X1065" s="63"/>
      <c r="Y1065" s="63"/>
      <c r="Z1065" s="63"/>
      <c r="AA1065" s="63"/>
      <c r="AB1065" s="63"/>
      <c r="AC1065" s="63"/>
      <c r="AD1065" s="63"/>
      <c r="AE1065" s="63"/>
      <c r="AF1065" s="63"/>
    </row>
    <row r="1066">
      <c r="A1066" s="135"/>
      <c r="B1066" s="38"/>
      <c r="C1066" s="102"/>
      <c r="D1066" s="109"/>
      <c r="E1066" s="109"/>
      <c r="F1066" s="167"/>
      <c r="G1066" s="159"/>
      <c r="H1066" s="102"/>
      <c r="I1066" s="71"/>
      <c r="J1066" s="63"/>
      <c r="K1066" s="63"/>
      <c r="L1066" s="63"/>
      <c r="M1066" s="63"/>
      <c r="N1066" s="63"/>
      <c r="O1066" s="63"/>
      <c r="P1066" s="63"/>
      <c r="Q1066" s="63"/>
      <c r="R1066" s="63"/>
      <c r="S1066" s="63"/>
      <c r="T1066" s="63"/>
      <c r="U1066" s="63"/>
      <c r="V1066" s="63"/>
      <c r="W1066" s="63"/>
      <c r="X1066" s="63"/>
      <c r="Y1066" s="63"/>
      <c r="Z1066" s="63"/>
      <c r="AA1066" s="63"/>
      <c r="AB1066" s="63"/>
      <c r="AC1066" s="63"/>
      <c r="AD1066" s="63"/>
      <c r="AE1066" s="63"/>
      <c r="AF1066" s="63"/>
    </row>
    <row r="1067">
      <c r="A1067" s="135"/>
      <c r="B1067" s="38"/>
      <c r="C1067" s="102"/>
      <c r="D1067" s="109"/>
      <c r="E1067" s="109"/>
      <c r="F1067" s="167"/>
      <c r="G1067" s="159"/>
      <c r="H1067" s="102"/>
      <c r="I1067" s="71"/>
      <c r="J1067" s="63"/>
      <c r="K1067" s="63"/>
      <c r="L1067" s="63"/>
      <c r="M1067" s="63"/>
      <c r="N1067" s="63"/>
      <c r="O1067" s="63"/>
      <c r="P1067" s="63"/>
      <c r="Q1067" s="63"/>
      <c r="R1067" s="63"/>
      <c r="S1067" s="63"/>
      <c r="T1067" s="63"/>
      <c r="U1067" s="63"/>
      <c r="V1067" s="63"/>
      <c r="W1067" s="63"/>
      <c r="X1067" s="63"/>
      <c r="Y1067" s="63"/>
      <c r="Z1067" s="63"/>
      <c r="AA1067" s="63"/>
      <c r="AB1067" s="63"/>
      <c r="AC1067" s="63"/>
      <c r="AD1067" s="63"/>
      <c r="AE1067" s="63"/>
      <c r="AF1067" s="63"/>
    </row>
    <row r="1068">
      <c r="A1068" s="135"/>
      <c r="B1068" s="38"/>
      <c r="C1068" s="102"/>
      <c r="D1068" s="109"/>
      <c r="E1068" s="109"/>
      <c r="F1068" s="167"/>
      <c r="G1068" s="159"/>
      <c r="H1068" s="102"/>
      <c r="I1068" s="71"/>
      <c r="J1068" s="63"/>
      <c r="K1068" s="63"/>
      <c r="L1068" s="63"/>
      <c r="M1068" s="63"/>
      <c r="N1068" s="63"/>
      <c r="O1068" s="63"/>
      <c r="P1068" s="63"/>
      <c r="Q1068" s="63"/>
      <c r="R1068" s="63"/>
      <c r="S1068" s="63"/>
      <c r="T1068" s="63"/>
      <c r="U1068" s="63"/>
      <c r="V1068" s="63"/>
      <c r="W1068" s="63"/>
      <c r="X1068" s="63"/>
      <c r="Y1068" s="63"/>
      <c r="Z1068" s="63"/>
      <c r="AA1068" s="63"/>
      <c r="AB1068" s="63"/>
      <c r="AC1068" s="63"/>
      <c r="AD1068" s="63"/>
      <c r="AE1068" s="63"/>
      <c r="AF1068" s="63"/>
    </row>
    <row r="1069">
      <c r="A1069" s="135"/>
      <c r="B1069" s="38"/>
      <c r="C1069" s="102"/>
      <c r="D1069" s="109"/>
      <c r="E1069" s="109"/>
      <c r="F1069" s="167"/>
      <c r="G1069" s="159"/>
      <c r="H1069" s="102"/>
      <c r="I1069" s="71"/>
      <c r="J1069" s="63"/>
      <c r="K1069" s="63"/>
      <c r="L1069" s="63"/>
      <c r="M1069" s="63"/>
      <c r="N1069" s="63"/>
      <c r="O1069" s="63"/>
      <c r="P1069" s="63"/>
      <c r="Q1069" s="63"/>
      <c r="R1069" s="63"/>
      <c r="S1069" s="63"/>
      <c r="T1069" s="63"/>
      <c r="U1069" s="63"/>
      <c r="V1069" s="63"/>
      <c r="W1069" s="63"/>
      <c r="X1069" s="63"/>
      <c r="Y1069" s="63"/>
      <c r="Z1069" s="63"/>
      <c r="AA1069" s="63"/>
      <c r="AB1069" s="63"/>
      <c r="AC1069" s="63"/>
      <c r="AD1069" s="63"/>
      <c r="AE1069" s="63"/>
      <c r="AF1069" s="63"/>
    </row>
    <row r="1070">
      <c r="A1070" s="135"/>
      <c r="B1070" s="38"/>
      <c r="C1070" s="102"/>
      <c r="D1070" s="109"/>
      <c r="E1070" s="109"/>
      <c r="F1070" s="167"/>
      <c r="G1070" s="159"/>
      <c r="H1070" s="102"/>
      <c r="I1070" s="71"/>
      <c r="J1070" s="63"/>
      <c r="K1070" s="63"/>
      <c r="L1070" s="63"/>
      <c r="M1070" s="63"/>
      <c r="N1070" s="63"/>
      <c r="O1070" s="63"/>
      <c r="P1070" s="63"/>
      <c r="Q1070" s="63"/>
      <c r="R1070" s="63"/>
      <c r="S1070" s="63"/>
      <c r="T1070" s="63"/>
      <c r="U1070" s="63"/>
      <c r="V1070" s="63"/>
      <c r="W1070" s="63"/>
      <c r="X1070" s="63"/>
      <c r="Y1070" s="63"/>
      <c r="Z1070" s="63"/>
      <c r="AA1070" s="63"/>
      <c r="AB1070" s="63"/>
      <c r="AC1070" s="63"/>
      <c r="AD1070" s="63"/>
      <c r="AE1070" s="63"/>
      <c r="AF1070" s="63"/>
    </row>
    <row r="1071">
      <c r="A1071" s="135"/>
      <c r="B1071" s="38"/>
      <c r="C1071" s="102"/>
      <c r="D1071" s="109"/>
      <c r="E1071" s="109"/>
      <c r="F1071" s="167"/>
      <c r="G1071" s="159"/>
      <c r="H1071" s="102"/>
      <c r="I1071" s="71"/>
      <c r="J1071" s="63"/>
      <c r="K1071" s="63"/>
      <c r="L1071" s="63"/>
      <c r="M1071" s="63"/>
      <c r="N1071" s="63"/>
      <c r="O1071" s="63"/>
      <c r="P1071" s="63"/>
      <c r="Q1071" s="63"/>
      <c r="R1071" s="63"/>
      <c r="S1071" s="63"/>
      <c r="T1071" s="63"/>
      <c r="U1071" s="63"/>
      <c r="V1071" s="63"/>
      <c r="W1071" s="63"/>
      <c r="X1071" s="63"/>
      <c r="Y1071" s="63"/>
      <c r="Z1071" s="63"/>
      <c r="AA1071" s="63"/>
      <c r="AB1071" s="63"/>
      <c r="AC1071" s="63"/>
      <c r="AD1071" s="63"/>
      <c r="AE1071" s="63"/>
      <c r="AF1071" s="63"/>
    </row>
    <row r="1072">
      <c r="A1072" s="135"/>
      <c r="B1072" s="38"/>
      <c r="C1072" s="102"/>
      <c r="D1072" s="109"/>
      <c r="E1072" s="109"/>
      <c r="F1072" s="167"/>
      <c r="G1072" s="159"/>
      <c r="H1072" s="102"/>
      <c r="I1072" s="71"/>
      <c r="J1072" s="63"/>
      <c r="K1072" s="63"/>
      <c r="L1072" s="63"/>
      <c r="M1072" s="63"/>
      <c r="N1072" s="63"/>
      <c r="O1072" s="63"/>
      <c r="P1072" s="63"/>
      <c r="Q1072" s="63"/>
      <c r="R1072" s="63"/>
      <c r="S1072" s="63"/>
      <c r="T1072" s="63"/>
      <c r="U1072" s="63"/>
      <c r="V1072" s="63"/>
      <c r="W1072" s="63"/>
      <c r="X1072" s="63"/>
      <c r="Y1072" s="63"/>
      <c r="Z1072" s="63"/>
      <c r="AA1072" s="63"/>
      <c r="AB1072" s="63"/>
      <c r="AC1072" s="63"/>
      <c r="AD1072" s="63"/>
      <c r="AE1072" s="63"/>
      <c r="AF1072" s="63"/>
    </row>
    <row r="1073">
      <c r="A1073" s="135"/>
      <c r="B1073" s="38"/>
      <c r="C1073" s="102"/>
      <c r="D1073" s="109"/>
      <c r="E1073" s="109"/>
      <c r="F1073" s="167"/>
      <c r="G1073" s="159"/>
      <c r="H1073" s="102"/>
      <c r="I1073" s="71"/>
      <c r="J1073" s="63"/>
      <c r="K1073" s="63"/>
      <c r="L1073" s="63"/>
      <c r="M1073" s="63"/>
      <c r="N1073" s="63"/>
      <c r="O1073" s="63"/>
      <c r="P1073" s="63"/>
      <c r="Q1073" s="63"/>
      <c r="R1073" s="63"/>
      <c r="S1073" s="63"/>
      <c r="T1073" s="63"/>
      <c r="U1073" s="63"/>
      <c r="V1073" s="63"/>
      <c r="W1073" s="63"/>
      <c r="X1073" s="63"/>
      <c r="Y1073" s="63"/>
      <c r="Z1073" s="63"/>
      <c r="AA1073" s="63"/>
      <c r="AB1073" s="63"/>
      <c r="AC1073" s="63"/>
      <c r="AD1073" s="63"/>
      <c r="AE1073" s="63"/>
      <c r="AF1073" s="63"/>
    </row>
    <row r="1074">
      <c r="A1074" s="135"/>
      <c r="B1074" s="38"/>
      <c r="C1074" s="102"/>
      <c r="D1074" s="109"/>
      <c r="E1074" s="109"/>
      <c r="F1074" s="167"/>
      <c r="G1074" s="159"/>
      <c r="H1074" s="102"/>
      <c r="I1074" s="71"/>
      <c r="J1074" s="63"/>
      <c r="K1074" s="63"/>
      <c r="L1074" s="63"/>
      <c r="M1074" s="63"/>
      <c r="N1074" s="63"/>
      <c r="O1074" s="63"/>
      <c r="P1074" s="63"/>
      <c r="Q1074" s="63"/>
      <c r="R1074" s="63"/>
      <c r="S1074" s="63"/>
      <c r="T1074" s="63"/>
      <c r="U1074" s="63"/>
      <c r="V1074" s="63"/>
      <c r="W1074" s="63"/>
      <c r="X1074" s="63"/>
      <c r="Y1074" s="63"/>
      <c r="Z1074" s="63"/>
      <c r="AA1074" s="63"/>
      <c r="AB1074" s="63"/>
      <c r="AC1074" s="63"/>
      <c r="AD1074" s="63"/>
      <c r="AE1074" s="63"/>
      <c r="AF1074" s="63"/>
    </row>
    <row r="1075">
      <c r="A1075" s="135"/>
      <c r="B1075" s="38"/>
      <c r="C1075" s="102"/>
      <c r="D1075" s="109"/>
      <c r="E1075" s="109"/>
      <c r="F1075" s="167"/>
      <c r="G1075" s="159"/>
      <c r="H1075" s="102"/>
      <c r="I1075" s="71"/>
      <c r="J1075" s="63"/>
      <c r="K1075" s="63"/>
      <c r="L1075" s="63"/>
      <c r="M1075" s="63"/>
      <c r="N1075" s="63"/>
      <c r="O1075" s="63"/>
      <c r="P1075" s="63"/>
      <c r="Q1075" s="63"/>
      <c r="R1075" s="63"/>
      <c r="S1075" s="63"/>
      <c r="T1075" s="63"/>
      <c r="U1075" s="63"/>
      <c r="V1075" s="63"/>
      <c r="W1075" s="63"/>
      <c r="X1075" s="63"/>
      <c r="Y1075" s="63"/>
      <c r="Z1075" s="63"/>
      <c r="AA1075" s="63"/>
      <c r="AB1075" s="63"/>
      <c r="AC1075" s="63"/>
      <c r="AD1075" s="63"/>
      <c r="AE1075" s="63"/>
      <c r="AF1075" s="63"/>
    </row>
    <row r="1076">
      <c r="A1076" s="135"/>
      <c r="B1076" s="38"/>
      <c r="C1076" s="102"/>
      <c r="D1076" s="109"/>
      <c r="E1076" s="109"/>
      <c r="F1076" s="167"/>
      <c r="G1076" s="159"/>
      <c r="H1076" s="102"/>
      <c r="I1076" s="71"/>
      <c r="J1076" s="63"/>
      <c r="K1076" s="63"/>
      <c r="L1076" s="63"/>
      <c r="M1076" s="63"/>
      <c r="N1076" s="63"/>
      <c r="O1076" s="63"/>
      <c r="P1076" s="63"/>
      <c r="Q1076" s="63"/>
      <c r="R1076" s="63"/>
      <c r="S1076" s="63"/>
      <c r="T1076" s="63"/>
      <c r="U1076" s="63"/>
      <c r="V1076" s="63"/>
      <c r="W1076" s="63"/>
      <c r="X1076" s="63"/>
      <c r="Y1076" s="63"/>
      <c r="Z1076" s="63"/>
      <c r="AA1076" s="63"/>
      <c r="AB1076" s="63"/>
      <c r="AC1076" s="63"/>
      <c r="AD1076" s="63"/>
      <c r="AE1076" s="63"/>
      <c r="AF1076" s="63"/>
    </row>
    <row r="1077">
      <c r="A1077" s="135"/>
      <c r="B1077" s="38"/>
      <c r="C1077" s="102"/>
      <c r="D1077" s="109"/>
      <c r="E1077" s="109"/>
      <c r="F1077" s="167"/>
      <c r="G1077" s="159"/>
      <c r="H1077" s="102"/>
      <c r="I1077" s="71"/>
      <c r="J1077" s="63"/>
      <c r="K1077" s="63"/>
      <c r="L1077" s="63"/>
      <c r="M1077" s="63"/>
      <c r="N1077" s="63"/>
      <c r="O1077" s="63"/>
      <c r="P1077" s="63"/>
      <c r="Q1077" s="63"/>
      <c r="R1077" s="63"/>
      <c r="S1077" s="63"/>
      <c r="T1077" s="63"/>
      <c r="U1077" s="63"/>
      <c r="V1077" s="63"/>
      <c r="W1077" s="63"/>
      <c r="X1077" s="63"/>
      <c r="Y1077" s="63"/>
      <c r="Z1077" s="63"/>
      <c r="AA1077" s="63"/>
      <c r="AB1077" s="63"/>
      <c r="AC1077" s="63"/>
      <c r="AD1077" s="63"/>
      <c r="AE1077" s="63"/>
      <c r="AF1077" s="63"/>
    </row>
    <row r="1078">
      <c r="A1078" s="135"/>
      <c r="B1078" s="38"/>
      <c r="C1078" s="102"/>
      <c r="D1078" s="109"/>
      <c r="E1078" s="109"/>
      <c r="F1078" s="167"/>
      <c r="G1078" s="159"/>
      <c r="H1078" s="102"/>
      <c r="I1078" s="71"/>
      <c r="J1078" s="63"/>
      <c r="K1078" s="63"/>
      <c r="L1078" s="63"/>
      <c r="M1078" s="63"/>
      <c r="N1078" s="63"/>
      <c r="O1078" s="63"/>
      <c r="P1078" s="63"/>
      <c r="Q1078" s="63"/>
      <c r="R1078" s="63"/>
      <c r="S1078" s="63"/>
      <c r="T1078" s="63"/>
      <c r="U1078" s="63"/>
      <c r="V1078" s="63"/>
      <c r="W1078" s="63"/>
      <c r="X1078" s="63"/>
      <c r="Y1078" s="63"/>
      <c r="Z1078" s="63"/>
      <c r="AA1078" s="63"/>
      <c r="AB1078" s="63"/>
      <c r="AC1078" s="63"/>
      <c r="AD1078" s="63"/>
      <c r="AE1078" s="63"/>
      <c r="AF1078" s="63"/>
    </row>
    <row r="1079">
      <c r="A1079" s="135"/>
      <c r="B1079" s="38"/>
      <c r="C1079" s="102"/>
      <c r="D1079" s="109"/>
      <c r="E1079" s="109"/>
      <c r="F1079" s="167"/>
      <c r="G1079" s="159"/>
      <c r="H1079" s="102"/>
      <c r="I1079" s="71"/>
      <c r="J1079" s="63"/>
      <c r="K1079" s="63"/>
      <c r="L1079" s="63"/>
      <c r="M1079" s="63"/>
      <c r="N1079" s="63"/>
      <c r="O1079" s="63"/>
      <c r="P1079" s="63"/>
      <c r="Q1079" s="63"/>
      <c r="R1079" s="63"/>
      <c r="S1079" s="63"/>
      <c r="T1079" s="63"/>
      <c r="U1079" s="63"/>
      <c r="V1079" s="63"/>
      <c r="W1079" s="63"/>
      <c r="X1079" s="63"/>
      <c r="Y1079" s="63"/>
      <c r="Z1079" s="63"/>
      <c r="AA1079" s="63"/>
      <c r="AB1079" s="63"/>
      <c r="AC1079" s="63"/>
      <c r="AD1079" s="63"/>
      <c r="AE1079" s="63"/>
      <c r="AF1079" s="63"/>
    </row>
    <row r="1080">
      <c r="A1080" s="135"/>
      <c r="B1080" s="38"/>
      <c r="C1080" s="102"/>
      <c r="D1080" s="109"/>
      <c r="E1080" s="109"/>
      <c r="F1080" s="167"/>
      <c r="G1080" s="159"/>
      <c r="H1080" s="102"/>
      <c r="I1080" s="71"/>
      <c r="J1080" s="63"/>
      <c r="K1080" s="63"/>
      <c r="L1080" s="63"/>
      <c r="M1080" s="63"/>
      <c r="N1080" s="63"/>
      <c r="O1080" s="63"/>
      <c r="P1080" s="63"/>
      <c r="Q1080" s="63"/>
      <c r="R1080" s="63"/>
      <c r="S1080" s="63"/>
      <c r="T1080" s="63"/>
      <c r="U1080" s="63"/>
      <c r="V1080" s="63"/>
      <c r="W1080" s="63"/>
      <c r="X1080" s="63"/>
      <c r="Y1080" s="63"/>
      <c r="Z1080" s="63"/>
      <c r="AA1080" s="63"/>
      <c r="AB1080" s="63"/>
      <c r="AC1080" s="63"/>
      <c r="AD1080" s="63"/>
      <c r="AE1080" s="63"/>
      <c r="AF1080" s="63"/>
    </row>
    <row r="1081">
      <c r="A1081" s="135"/>
      <c r="B1081" s="38"/>
      <c r="C1081" s="102"/>
      <c r="D1081" s="109"/>
      <c r="E1081" s="109"/>
      <c r="F1081" s="167"/>
      <c r="G1081" s="159"/>
      <c r="H1081" s="102"/>
      <c r="I1081" s="71"/>
      <c r="J1081" s="63"/>
      <c r="K1081" s="63"/>
      <c r="L1081" s="63"/>
      <c r="M1081" s="63"/>
      <c r="N1081" s="63"/>
      <c r="O1081" s="63"/>
      <c r="P1081" s="63"/>
      <c r="Q1081" s="63"/>
      <c r="R1081" s="63"/>
      <c r="S1081" s="63"/>
      <c r="T1081" s="63"/>
      <c r="U1081" s="63"/>
      <c r="V1081" s="63"/>
      <c r="W1081" s="63"/>
      <c r="X1081" s="63"/>
      <c r="Y1081" s="63"/>
      <c r="Z1081" s="63"/>
      <c r="AA1081" s="63"/>
      <c r="AB1081" s="63"/>
      <c r="AC1081" s="63"/>
      <c r="AD1081" s="63"/>
      <c r="AE1081" s="63"/>
      <c r="AF1081" s="63"/>
    </row>
    <row r="1082">
      <c r="A1082" s="135"/>
      <c r="B1082" s="38"/>
      <c r="C1082" s="102"/>
      <c r="D1082" s="109"/>
      <c r="E1082" s="109"/>
      <c r="F1082" s="167"/>
      <c r="G1082" s="159"/>
      <c r="H1082" s="102"/>
      <c r="I1082" s="71"/>
      <c r="J1082" s="63"/>
      <c r="K1082" s="63"/>
      <c r="L1082" s="63"/>
      <c r="M1082" s="63"/>
      <c r="N1082" s="63"/>
      <c r="O1082" s="63"/>
      <c r="P1082" s="63"/>
      <c r="Q1082" s="63"/>
      <c r="R1082" s="63"/>
      <c r="S1082" s="63"/>
      <c r="T1082" s="63"/>
      <c r="U1082" s="63"/>
      <c r="V1082" s="63"/>
      <c r="W1082" s="63"/>
      <c r="X1082" s="63"/>
      <c r="Y1082" s="63"/>
      <c r="Z1082" s="63"/>
      <c r="AA1082" s="63"/>
      <c r="AB1082" s="63"/>
      <c r="AC1082" s="63"/>
      <c r="AD1082" s="63"/>
      <c r="AE1082" s="63"/>
      <c r="AF1082" s="63"/>
    </row>
    <row r="1083">
      <c r="A1083" s="135"/>
      <c r="B1083" s="38"/>
      <c r="C1083" s="102"/>
      <c r="D1083" s="109"/>
      <c r="E1083" s="109"/>
      <c r="F1083" s="167"/>
      <c r="G1083" s="159"/>
      <c r="H1083" s="102"/>
      <c r="I1083" s="71"/>
      <c r="J1083" s="63"/>
      <c r="K1083" s="63"/>
      <c r="L1083" s="63"/>
      <c r="M1083" s="63"/>
      <c r="N1083" s="63"/>
      <c r="O1083" s="63"/>
      <c r="P1083" s="63"/>
      <c r="Q1083" s="63"/>
      <c r="R1083" s="63"/>
      <c r="S1083" s="63"/>
      <c r="T1083" s="63"/>
      <c r="U1083" s="63"/>
      <c r="V1083" s="63"/>
      <c r="W1083" s="63"/>
      <c r="X1083" s="63"/>
      <c r="Y1083" s="63"/>
      <c r="Z1083" s="63"/>
      <c r="AA1083" s="63"/>
      <c r="AB1083" s="63"/>
      <c r="AC1083" s="63"/>
      <c r="AD1083" s="63"/>
      <c r="AE1083" s="63"/>
      <c r="AF1083" s="63"/>
    </row>
    <row r="1084">
      <c r="A1084" s="135"/>
      <c r="B1084" s="38"/>
      <c r="C1084" s="102"/>
      <c r="D1084" s="109"/>
      <c r="E1084" s="109"/>
      <c r="F1084" s="167"/>
      <c r="G1084" s="159"/>
      <c r="H1084" s="102"/>
      <c r="I1084" s="71"/>
      <c r="J1084" s="63"/>
      <c r="K1084" s="63"/>
      <c r="L1084" s="63"/>
      <c r="M1084" s="63"/>
      <c r="N1084" s="63"/>
      <c r="O1084" s="63"/>
      <c r="P1084" s="63"/>
      <c r="Q1084" s="63"/>
      <c r="R1084" s="63"/>
      <c r="S1084" s="63"/>
      <c r="T1084" s="63"/>
      <c r="U1084" s="63"/>
      <c r="V1084" s="63"/>
      <c r="W1084" s="63"/>
      <c r="X1084" s="63"/>
      <c r="Y1084" s="63"/>
      <c r="Z1084" s="63"/>
      <c r="AA1084" s="63"/>
      <c r="AB1084" s="63"/>
      <c r="AC1084" s="63"/>
      <c r="AD1084" s="63"/>
      <c r="AE1084" s="63"/>
      <c r="AF1084" s="63"/>
    </row>
    <row r="1085">
      <c r="A1085" s="135"/>
      <c r="B1085" s="38"/>
      <c r="C1085" s="102"/>
      <c r="D1085" s="109"/>
      <c r="E1085" s="109"/>
      <c r="F1085" s="167"/>
      <c r="G1085" s="159"/>
      <c r="H1085" s="102"/>
      <c r="I1085" s="71"/>
      <c r="J1085" s="63"/>
      <c r="K1085" s="63"/>
      <c r="L1085" s="63"/>
      <c r="M1085" s="63"/>
      <c r="N1085" s="63"/>
      <c r="O1085" s="63"/>
      <c r="P1085" s="63"/>
      <c r="Q1085" s="63"/>
      <c r="R1085" s="63"/>
      <c r="S1085" s="63"/>
      <c r="T1085" s="63"/>
      <c r="U1085" s="63"/>
      <c r="V1085" s="63"/>
      <c r="W1085" s="63"/>
      <c r="X1085" s="63"/>
      <c r="Y1085" s="63"/>
      <c r="Z1085" s="63"/>
      <c r="AA1085" s="63"/>
      <c r="AB1085" s="63"/>
      <c r="AC1085" s="63"/>
      <c r="AD1085" s="63"/>
      <c r="AE1085" s="63"/>
      <c r="AF1085" s="63"/>
    </row>
    <row r="1086">
      <c r="A1086" s="135"/>
      <c r="B1086" s="38"/>
      <c r="C1086" s="102"/>
      <c r="D1086" s="109"/>
      <c r="E1086" s="109"/>
      <c r="F1086" s="167"/>
      <c r="G1086" s="159"/>
      <c r="H1086" s="102"/>
      <c r="I1086" s="71"/>
      <c r="J1086" s="63"/>
      <c r="K1086" s="63"/>
      <c r="L1086" s="63"/>
      <c r="M1086" s="63"/>
      <c r="N1086" s="63"/>
      <c r="O1086" s="63"/>
      <c r="P1086" s="63"/>
      <c r="Q1086" s="63"/>
      <c r="R1086" s="63"/>
      <c r="S1086" s="63"/>
      <c r="T1086" s="63"/>
      <c r="U1086" s="63"/>
      <c r="V1086" s="63"/>
      <c r="W1086" s="63"/>
      <c r="X1086" s="63"/>
      <c r="Y1086" s="63"/>
      <c r="Z1086" s="63"/>
      <c r="AA1086" s="63"/>
      <c r="AB1086" s="63"/>
      <c r="AC1086" s="63"/>
      <c r="AD1086" s="63"/>
      <c r="AE1086" s="63"/>
      <c r="AF1086" s="63"/>
    </row>
    <row r="1087">
      <c r="A1087" s="135"/>
      <c r="B1087" s="38"/>
      <c r="C1087" s="102"/>
      <c r="D1087" s="109"/>
      <c r="E1087" s="109"/>
      <c r="F1087" s="167"/>
      <c r="G1087" s="159"/>
      <c r="H1087" s="102"/>
      <c r="I1087" s="71"/>
      <c r="J1087" s="63"/>
      <c r="K1087" s="63"/>
      <c r="L1087" s="63"/>
      <c r="M1087" s="63"/>
      <c r="N1087" s="63"/>
      <c r="O1087" s="63"/>
      <c r="P1087" s="63"/>
      <c r="Q1087" s="63"/>
      <c r="R1087" s="63"/>
      <c r="S1087" s="63"/>
      <c r="T1087" s="63"/>
      <c r="U1087" s="63"/>
      <c r="V1087" s="63"/>
      <c r="W1087" s="63"/>
      <c r="X1087" s="63"/>
      <c r="Y1087" s="63"/>
      <c r="Z1087" s="63"/>
      <c r="AA1087" s="63"/>
      <c r="AB1087" s="63"/>
      <c r="AC1087" s="63"/>
      <c r="AD1087" s="63"/>
      <c r="AE1087" s="63"/>
      <c r="AF1087" s="63"/>
    </row>
    <row r="1088">
      <c r="A1088" s="135"/>
      <c r="B1088" s="38"/>
      <c r="C1088" s="102"/>
      <c r="D1088" s="109"/>
      <c r="E1088" s="109"/>
      <c r="F1088" s="167"/>
      <c r="G1088" s="159"/>
      <c r="H1088" s="102"/>
      <c r="I1088" s="71"/>
      <c r="J1088" s="63"/>
      <c r="K1088" s="63"/>
      <c r="L1088" s="63"/>
      <c r="M1088" s="63"/>
      <c r="N1088" s="63"/>
      <c r="O1088" s="63"/>
      <c r="P1088" s="63"/>
      <c r="Q1088" s="63"/>
      <c r="R1088" s="63"/>
      <c r="S1088" s="63"/>
      <c r="T1088" s="63"/>
      <c r="U1088" s="63"/>
      <c r="V1088" s="63"/>
      <c r="W1088" s="63"/>
      <c r="X1088" s="63"/>
      <c r="Y1088" s="63"/>
      <c r="Z1088" s="63"/>
      <c r="AA1088" s="63"/>
      <c r="AB1088" s="63"/>
      <c r="AC1088" s="63"/>
      <c r="AD1088" s="63"/>
      <c r="AE1088" s="63"/>
      <c r="AF1088" s="63"/>
    </row>
    <row r="1089">
      <c r="A1089" s="135"/>
      <c r="B1089" s="38"/>
      <c r="C1089" s="102"/>
      <c r="D1089" s="109"/>
      <c r="E1089" s="109"/>
      <c r="F1089" s="167"/>
      <c r="G1089" s="159"/>
      <c r="H1089" s="102"/>
      <c r="I1089" s="71"/>
      <c r="J1089" s="63"/>
      <c r="K1089" s="63"/>
      <c r="L1089" s="63"/>
      <c r="M1089" s="63"/>
      <c r="N1089" s="63"/>
      <c r="O1089" s="63"/>
      <c r="P1089" s="63"/>
      <c r="Q1089" s="63"/>
      <c r="R1089" s="63"/>
      <c r="S1089" s="63"/>
      <c r="T1089" s="63"/>
      <c r="U1089" s="63"/>
      <c r="V1089" s="63"/>
      <c r="W1089" s="63"/>
      <c r="X1089" s="63"/>
      <c r="Y1089" s="63"/>
      <c r="Z1089" s="63"/>
      <c r="AA1089" s="63"/>
      <c r="AB1089" s="63"/>
      <c r="AC1089" s="63"/>
      <c r="AD1089" s="63"/>
      <c r="AE1089" s="63"/>
      <c r="AF1089" s="63"/>
    </row>
    <row r="1090">
      <c r="A1090" s="135"/>
      <c r="B1090" s="38"/>
      <c r="C1090" s="102"/>
      <c r="D1090" s="109"/>
      <c r="E1090" s="109"/>
      <c r="F1090" s="167"/>
      <c r="G1090" s="159"/>
      <c r="H1090" s="102"/>
      <c r="I1090" s="71"/>
      <c r="J1090" s="63"/>
      <c r="K1090" s="63"/>
      <c r="L1090" s="63"/>
      <c r="M1090" s="63"/>
      <c r="N1090" s="63"/>
      <c r="O1090" s="63"/>
      <c r="P1090" s="63"/>
      <c r="Q1090" s="63"/>
      <c r="R1090" s="63"/>
      <c r="S1090" s="63"/>
      <c r="T1090" s="63"/>
      <c r="U1090" s="63"/>
      <c r="V1090" s="63"/>
      <c r="W1090" s="63"/>
      <c r="X1090" s="63"/>
      <c r="Y1090" s="63"/>
      <c r="Z1090" s="63"/>
      <c r="AA1090" s="63"/>
      <c r="AB1090" s="63"/>
      <c r="AC1090" s="63"/>
      <c r="AD1090" s="63"/>
      <c r="AE1090" s="63"/>
      <c r="AF1090" s="63"/>
    </row>
    <row r="1091">
      <c r="A1091" s="135"/>
      <c r="B1091" s="38"/>
      <c r="C1091" s="102"/>
      <c r="D1091" s="109"/>
      <c r="E1091" s="109"/>
      <c r="F1091" s="167"/>
      <c r="G1091" s="159"/>
      <c r="H1091" s="102"/>
      <c r="I1091" s="71"/>
      <c r="J1091" s="63"/>
      <c r="K1091" s="63"/>
      <c r="L1091" s="63"/>
      <c r="M1091" s="63"/>
      <c r="N1091" s="63"/>
      <c r="O1091" s="63"/>
      <c r="P1091" s="63"/>
      <c r="Q1091" s="63"/>
      <c r="R1091" s="63"/>
      <c r="S1091" s="63"/>
      <c r="T1091" s="63"/>
      <c r="U1091" s="63"/>
      <c r="V1091" s="63"/>
      <c r="W1091" s="63"/>
      <c r="X1091" s="63"/>
      <c r="Y1091" s="63"/>
      <c r="Z1091" s="63"/>
      <c r="AA1091" s="63"/>
      <c r="AB1091" s="63"/>
      <c r="AC1091" s="63"/>
      <c r="AD1091" s="63"/>
      <c r="AE1091" s="63"/>
      <c r="AF1091" s="63"/>
    </row>
    <row r="1092">
      <c r="A1092" s="135"/>
      <c r="B1092" s="38"/>
      <c r="C1092" s="102"/>
      <c r="D1092" s="109"/>
      <c r="E1092" s="109"/>
      <c r="F1092" s="167"/>
      <c r="G1092" s="159"/>
      <c r="H1092" s="102"/>
      <c r="I1092" s="71"/>
      <c r="J1092" s="63"/>
      <c r="K1092" s="63"/>
      <c r="L1092" s="63"/>
      <c r="M1092" s="63"/>
      <c r="N1092" s="63"/>
      <c r="O1092" s="63"/>
      <c r="P1092" s="63"/>
      <c r="Q1092" s="63"/>
      <c r="R1092" s="63"/>
      <c r="S1092" s="63"/>
      <c r="T1092" s="63"/>
      <c r="U1092" s="63"/>
      <c r="V1092" s="63"/>
      <c r="W1092" s="63"/>
      <c r="X1092" s="63"/>
      <c r="Y1092" s="63"/>
      <c r="Z1092" s="63"/>
      <c r="AA1092" s="63"/>
      <c r="AB1092" s="63"/>
      <c r="AC1092" s="63"/>
      <c r="AD1092" s="63"/>
      <c r="AE1092" s="63"/>
      <c r="AF1092" s="63"/>
    </row>
    <row r="1093">
      <c r="A1093" s="135"/>
      <c r="B1093" s="38"/>
      <c r="C1093" s="102"/>
      <c r="D1093" s="109"/>
      <c r="E1093" s="109"/>
      <c r="F1093" s="167"/>
      <c r="G1093" s="159"/>
      <c r="H1093" s="102"/>
      <c r="I1093" s="71"/>
      <c r="J1093" s="63"/>
      <c r="K1093" s="63"/>
      <c r="L1093" s="63"/>
      <c r="M1093" s="63"/>
      <c r="N1093" s="63"/>
      <c r="O1093" s="63"/>
      <c r="P1093" s="63"/>
      <c r="Q1093" s="63"/>
      <c r="R1093" s="63"/>
      <c r="S1093" s="63"/>
      <c r="T1093" s="63"/>
      <c r="U1093" s="63"/>
      <c r="V1093" s="63"/>
      <c r="W1093" s="63"/>
      <c r="X1093" s="63"/>
      <c r="Y1093" s="63"/>
      <c r="Z1093" s="63"/>
      <c r="AA1093" s="63"/>
      <c r="AB1093" s="63"/>
      <c r="AC1093" s="63"/>
      <c r="AD1093" s="63"/>
      <c r="AE1093" s="63"/>
      <c r="AF1093" s="63"/>
    </row>
    <row r="1094">
      <c r="A1094" s="135"/>
      <c r="B1094" s="38"/>
      <c r="C1094" s="102"/>
      <c r="D1094" s="109"/>
      <c r="E1094" s="109"/>
      <c r="F1094" s="167"/>
      <c r="G1094" s="159"/>
      <c r="H1094" s="102"/>
      <c r="I1094" s="71"/>
      <c r="J1094" s="63"/>
      <c r="K1094" s="63"/>
      <c r="L1094" s="63"/>
      <c r="M1094" s="63"/>
      <c r="N1094" s="63"/>
      <c r="O1094" s="63"/>
      <c r="P1094" s="63"/>
      <c r="Q1094" s="63"/>
      <c r="R1094" s="63"/>
      <c r="S1094" s="63"/>
      <c r="T1094" s="63"/>
      <c r="U1094" s="63"/>
      <c r="V1094" s="63"/>
      <c r="W1094" s="63"/>
      <c r="X1094" s="63"/>
      <c r="Y1094" s="63"/>
      <c r="Z1094" s="63"/>
      <c r="AA1094" s="63"/>
      <c r="AB1094" s="63"/>
      <c r="AC1094" s="63"/>
      <c r="AD1094" s="63"/>
      <c r="AE1094" s="63"/>
      <c r="AF1094" s="63"/>
    </row>
    <row r="1095">
      <c r="A1095" s="135"/>
      <c r="B1095" s="38"/>
      <c r="C1095" s="102"/>
      <c r="D1095" s="109"/>
      <c r="E1095" s="109"/>
      <c r="F1095" s="167"/>
      <c r="G1095" s="159"/>
      <c r="H1095" s="102"/>
      <c r="I1095" s="71"/>
      <c r="J1095" s="63"/>
      <c r="K1095" s="63"/>
      <c r="L1095" s="63"/>
      <c r="M1095" s="63"/>
      <c r="N1095" s="63"/>
      <c r="O1095" s="63"/>
      <c r="P1095" s="63"/>
      <c r="Q1095" s="63"/>
      <c r="R1095" s="63"/>
      <c r="S1095" s="63"/>
      <c r="T1095" s="63"/>
      <c r="U1095" s="63"/>
      <c r="V1095" s="63"/>
      <c r="W1095" s="63"/>
      <c r="X1095" s="63"/>
      <c r="Y1095" s="63"/>
      <c r="Z1095" s="63"/>
      <c r="AA1095" s="63"/>
      <c r="AB1095" s="63"/>
      <c r="AC1095" s="63"/>
      <c r="AD1095" s="63"/>
      <c r="AE1095" s="63"/>
      <c r="AF1095" s="63"/>
    </row>
    <row r="1096">
      <c r="A1096" s="135"/>
      <c r="B1096" s="38"/>
      <c r="C1096" s="102"/>
      <c r="D1096" s="109"/>
      <c r="E1096" s="109"/>
      <c r="F1096" s="167"/>
      <c r="G1096" s="159"/>
      <c r="H1096" s="102"/>
      <c r="I1096" s="71"/>
      <c r="J1096" s="63"/>
      <c r="K1096" s="63"/>
      <c r="L1096" s="63"/>
      <c r="M1096" s="63"/>
      <c r="N1096" s="63"/>
      <c r="O1096" s="63"/>
      <c r="P1096" s="63"/>
      <c r="Q1096" s="63"/>
      <c r="R1096" s="63"/>
      <c r="S1096" s="63"/>
      <c r="T1096" s="63"/>
      <c r="U1096" s="63"/>
      <c r="V1096" s="63"/>
      <c r="W1096" s="63"/>
      <c r="X1096" s="63"/>
      <c r="Y1096" s="63"/>
      <c r="Z1096" s="63"/>
      <c r="AA1096" s="63"/>
      <c r="AB1096" s="63"/>
      <c r="AC1096" s="63"/>
      <c r="AD1096" s="63"/>
      <c r="AE1096" s="63"/>
      <c r="AF1096" s="63"/>
    </row>
    <row r="1097">
      <c r="A1097" s="135"/>
      <c r="B1097" s="38"/>
      <c r="C1097" s="102"/>
      <c r="D1097" s="109"/>
      <c r="E1097" s="109"/>
      <c r="F1097" s="167"/>
      <c r="G1097" s="159"/>
      <c r="H1097" s="102"/>
      <c r="I1097" s="71"/>
      <c r="J1097" s="63"/>
      <c r="K1097" s="63"/>
      <c r="L1097" s="63"/>
      <c r="M1097" s="63"/>
      <c r="N1097" s="63"/>
      <c r="O1097" s="63"/>
      <c r="P1097" s="63"/>
      <c r="Q1097" s="63"/>
      <c r="R1097" s="63"/>
      <c r="S1097" s="63"/>
      <c r="T1097" s="63"/>
      <c r="U1097" s="63"/>
      <c r="V1097" s="63"/>
      <c r="W1097" s="63"/>
      <c r="X1097" s="63"/>
      <c r="Y1097" s="63"/>
      <c r="Z1097" s="63"/>
      <c r="AA1097" s="63"/>
      <c r="AB1097" s="63"/>
      <c r="AC1097" s="63"/>
      <c r="AD1097" s="63"/>
      <c r="AE1097" s="63"/>
      <c r="AF1097" s="63"/>
    </row>
    <row r="1098">
      <c r="A1098" s="135"/>
      <c r="B1098" s="38"/>
      <c r="C1098" s="102"/>
      <c r="D1098" s="109"/>
      <c r="E1098" s="109"/>
      <c r="F1098" s="167"/>
      <c r="G1098" s="159"/>
      <c r="H1098" s="102"/>
      <c r="I1098" s="71"/>
      <c r="J1098" s="63"/>
      <c r="K1098" s="63"/>
      <c r="L1098" s="63"/>
      <c r="M1098" s="63"/>
      <c r="N1098" s="63"/>
      <c r="O1098" s="63"/>
      <c r="P1098" s="63"/>
      <c r="Q1098" s="63"/>
      <c r="R1098" s="63"/>
      <c r="S1098" s="63"/>
      <c r="T1098" s="63"/>
      <c r="U1098" s="63"/>
      <c r="V1098" s="63"/>
      <c r="W1098" s="63"/>
      <c r="X1098" s="63"/>
      <c r="Y1098" s="63"/>
      <c r="Z1098" s="63"/>
      <c r="AA1098" s="63"/>
      <c r="AB1098" s="63"/>
      <c r="AC1098" s="63"/>
      <c r="AD1098" s="63"/>
      <c r="AE1098" s="63"/>
      <c r="AF1098" s="63"/>
    </row>
    <row r="1099">
      <c r="A1099" s="135"/>
      <c r="B1099" s="38"/>
      <c r="C1099" s="102"/>
      <c r="D1099" s="109"/>
      <c r="E1099" s="109"/>
      <c r="F1099" s="167"/>
      <c r="G1099" s="159"/>
      <c r="H1099" s="102"/>
      <c r="I1099" s="71"/>
      <c r="J1099" s="63"/>
      <c r="K1099" s="63"/>
      <c r="L1099" s="63"/>
      <c r="M1099" s="63"/>
      <c r="N1099" s="63"/>
      <c r="O1099" s="63"/>
      <c r="P1099" s="63"/>
      <c r="Q1099" s="63"/>
      <c r="R1099" s="63"/>
      <c r="S1099" s="63"/>
      <c r="T1099" s="63"/>
      <c r="U1099" s="63"/>
      <c r="V1099" s="63"/>
      <c r="W1099" s="63"/>
      <c r="X1099" s="63"/>
      <c r="Y1099" s="63"/>
      <c r="Z1099" s="63"/>
      <c r="AA1099" s="63"/>
      <c r="AB1099" s="63"/>
      <c r="AC1099" s="63"/>
      <c r="AD1099" s="63"/>
      <c r="AE1099" s="63"/>
      <c r="AF1099" s="63"/>
    </row>
    <row r="1100">
      <c r="A1100" s="135"/>
      <c r="B1100" s="38"/>
      <c r="C1100" s="102"/>
      <c r="D1100" s="109"/>
      <c r="E1100" s="109"/>
      <c r="F1100" s="167"/>
      <c r="G1100" s="159"/>
      <c r="H1100" s="102"/>
      <c r="I1100" s="71"/>
      <c r="J1100" s="63"/>
      <c r="K1100" s="63"/>
      <c r="L1100" s="63"/>
      <c r="M1100" s="63"/>
      <c r="N1100" s="63"/>
      <c r="O1100" s="63"/>
      <c r="P1100" s="63"/>
      <c r="Q1100" s="63"/>
      <c r="R1100" s="63"/>
      <c r="S1100" s="63"/>
      <c r="T1100" s="63"/>
      <c r="U1100" s="63"/>
      <c r="V1100" s="63"/>
      <c r="W1100" s="63"/>
      <c r="X1100" s="63"/>
      <c r="Y1100" s="63"/>
      <c r="Z1100" s="63"/>
      <c r="AA1100" s="63"/>
      <c r="AB1100" s="63"/>
      <c r="AC1100" s="63"/>
      <c r="AD1100" s="63"/>
      <c r="AE1100" s="63"/>
      <c r="AF1100" s="63"/>
    </row>
    <row r="1101">
      <c r="A1101" s="135"/>
      <c r="B1101" s="38"/>
      <c r="C1101" s="102"/>
      <c r="D1101" s="109"/>
      <c r="E1101" s="109"/>
      <c r="F1101" s="167"/>
      <c r="G1101" s="159"/>
      <c r="H1101" s="102"/>
      <c r="I1101" s="71"/>
      <c r="J1101" s="63"/>
      <c r="K1101" s="63"/>
      <c r="L1101" s="63"/>
      <c r="M1101" s="63"/>
      <c r="N1101" s="63"/>
      <c r="O1101" s="63"/>
      <c r="P1101" s="63"/>
      <c r="Q1101" s="63"/>
      <c r="R1101" s="63"/>
      <c r="S1101" s="63"/>
      <c r="T1101" s="63"/>
      <c r="U1101" s="63"/>
      <c r="V1101" s="63"/>
      <c r="W1101" s="63"/>
      <c r="X1101" s="63"/>
      <c r="Y1101" s="63"/>
      <c r="Z1101" s="63"/>
      <c r="AA1101" s="63"/>
      <c r="AB1101" s="63"/>
      <c r="AC1101" s="63"/>
      <c r="AD1101" s="63"/>
      <c r="AE1101" s="63"/>
      <c r="AF1101" s="63"/>
    </row>
    <row r="1102">
      <c r="A1102" s="135"/>
      <c r="B1102" s="38"/>
      <c r="C1102" s="102"/>
      <c r="D1102" s="109"/>
      <c r="E1102" s="109"/>
      <c r="F1102" s="167"/>
      <c r="G1102" s="159"/>
      <c r="H1102" s="102"/>
      <c r="I1102" s="71"/>
      <c r="J1102" s="63"/>
      <c r="K1102" s="63"/>
      <c r="L1102" s="63"/>
      <c r="M1102" s="63"/>
      <c r="N1102" s="63"/>
      <c r="O1102" s="63"/>
      <c r="P1102" s="63"/>
      <c r="Q1102" s="63"/>
      <c r="R1102" s="63"/>
      <c r="S1102" s="63"/>
      <c r="T1102" s="63"/>
      <c r="U1102" s="63"/>
      <c r="V1102" s="63"/>
      <c r="W1102" s="63"/>
      <c r="X1102" s="63"/>
      <c r="Y1102" s="63"/>
      <c r="Z1102" s="63"/>
      <c r="AA1102" s="63"/>
      <c r="AB1102" s="63"/>
      <c r="AC1102" s="63"/>
      <c r="AD1102" s="63"/>
      <c r="AE1102" s="63"/>
      <c r="AF1102" s="63"/>
    </row>
    <row r="1103">
      <c r="A1103" s="135"/>
      <c r="B1103" s="38"/>
      <c r="C1103" s="102"/>
      <c r="D1103" s="109"/>
      <c r="E1103" s="109"/>
      <c r="F1103" s="167"/>
      <c r="G1103" s="159"/>
      <c r="H1103" s="102"/>
      <c r="I1103" s="71"/>
      <c r="J1103" s="63"/>
      <c r="K1103" s="63"/>
      <c r="L1103" s="63"/>
      <c r="M1103" s="63"/>
      <c r="N1103" s="63"/>
      <c r="O1103" s="63"/>
      <c r="P1103" s="63"/>
      <c r="Q1103" s="63"/>
      <c r="R1103" s="63"/>
      <c r="S1103" s="63"/>
      <c r="T1103" s="63"/>
      <c r="U1103" s="63"/>
      <c r="V1103" s="63"/>
      <c r="W1103" s="63"/>
      <c r="X1103" s="63"/>
      <c r="Y1103" s="63"/>
      <c r="Z1103" s="63"/>
      <c r="AA1103" s="63"/>
      <c r="AB1103" s="63"/>
      <c r="AC1103" s="63"/>
      <c r="AD1103" s="63"/>
      <c r="AE1103" s="63"/>
      <c r="AF1103" s="63"/>
    </row>
    <row r="1104">
      <c r="A1104" s="135"/>
      <c r="B1104" s="38"/>
      <c r="C1104" s="102"/>
      <c r="D1104" s="109"/>
      <c r="E1104" s="109"/>
      <c r="F1104" s="167"/>
      <c r="G1104" s="159"/>
      <c r="H1104" s="102"/>
      <c r="I1104" s="71"/>
      <c r="J1104" s="63"/>
      <c r="K1104" s="63"/>
      <c r="L1104" s="63"/>
      <c r="M1104" s="63"/>
      <c r="N1104" s="63"/>
      <c r="O1104" s="63"/>
      <c r="P1104" s="63"/>
      <c r="Q1104" s="63"/>
      <c r="R1104" s="63"/>
      <c r="S1104" s="63"/>
      <c r="T1104" s="63"/>
      <c r="U1104" s="63"/>
      <c r="V1104" s="63"/>
      <c r="W1104" s="63"/>
      <c r="X1104" s="63"/>
      <c r="Y1104" s="63"/>
      <c r="Z1104" s="63"/>
      <c r="AA1104" s="63"/>
      <c r="AB1104" s="63"/>
      <c r="AC1104" s="63"/>
      <c r="AD1104" s="63"/>
      <c r="AE1104" s="63"/>
      <c r="AF1104" s="63"/>
    </row>
    <row r="1105">
      <c r="A1105" s="135"/>
      <c r="B1105" s="38"/>
      <c r="C1105" s="102"/>
      <c r="D1105" s="109"/>
      <c r="E1105" s="109"/>
      <c r="F1105" s="167"/>
      <c r="G1105" s="159"/>
      <c r="H1105" s="102"/>
      <c r="I1105" s="71"/>
      <c r="J1105" s="63"/>
      <c r="K1105" s="63"/>
      <c r="L1105" s="63"/>
      <c r="M1105" s="63"/>
      <c r="N1105" s="63"/>
      <c r="O1105" s="63"/>
      <c r="P1105" s="63"/>
      <c r="Q1105" s="63"/>
      <c r="R1105" s="63"/>
      <c r="S1105" s="63"/>
      <c r="T1105" s="63"/>
      <c r="U1105" s="63"/>
      <c r="V1105" s="63"/>
      <c r="W1105" s="63"/>
      <c r="X1105" s="63"/>
      <c r="Y1105" s="63"/>
      <c r="Z1105" s="63"/>
      <c r="AA1105" s="63"/>
      <c r="AB1105" s="63"/>
      <c r="AC1105" s="63"/>
      <c r="AD1105" s="63"/>
      <c r="AE1105" s="63"/>
      <c r="AF1105" s="63"/>
    </row>
    <row r="1106">
      <c r="A1106" s="135"/>
      <c r="B1106" s="38"/>
      <c r="C1106" s="102"/>
      <c r="D1106" s="109"/>
      <c r="E1106" s="109"/>
      <c r="F1106" s="167"/>
      <c r="G1106" s="159"/>
      <c r="H1106" s="102"/>
      <c r="I1106" s="71"/>
      <c r="J1106" s="63"/>
      <c r="K1106" s="63"/>
      <c r="L1106" s="63"/>
      <c r="M1106" s="63"/>
      <c r="N1106" s="63"/>
      <c r="O1106" s="63"/>
      <c r="P1106" s="63"/>
      <c r="Q1106" s="63"/>
      <c r="R1106" s="63"/>
      <c r="S1106" s="63"/>
      <c r="T1106" s="63"/>
      <c r="U1106" s="63"/>
      <c r="V1106" s="63"/>
      <c r="W1106" s="63"/>
      <c r="X1106" s="63"/>
      <c r="Y1106" s="63"/>
      <c r="Z1106" s="63"/>
      <c r="AA1106" s="63"/>
      <c r="AB1106" s="63"/>
      <c r="AC1106" s="63"/>
      <c r="AD1106" s="63"/>
      <c r="AE1106" s="63"/>
      <c r="AF1106" s="63"/>
    </row>
    <row r="1107">
      <c r="A1107" s="135"/>
      <c r="B1107" s="38"/>
      <c r="C1107" s="102"/>
      <c r="D1107" s="109"/>
      <c r="E1107" s="109"/>
      <c r="F1107" s="167"/>
      <c r="G1107" s="159"/>
      <c r="H1107" s="102"/>
      <c r="I1107" s="71"/>
      <c r="J1107" s="63"/>
      <c r="K1107" s="63"/>
      <c r="L1107" s="63"/>
      <c r="M1107" s="63"/>
      <c r="N1107" s="63"/>
      <c r="O1107" s="63"/>
      <c r="P1107" s="63"/>
      <c r="Q1107" s="63"/>
      <c r="R1107" s="63"/>
      <c r="S1107" s="63"/>
      <c r="T1107" s="63"/>
      <c r="U1107" s="63"/>
      <c r="V1107" s="63"/>
      <c r="W1107" s="63"/>
      <c r="X1107" s="63"/>
      <c r="Y1107" s="63"/>
      <c r="Z1107" s="63"/>
      <c r="AA1107" s="63"/>
      <c r="AB1107" s="63"/>
      <c r="AC1107" s="63"/>
      <c r="AD1107" s="63"/>
      <c r="AE1107" s="63"/>
      <c r="AF1107" s="63"/>
    </row>
    <row r="1108">
      <c r="A1108" s="135"/>
      <c r="B1108" s="38"/>
      <c r="C1108" s="102"/>
      <c r="D1108" s="109"/>
      <c r="E1108" s="109"/>
      <c r="F1108" s="167"/>
      <c r="G1108" s="159"/>
      <c r="H1108" s="102"/>
      <c r="I1108" s="71"/>
      <c r="J1108" s="63"/>
      <c r="K1108" s="63"/>
      <c r="L1108" s="63"/>
      <c r="M1108" s="63"/>
      <c r="N1108" s="63"/>
      <c r="O1108" s="63"/>
      <c r="P1108" s="63"/>
      <c r="Q1108" s="63"/>
      <c r="R1108" s="63"/>
      <c r="S1108" s="63"/>
      <c r="T1108" s="63"/>
      <c r="U1108" s="63"/>
      <c r="V1108" s="63"/>
      <c r="W1108" s="63"/>
      <c r="X1108" s="63"/>
      <c r="Y1108" s="63"/>
      <c r="Z1108" s="63"/>
      <c r="AA1108" s="63"/>
      <c r="AB1108" s="63"/>
      <c r="AC1108" s="63"/>
      <c r="AD1108" s="63"/>
      <c r="AE1108" s="63"/>
      <c r="AF1108" s="63"/>
    </row>
    <row r="1109">
      <c r="A1109" s="135"/>
      <c r="B1109" s="38"/>
      <c r="C1109" s="102"/>
      <c r="D1109" s="109"/>
      <c r="E1109" s="109"/>
      <c r="F1109" s="167"/>
      <c r="G1109" s="159"/>
      <c r="H1109" s="102"/>
      <c r="I1109" s="71"/>
      <c r="J1109" s="63"/>
      <c r="K1109" s="63"/>
      <c r="L1109" s="63"/>
      <c r="M1109" s="63"/>
      <c r="N1109" s="63"/>
      <c r="O1109" s="63"/>
      <c r="P1109" s="63"/>
      <c r="Q1109" s="63"/>
      <c r="R1109" s="63"/>
      <c r="S1109" s="63"/>
      <c r="T1109" s="63"/>
      <c r="U1109" s="63"/>
      <c r="V1109" s="63"/>
      <c r="W1109" s="63"/>
      <c r="X1109" s="63"/>
      <c r="Y1109" s="63"/>
      <c r="Z1109" s="63"/>
      <c r="AA1109" s="63"/>
      <c r="AB1109" s="63"/>
      <c r="AC1109" s="63"/>
      <c r="AD1109" s="63"/>
      <c r="AE1109" s="63"/>
      <c r="AF1109" s="63"/>
    </row>
    <row r="1110">
      <c r="A1110" s="135"/>
      <c r="B1110" s="38"/>
      <c r="C1110" s="102"/>
      <c r="D1110" s="109"/>
      <c r="E1110" s="109"/>
      <c r="F1110" s="167"/>
      <c r="G1110" s="159"/>
      <c r="H1110" s="102"/>
      <c r="I1110" s="71"/>
      <c r="J1110" s="63"/>
      <c r="K1110" s="63"/>
      <c r="L1110" s="63"/>
      <c r="M1110" s="63"/>
      <c r="N1110" s="63"/>
      <c r="O1110" s="63"/>
      <c r="P1110" s="63"/>
      <c r="Q1110" s="63"/>
      <c r="R1110" s="63"/>
      <c r="S1110" s="63"/>
      <c r="T1110" s="63"/>
      <c r="U1110" s="63"/>
      <c r="V1110" s="63"/>
      <c r="W1110" s="63"/>
      <c r="X1110" s="63"/>
      <c r="Y1110" s="63"/>
      <c r="Z1110" s="63"/>
      <c r="AA1110" s="63"/>
      <c r="AB1110" s="63"/>
      <c r="AC1110" s="63"/>
      <c r="AD1110" s="63"/>
      <c r="AE1110" s="63"/>
      <c r="AF1110" s="63"/>
    </row>
    <row r="1111">
      <c r="A1111" s="135"/>
      <c r="B1111" s="38"/>
      <c r="C1111" s="102"/>
      <c r="D1111" s="109"/>
      <c r="E1111" s="109"/>
      <c r="F1111" s="167"/>
      <c r="G1111" s="159"/>
      <c r="H1111" s="102"/>
      <c r="I1111" s="71"/>
      <c r="J1111" s="63"/>
      <c r="K1111" s="63"/>
      <c r="L1111" s="63"/>
      <c r="M1111" s="63"/>
      <c r="N1111" s="63"/>
      <c r="O1111" s="63"/>
      <c r="P1111" s="63"/>
      <c r="Q1111" s="63"/>
      <c r="R1111" s="63"/>
      <c r="S1111" s="63"/>
      <c r="T1111" s="63"/>
      <c r="U1111" s="63"/>
      <c r="V1111" s="63"/>
      <c r="W1111" s="63"/>
      <c r="X1111" s="63"/>
      <c r="Y1111" s="63"/>
      <c r="Z1111" s="63"/>
      <c r="AA1111" s="63"/>
      <c r="AB1111" s="63"/>
      <c r="AC1111" s="63"/>
      <c r="AD1111" s="63"/>
      <c r="AE1111" s="63"/>
      <c r="AF1111" s="63"/>
    </row>
    <row r="1112">
      <c r="A1112" s="135"/>
      <c r="B1112" s="38"/>
      <c r="C1112" s="102"/>
      <c r="D1112" s="109"/>
      <c r="E1112" s="109"/>
      <c r="F1112" s="167"/>
      <c r="G1112" s="159"/>
      <c r="H1112" s="102"/>
      <c r="I1112" s="71"/>
      <c r="J1112" s="63"/>
      <c r="K1112" s="63"/>
      <c r="L1112" s="63"/>
      <c r="M1112" s="63"/>
      <c r="N1112" s="63"/>
      <c r="O1112" s="63"/>
      <c r="P1112" s="63"/>
      <c r="Q1112" s="63"/>
      <c r="R1112" s="63"/>
      <c r="S1112" s="63"/>
      <c r="T1112" s="63"/>
      <c r="U1112" s="63"/>
      <c r="V1112" s="63"/>
      <c r="W1112" s="63"/>
      <c r="X1112" s="63"/>
      <c r="Y1112" s="63"/>
      <c r="Z1112" s="63"/>
      <c r="AA1112" s="63"/>
      <c r="AB1112" s="63"/>
      <c r="AC1112" s="63"/>
      <c r="AD1112" s="63"/>
      <c r="AE1112" s="63"/>
      <c r="AF1112" s="63"/>
    </row>
    <row r="1113">
      <c r="A1113" s="135"/>
      <c r="B1113" s="38"/>
      <c r="C1113" s="102"/>
      <c r="D1113" s="109"/>
      <c r="E1113" s="109"/>
      <c r="F1113" s="167"/>
      <c r="G1113" s="159"/>
      <c r="H1113" s="102"/>
      <c r="I1113" s="71"/>
      <c r="J1113" s="63"/>
      <c r="K1113" s="63"/>
      <c r="L1113" s="63"/>
      <c r="M1113" s="63"/>
      <c r="N1113" s="63"/>
      <c r="O1113" s="63"/>
      <c r="P1113" s="63"/>
      <c r="Q1113" s="63"/>
      <c r="R1113" s="63"/>
      <c r="S1113" s="63"/>
      <c r="T1113" s="63"/>
      <c r="U1113" s="63"/>
      <c r="V1113" s="63"/>
      <c r="W1113" s="63"/>
      <c r="X1113" s="63"/>
      <c r="Y1113" s="63"/>
      <c r="Z1113" s="63"/>
      <c r="AA1113" s="63"/>
      <c r="AB1113" s="63"/>
      <c r="AC1113" s="63"/>
      <c r="AD1113" s="63"/>
      <c r="AE1113" s="63"/>
      <c r="AF1113" s="63"/>
    </row>
    <row r="1114">
      <c r="A1114" s="135"/>
      <c r="B1114" s="38"/>
      <c r="C1114" s="102"/>
      <c r="D1114" s="109"/>
      <c r="E1114" s="109"/>
      <c r="F1114" s="167"/>
      <c r="G1114" s="159"/>
      <c r="H1114" s="102"/>
      <c r="I1114" s="71"/>
      <c r="J1114" s="63"/>
      <c r="K1114" s="63"/>
      <c r="L1114" s="63"/>
      <c r="M1114" s="63"/>
      <c r="N1114" s="63"/>
      <c r="O1114" s="63"/>
      <c r="P1114" s="63"/>
      <c r="Q1114" s="63"/>
      <c r="R1114" s="63"/>
      <c r="S1114" s="63"/>
      <c r="T1114" s="63"/>
      <c r="U1114" s="63"/>
      <c r="V1114" s="63"/>
      <c r="W1114" s="63"/>
      <c r="X1114" s="63"/>
      <c r="Y1114" s="63"/>
      <c r="Z1114" s="63"/>
      <c r="AA1114" s="63"/>
      <c r="AB1114" s="63"/>
      <c r="AC1114" s="63"/>
      <c r="AD1114" s="63"/>
      <c r="AE1114" s="63"/>
      <c r="AF1114" s="63"/>
    </row>
    <row r="1115">
      <c r="A1115" s="135"/>
      <c r="B1115" s="38"/>
      <c r="C1115" s="102"/>
      <c r="D1115" s="109"/>
      <c r="E1115" s="109"/>
      <c r="F1115" s="167"/>
      <c r="G1115" s="159"/>
      <c r="H1115" s="102"/>
      <c r="I1115" s="71"/>
      <c r="J1115" s="63"/>
      <c r="K1115" s="63"/>
      <c r="L1115" s="63"/>
      <c r="M1115" s="63"/>
      <c r="N1115" s="63"/>
      <c r="O1115" s="63"/>
      <c r="P1115" s="63"/>
      <c r="Q1115" s="63"/>
      <c r="R1115" s="63"/>
      <c r="S1115" s="63"/>
      <c r="T1115" s="63"/>
      <c r="U1115" s="63"/>
      <c r="V1115" s="63"/>
      <c r="W1115" s="63"/>
      <c r="X1115" s="63"/>
      <c r="Y1115" s="63"/>
      <c r="Z1115" s="63"/>
      <c r="AA1115" s="63"/>
      <c r="AB1115" s="63"/>
      <c r="AC1115" s="63"/>
      <c r="AD1115" s="63"/>
      <c r="AE1115" s="63"/>
      <c r="AF1115" s="63"/>
    </row>
    <row r="1116">
      <c r="A1116" s="135"/>
      <c r="B1116" s="38"/>
      <c r="C1116" s="102"/>
      <c r="D1116" s="109"/>
      <c r="E1116" s="109"/>
      <c r="F1116" s="167"/>
      <c r="G1116" s="159"/>
      <c r="H1116" s="102"/>
      <c r="I1116" s="71"/>
      <c r="J1116" s="63"/>
      <c r="K1116" s="63"/>
      <c r="L1116" s="63"/>
      <c r="M1116" s="63"/>
      <c r="N1116" s="63"/>
      <c r="O1116" s="63"/>
      <c r="P1116" s="63"/>
      <c r="Q1116" s="63"/>
      <c r="R1116" s="63"/>
      <c r="S1116" s="63"/>
      <c r="T1116" s="63"/>
      <c r="U1116" s="63"/>
      <c r="V1116" s="63"/>
      <c r="W1116" s="63"/>
      <c r="X1116" s="63"/>
      <c r="Y1116" s="63"/>
      <c r="Z1116" s="63"/>
      <c r="AA1116" s="63"/>
      <c r="AB1116" s="63"/>
      <c r="AC1116" s="63"/>
      <c r="AD1116" s="63"/>
      <c r="AE1116" s="63"/>
      <c r="AF1116" s="63"/>
    </row>
    <row r="1117">
      <c r="A1117" s="135"/>
      <c r="B1117" s="38"/>
      <c r="C1117" s="102"/>
      <c r="D1117" s="109"/>
      <c r="E1117" s="109"/>
      <c r="F1117" s="167"/>
      <c r="G1117" s="159"/>
      <c r="H1117" s="102"/>
      <c r="I1117" s="71"/>
      <c r="J1117" s="63"/>
      <c r="K1117" s="63"/>
      <c r="L1117" s="63"/>
      <c r="M1117" s="63"/>
      <c r="N1117" s="63"/>
      <c r="O1117" s="63"/>
      <c r="P1117" s="63"/>
      <c r="Q1117" s="63"/>
      <c r="R1117" s="63"/>
      <c r="S1117" s="63"/>
      <c r="T1117" s="63"/>
      <c r="U1117" s="63"/>
      <c r="V1117" s="63"/>
      <c r="W1117" s="63"/>
      <c r="X1117" s="63"/>
      <c r="Y1117" s="63"/>
      <c r="Z1117" s="63"/>
      <c r="AA1117" s="63"/>
      <c r="AB1117" s="63"/>
      <c r="AC1117" s="63"/>
      <c r="AD1117" s="63"/>
      <c r="AE1117" s="63"/>
      <c r="AF1117" s="63"/>
    </row>
    <row r="1118">
      <c r="A1118" s="135"/>
      <c r="B1118" s="38"/>
      <c r="C1118" s="102"/>
      <c r="D1118" s="109"/>
      <c r="E1118" s="109"/>
      <c r="F1118" s="167"/>
      <c r="G1118" s="159"/>
      <c r="H1118" s="102"/>
      <c r="I1118" s="71"/>
      <c r="J1118" s="63"/>
      <c r="K1118" s="63"/>
      <c r="L1118" s="63"/>
      <c r="M1118" s="63"/>
      <c r="N1118" s="63"/>
      <c r="O1118" s="63"/>
      <c r="P1118" s="63"/>
      <c r="Q1118" s="63"/>
      <c r="R1118" s="63"/>
      <c r="S1118" s="63"/>
      <c r="T1118" s="63"/>
      <c r="U1118" s="63"/>
      <c r="V1118" s="63"/>
      <c r="W1118" s="63"/>
      <c r="X1118" s="63"/>
      <c r="Y1118" s="63"/>
      <c r="Z1118" s="63"/>
      <c r="AA1118" s="63"/>
      <c r="AB1118" s="63"/>
      <c r="AC1118" s="63"/>
      <c r="AD1118" s="63"/>
      <c r="AE1118" s="63"/>
      <c r="AF1118" s="63"/>
    </row>
    <row r="1119">
      <c r="A1119" s="135"/>
      <c r="B1119" s="38"/>
      <c r="C1119" s="102"/>
      <c r="D1119" s="109"/>
      <c r="E1119" s="109"/>
      <c r="F1119" s="167"/>
      <c r="G1119" s="159"/>
      <c r="H1119" s="102"/>
      <c r="I1119" s="71"/>
      <c r="J1119" s="63"/>
      <c r="K1119" s="63"/>
      <c r="L1119" s="63"/>
      <c r="M1119" s="63"/>
      <c r="N1119" s="63"/>
      <c r="O1119" s="63"/>
      <c r="P1119" s="63"/>
      <c r="Q1119" s="63"/>
      <c r="R1119" s="63"/>
      <c r="S1119" s="63"/>
      <c r="T1119" s="63"/>
      <c r="U1119" s="63"/>
      <c r="V1119" s="63"/>
      <c r="W1119" s="63"/>
      <c r="X1119" s="63"/>
      <c r="Y1119" s="63"/>
      <c r="Z1119" s="63"/>
      <c r="AA1119" s="63"/>
      <c r="AB1119" s="63"/>
      <c r="AC1119" s="63"/>
      <c r="AD1119" s="63"/>
      <c r="AE1119" s="63"/>
      <c r="AF1119" s="63"/>
    </row>
    <row r="1120">
      <c r="A1120" s="135"/>
      <c r="B1120" s="38"/>
      <c r="C1120" s="102"/>
      <c r="D1120" s="109"/>
      <c r="E1120" s="109"/>
      <c r="F1120" s="167"/>
      <c r="G1120" s="159"/>
      <c r="H1120" s="102"/>
      <c r="I1120" s="71"/>
      <c r="J1120" s="63"/>
      <c r="K1120" s="63"/>
      <c r="L1120" s="63"/>
      <c r="M1120" s="63"/>
      <c r="N1120" s="63"/>
      <c r="O1120" s="63"/>
      <c r="P1120" s="63"/>
      <c r="Q1120" s="63"/>
      <c r="R1120" s="63"/>
      <c r="S1120" s="63"/>
      <c r="T1120" s="63"/>
      <c r="U1120" s="63"/>
      <c r="V1120" s="63"/>
      <c r="W1120" s="63"/>
      <c r="X1120" s="63"/>
      <c r="Y1120" s="63"/>
      <c r="Z1120" s="63"/>
      <c r="AA1120" s="63"/>
      <c r="AB1120" s="63"/>
      <c r="AC1120" s="63"/>
      <c r="AD1120" s="63"/>
      <c r="AE1120" s="63"/>
      <c r="AF1120" s="63"/>
    </row>
    <row r="1121">
      <c r="A1121" s="135"/>
      <c r="B1121" s="38"/>
      <c r="C1121" s="102"/>
      <c r="D1121" s="109"/>
      <c r="E1121" s="109"/>
      <c r="F1121" s="167"/>
      <c r="G1121" s="159"/>
      <c r="H1121" s="102"/>
      <c r="I1121" s="71"/>
      <c r="J1121" s="63"/>
      <c r="K1121" s="63"/>
      <c r="L1121" s="63"/>
      <c r="M1121" s="63"/>
      <c r="N1121" s="63"/>
      <c r="O1121" s="63"/>
      <c r="P1121" s="63"/>
      <c r="Q1121" s="63"/>
      <c r="R1121" s="63"/>
      <c r="S1121" s="63"/>
      <c r="T1121" s="63"/>
      <c r="U1121" s="63"/>
      <c r="V1121" s="63"/>
      <c r="W1121" s="63"/>
      <c r="X1121" s="63"/>
      <c r="Y1121" s="63"/>
      <c r="Z1121" s="63"/>
      <c r="AA1121" s="63"/>
      <c r="AB1121" s="63"/>
      <c r="AC1121" s="63"/>
      <c r="AD1121" s="63"/>
      <c r="AE1121" s="63"/>
      <c r="AF1121" s="63"/>
    </row>
    <row r="1122">
      <c r="A1122" s="135"/>
      <c r="B1122" s="38"/>
      <c r="C1122" s="102"/>
      <c r="D1122" s="109"/>
      <c r="E1122" s="109"/>
      <c r="F1122" s="167"/>
      <c r="G1122" s="159"/>
      <c r="H1122" s="102"/>
      <c r="I1122" s="71"/>
      <c r="J1122" s="63"/>
      <c r="K1122" s="63"/>
      <c r="L1122" s="63"/>
      <c r="M1122" s="63"/>
      <c r="N1122" s="63"/>
      <c r="O1122" s="63"/>
      <c r="P1122" s="63"/>
      <c r="Q1122" s="63"/>
      <c r="R1122" s="63"/>
      <c r="S1122" s="63"/>
      <c r="T1122" s="63"/>
      <c r="U1122" s="63"/>
      <c r="V1122" s="63"/>
      <c r="W1122" s="63"/>
      <c r="X1122" s="63"/>
      <c r="Y1122" s="63"/>
      <c r="Z1122" s="63"/>
      <c r="AA1122" s="63"/>
      <c r="AB1122" s="63"/>
      <c r="AC1122" s="63"/>
      <c r="AD1122" s="63"/>
      <c r="AE1122" s="63"/>
      <c r="AF1122" s="63"/>
    </row>
    <row r="1123">
      <c r="A1123" s="135"/>
      <c r="B1123" s="38"/>
      <c r="C1123" s="102"/>
      <c r="D1123" s="109"/>
      <c r="E1123" s="109"/>
      <c r="F1123" s="167"/>
      <c r="G1123" s="159"/>
      <c r="H1123" s="102"/>
      <c r="I1123" s="71"/>
      <c r="J1123" s="63"/>
      <c r="K1123" s="63"/>
      <c r="L1123" s="63"/>
      <c r="M1123" s="63"/>
      <c r="N1123" s="63"/>
      <c r="O1123" s="63"/>
      <c r="P1123" s="63"/>
      <c r="Q1123" s="63"/>
      <c r="R1123" s="63"/>
      <c r="S1123" s="63"/>
      <c r="T1123" s="63"/>
      <c r="U1123" s="63"/>
      <c r="V1123" s="63"/>
      <c r="W1123" s="63"/>
      <c r="X1123" s="63"/>
      <c r="Y1123" s="63"/>
      <c r="Z1123" s="63"/>
      <c r="AA1123" s="63"/>
      <c r="AB1123" s="63"/>
      <c r="AC1123" s="63"/>
      <c r="AD1123" s="63"/>
      <c r="AE1123" s="63"/>
      <c r="AF1123" s="63"/>
    </row>
    <row r="1124">
      <c r="A1124" s="135"/>
      <c r="B1124" s="38"/>
      <c r="C1124" s="102"/>
      <c r="D1124" s="109"/>
      <c r="E1124" s="109"/>
      <c r="F1124" s="167"/>
      <c r="G1124" s="159"/>
      <c r="H1124" s="102"/>
      <c r="I1124" s="71"/>
      <c r="J1124" s="63"/>
      <c r="K1124" s="63"/>
      <c r="L1124" s="63"/>
      <c r="M1124" s="63"/>
      <c r="N1124" s="63"/>
      <c r="O1124" s="63"/>
      <c r="P1124" s="63"/>
      <c r="Q1124" s="63"/>
      <c r="R1124" s="63"/>
      <c r="S1124" s="63"/>
      <c r="T1124" s="63"/>
      <c r="U1124" s="63"/>
      <c r="V1124" s="63"/>
      <c r="W1124" s="63"/>
      <c r="X1124" s="63"/>
      <c r="Y1124" s="63"/>
      <c r="Z1124" s="63"/>
      <c r="AA1124" s="63"/>
      <c r="AB1124" s="63"/>
      <c r="AC1124" s="63"/>
      <c r="AD1124" s="63"/>
      <c r="AE1124" s="63"/>
      <c r="AF1124" s="63"/>
    </row>
    <row r="1125">
      <c r="A1125" s="135"/>
      <c r="B1125" s="38"/>
      <c r="C1125" s="102"/>
      <c r="D1125" s="109"/>
      <c r="E1125" s="109"/>
      <c r="F1125" s="167"/>
      <c r="G1125" s="159"/>
      <c r="H1125" s="102"/>
      <c r="I1125" s="71"/>
      <c r="J1125" s="63"/>
      <c r="K1125" s="63"/>
      <c r="L1125" s="63"/>
      <c r="M1125" s="63"/>
      <c r="N1125" s="63"/>
      <c r="O1125" s="63"/>
      <c r="P1125" s="63"/>
      <c r="Q1125" s="63"/>
      <c r="R1125" s="63"/>
      <c r="S1125" s="63"/>
      <c r="T1125" s="63"/>
      <c r="U1125" s="63"/>
      <c r="V1125" s="63"/>
      <c r="W1125" s="63"/>
      <c r="X1125" s="63"/>
      <c r="Y1125" s="63"/>
      <c r="Z1125" s="63"/>
      <c r="AA1125" s="63"/>
      <c r="AB1125" s="63"/>
      <c r="AC1125" s="63"/>
      <c r="AD1125" s="63"/>
      <c r="AE1125" s="63"/>
      <c r="AF1125" s="63"/>
    </row>
    <row r="1126">
      <c r="A1126" s="135"/>
      <c r="B1126" s="38"/>
      <c r="C1126" s="102"/>
      <c r="D1126" s="109"/>
      <c r="E1126" s="109"/>
      <c r="F1126" s="167"/>
      <c r="G1126" s="159"/>
      <c r="H1126" s="102"/>
      <c r="I1126" s="71"/>
      <c r="J1126" s="63"/>
      <c r="K1126" s="63"/>
      <c r="L1126" s="63"/>
      <c r="M1126" s="63"/>
      <c r="N1126" s="63"/>
      <c r="O1126" s="63"/>
      <c r="P1126" s="63"/>
      <c r="Q1126" s="63"/>
      <c r="R1126" s="63"/>
      <c r="S1126" s="63"/>
      <c r="T1126" s="63"/>
      <c r="U1126" s="63"/>
      <c r="V1126" s="63"/>
      <c r="W1126" s="63"/>
      <c r="X1126" s="63"/>
      <c r="Y1126" s="63"/>
      <c r="Z1126" s="63"/>
      <c r="AA1126" s="63"/>
      <c r="AB1126" s="63"/>
      <c r="AC1126" s="63"/>
      <c r="AD1126" s="63"/>
      <c r="AE1126" s="63"/>
      <c r="AF1126" s="63"/>
    </row>
    <row r="1127">
      <c r="A1127" s="135"/>
      <c r="B1127" s="38"/>
      <c r="C1127" s="102"/>
      <c r="D1127" s="109"/>
      <c r="E1127" s="109"/>
      <c r="F1127" s="167"/>
      <c r="G1127" s="159"/>
      <c r="H1127" s="102"/>
      <c r="I1127" s="71"/>
      <c r="J1127" s="63"/>
      <c r="K1127" s="63"/>
      <c r="L1127" s="63"/>
      <c r="M1127" s="63"/>
      <c r="N1127" s="63"/>
      <c r="O1127" s="63"/>
      <c r="P1127" s="63"/>
      <c r="Q1127" s="63"/>
      <c r="R1127" s="63"/>
      <c r="S1127" s="63"/>
      <c r="T1127" s="63"/>
      <c r="U1127" s="63"/>
      <c r="V1127" s="63"/>
      <c r="W1127" s="63"/>
      <c r="X1127" s="63"/>
      <c r="Y1127" s="63"/>
      <c r="Z1127" s="63"/>
      <c r="AA1127" s="63"/>
      <c r="AB1127" s="63"/>
      <c r="AC1127" s="63"/>
      <c r="AD1127" s="63"/>
      <c r="AE1127" s="63"/>
      <c r="AF1127" s="63"/>
    </row>
    <row r="1128">
      <c r="A1128" s="135"/>
      <c r="B1128" s="38"/>
      <c r="C1128" s="102"/>
      <c r="D1128" s="109"/>
      <c r="E1128" s="109"/>
      <c r="F1128" s="167"/>
      <c r="G1128" s="159"/>
      <c r="H1128" s="102"/>
      <c r="I1128" s="71"/>
      <c r="J1128" s="63"/>
      <c r="K1128" s="63"/>
      <c r="L1128" s="63"/>
      <c r="M1128" s="63"/>
      <c r="N1128" s="63"/>
      <c r="O1128" s="63"/>
      <c r="P1128" s="63"/>
      <c r="Q1128" s="63"/>
      <c r="R1128" s="63"/>
      <c r="S1128" s="63"/>
      <c r="T1128" s="63"/>
      <c r="U1128" s="63"/>
      <c r="V1128" s="63"/>
      <c r="W1128" s="63"/>
      <c r="X1128" s="63"/>
      <c r="Y1128" s="63"/>
      <c r="Z1128" s="63"/>
      <c r="AA1128" s="63"/>
      <c r="AB1128" s="63"/>
      <c r="AC1128" s="63"/>
      <c r="AD1128" s="63"/>
      <c r="AE1128" s="63"/>
      <c r="AF1128" s="63"/>
    </row>
    <row r="1129">
      <c r="A1129" s="135"/>
      <c r="B1129" s="38"/>
      <c r="C1129" s="102"/>
      <c r="D1129" s="109"/>
      <c r="E1129" s="109"/>
      <c r="F1129" s="167"/>
      <c r="G1129" s="159"/>
      <c r="H1129" s="102"/>
      <c r="I1129" s="71"/>
      <c r="J1129" s="63"/>
      <c r="K1129" s="63"/>
      <c r="L1129" s="63"/>
      <c r="M1129" s="63"/>
      <c r="N1129" s="63"/>
      <c r="O1129" s="63"/>
      <c r="P1129" s="63"/>
      <c r="Q1129" s="63"/>
      <c r="R1129" s="63"/>
      <c r="S1129" s="63"/>
      <c r="T1129" s="63"/>
      <c r="U1129" s="63"/>
      <c r="V1129" s="63"/>
      <c r="W1129" s="63"/>
      <c r="X1129" s="63"/>
      <c r="Y1129" s="63"/>
      <c r="Z1129" s="63"/>
      <c r="AA1129" s="63"/>
      <c r="AB1129" s="63"/>
      <c r="AC1129" s="63"/>
      <c r="AD1129" s="63"/>
      <c r="AE1129" s="63"/>
      <c r="AF1129" s="63"/>
    </row>
    <row r="1130">
      <c r="A1130" s="135"/>
      <c r="B1130" s="38"/>
      <c r="C1130" s="102"/>
      <c r="D1130" s="109"/>
      <c r="E1130" s="109"/>
      <c r="F1130" s="167"/>
      <c r="G1130" s="159"/>
      <c r="H1130" s="102"/>
      <c r="I1130" s="71"/>
      <c r="J1130" s="63"/>
      <c r="K1130" s="63"/>
      <c r="L1130" s="63"/>
      <c r="M1130" s="63"/>
      <c r="N1130" s="63"/>
      <c r="O1130" s="63"/>
      <c r="P1130" s="63"/>
      <c r="Q1130" s="63"/>
      <c r="R1130" s="63"/>
      <c r="S1130" s="63"/>
      <c r="T1130" s="63"/>
      <c r="U1130" s="63"/>
      <c r="V1130" s="63"/>
      <c r="W1130" s="63"/>
      <c r="X1130" s="63"/>
      <c r="Y1130" s="63"/>
      <c r="Z1130" s="63"/>
      <c r="AA1130" s="63"/>
      <c r="AB1130" s="63"/>
      <c r="AC1130" s="63"/>
      <c r="AD1130" s="63"/>
      <c r="AE1130" s="63"/>
      <c r="AF1130" s="63"/>
    </row>
    <row r="1131">
      <c r="A1131" s="135"/>
      <c r="B1131" s="38"/>
      <c r="C1131" s="102"/>
      <c r="D1131" s="109"/>
      <c r="E1131" s="109"/>
      <c r="F1131" s="167"/>
      <c r="G1131" s="159"/>
      <c r="H1131" s="102"/>
      <c r="I1131" s="71"/>
      <c r="J1131" s="63"/>
      <c r="K1131" s="63"/>
      <c r="L1131" s="63"/>
      <c r="M1131" s="63"/>
      <c r="N1131" s="63"/>
      <c r="O1131" s="63"/>
      <c r="P1131" s="63"/>
      <c r="Q1131" s="63"/>
      <c r="R1131" s="63"/>
      <c r="S1131" s="63"/>
      <c r="T1131" s="63"/>
      <c r="U1131" s="63"/>
      <c r="V1131" s="63"/>
      <c r="W1131" s="63"/>
      <c r="X1131" s="63"/>
      <c r="Y1131" s="63"/>
      <c r="Z1131" s="63"/>
      <c r="AA1131" s="63"/>
      <c r="AB1131" s="63"/>
      <c r="AC1131" s="63"/>
      <c r="AD1131" s="63"/>
      <c r="AE1131" s="63"/>
      <c r="AF1131" s="63"/>
    </row>
    <row r="1132">
      <c r="A1132" s="135"/>
      <c r="B1132" s="38"/>
      <c r="C1132" s="102"/>
      <c r="D1132" s="109"/>
      <c r="E1132" s="109"/>
      <c r="F1132" s="167"/>
      <c r="G1132" s="159"/>
      <c r="H1132" s="102"/>
      <c r="I1132" s="71"/>
      <c r="J1132" s="63"/>
      <c r="K1132" s="63"/>
      <c r="L1132" s="63"/>
      <c r="M1132" s="63"/>
      <c r="N1132" s="63"/>
      <c r="O1132" s="63"/>
      <c r="P1132" s="63"/>
      <c r="Q1132" s="63"/>
      <c r="R1132" s="63"/>
      <c r="S1132" s="63"/>
      <c r="T1132" s="63"/>
      <c r="U1132" s="63"/>
      <c r="V1132" s="63"/>
      <c r="W1132" s="63"/>
      <c r="X1132" s="63"/>
      <c r="Y1132" s="63"/>
      <c r="Z1132" s="63"/>
      <c r="AA1132" s="63"/>
      <c r="AB1132" s="63"/>
      <c r="AC1132" s="63"/>
      <c r="AD1132" s="63"/>
      <c r="AE1132" s="63"/>
      <c r="AF1132" s="63"/>
    </row>
    <row r="1133">
      <c r="A1133" s="135"/>
      <c r="B1133" s="38"/>
      <c r="C1133" s="102"/>
      <c r="D1133" s="109"/>
      <c r="E1133" s="109"/>
      <c r="F1133" s="167"/>
      <c r="G1133" s="159"/>
      <c r="H1133" s="102"/>
      <c r="I1133" s="71"/>
      <c r="J1133" s="63"/>
      <c r="K1133" s="63"/>
      <c r="L1133" s="63"/>
      <c r="M1133" s="63"/>
      <c r="N1133" s="63"/>
      <c r="O1133" s="63"/>
      <c r="P1133" s="63"/>
      <c r="Q1133" s="63"/>
      <c r="R1133" s="63"/>
      <c r="S1133" s="63"/>
      <c r="T1133" s="63"/>
      <c r="U1133" s="63"/>
      <c r="V1133" s="63"/>
      <c r="W1133" s="63"/>
      <c r="X1133" s="63"/>
      <c r="Y1133" s="63"/>
      <c r="Z1133" s="63"/>
      <c r="AA1133" s="63"/>
      <c r="AB1133" s="63"/>
      <c r="AC1133" s="63"/>
      <c r="AD1133" s="63"/>
      <c r="AE1133" s="63"/>
      <c r="AF1133" s="63"/>
    </row>
    <row r="1134">
      <c r="A1134" s="135"/>
      <c r="B1134" s="38"/>
      <c r="C1134" s="102"/>
      <c r="D1134" s="109"/>
      <c r="E1134" s="109"/>
      <c r="F1134" s="167"/>
      <c r="G1134" s="159"/>
      <c r="H1134" s="102"/>
      <c r="I1134" s="71"/>
      <c r="J1134" s="63"/>
      <c r="K1134" s="63"/>
      <c r="L1134" s="63"/>
      <c r="M1134" s="63"/>
      <c r="N1134" s="63"/>
      <c r="O1134" s="63"/>
      <c r="P1134" s="63"/>
      <c r="Q1134" s="63"/>
      <c r="R1134" s="63"/>
      <c r="S1134" s="63"/>
      <c r="T1134" s="63"/>
      <c r="U1134" s="63"/>
      <c r="V1134" s="63"/>
      <c r="W1134" s="63"/>
      <c r="X1134" s="63"/>
      <c r="Y1134" s="63"/>
      <c r="Z1134" s="63"/>
      <c r="AA1134" s="63"/>
      <c r="AB1134" s="63"/>
      <c r="AC1134" s="63"/>
      <c r="AD1134" s="63"/>
      <c r="AE1134" s="63"/>
      <c r="AF1134" s="63"/>
    </row>
    <row r="1135">
      <c r="A1135" s="135"/>
      <c r="B1135" s="38"/>
      <c r="C1135" s="102"/>
      <c r="D1135" s="109"/>
      <c r="E1135" s="109"/>
      <c r="F1135" s="167"/>
      <c r="G1135" s="159"/>
      <c r="H1135" s="102"/>
      <c r="I1135" s="71"/>
      <c r="J1135" s="63"/>
      <c r="K1135" s="63"/>
      <c r="L1135" s="63"/>
      <c r="M1135" s="63"/>
      <c r="N1135" s="63"/>
      <c r="O1135" s="63"/>
      <c r="P1135" s="63"/>
      <c r="Q1135" s="63"/>
      <c r="R1135" s="63"/>
      <c r="S1135" s="63"/>
      <c r="T1135" s="63"/>
      <c r="U1135" s="63"/>
      <c r="V1135" s="63"/>
      <c r="W1135" s="63"/>
      <c r="X1135" s="63"/>
      <c r="Y1135" s="63"/>
      <c r="Z1135" s="63"/>
      <c r="AA1135" s="63"/>
      <c r="AB1135" s="63"/>
      <c r="AC1135" s="63"/>
      <c r="AD1135" s="63"/>
      <c r="AE1135" s="63"/>
      <c r="AF1135" s="63"/>
    </row>
    <row r="1136">
      <c r="A1136" s="135"/>
      <c r="B1136" s="38"/>
      <c r="C1136" s="102"/>
      <c r="D1136" s="109"/>
      <c r="E1136" s="109"/>
      <c r="F1136" s="167"/>
      <c r="G1136" s="159"/>
      <c r="H1136" s="102"/>
      <c r="I1136" s="71"/>
      <c r="J1136" s="63"/>
      <c r="K1136" s="63"/>
      <c r="L1136" s="63"/>
      <c r="M1136" s="63"/>
      <c r="N1136" s="63"/>
      <c r="O1136" s="63"/>
      <c r="P1136" s="63"/>
      <c r="Q1136" s="63"/>
      <c r="R1136" s="63"/>
      <c r="S1136" s="63"/>
      <c r="T1136" s="63"/>
      <c r="U1136" s="63"/>
      <c r="V1136" s="63"/>
      <c r="W1136" s="63"/>
      <c r="X1136" s="63"/>
      <c r="Y1136" s="63"/>
      <c r="Z1136" s="63"/>
      <c r="AA1136" s="63"/>
      <c r="AB1136" s="63"/>
      <c r="AC1136" s="63"/>
      <c r="AD1136" s="63"/>
      <c r="AE1136" s="63"/>
      <c r="AF1136" s="63"/>
    </row>
    <row r="1137">
      <c r="A1137" s="135"/>
      <c r="B1137" s="38"/>
      <c r="C1137" s="102"/>
      <c r="D1137" s="109"/>
      <c r="E1137" s="109"/>
      <c r="F1137" s="167"/>
      <c r="G1137" s="159"/>
      <c r="H1137" s="102"/>
      <c r="I1137" s="71"/>
      <c r="J1137" s="63"/>
      <c r="K1137" s="63"/>
      <c r="L1137" s="63"/>
      <c r="M1137" s="63"/>
      <c r="N1137" s="63"/>
      <c r="O1137" s="63"/>
      <c r="P1137" s="63"/>
      <c r="Q1137" s="63"/>
      <c r="R1137" s="63"/>
      <c r="S1137" s="63"/>
      <c r="T1137" s="63"/>
      <c r="U1137" s="63"/>
      <c r="V1137" s="63"/>
      <c r="W1137" s="63"/>
      <c r="X1137" s="63"/>
      <c r="Y1137" s="63"/>
      <c r="Z1137" s="63"/>
      <c r="AA1137" s="63"/>
      <c r="AB1137" s="63"/>
      <c r="AC1137" s="63"/>
      <c r="AD1137" s="63"/>
      <c r="AE1137" s="63"/>
      <c r="AF1137" s="63"/>
    </row>
    <row r="1138">
      <c r="A1138" s="135"/>
      <c r="B1138" s="38"/>
      <c r="C1138" s="102"/>
      <c r="D1138" s="109"/>
      <c r="E1138" s="109"/>
      <c r="F1138" s="167"/>
      <c r="G1138" s="159"/>
      <c r="H1138" s="102"/>
      <c r="I1138" s="71"/>
      <c r="J1138" s="63"/>
      <c r="K1138" s="63"/>
      <c r="L1138" s="63"/>
      <c r="M1138" s="63"/>
      <c r="N1138" s="63"/>
      <c r="O1138" s="63"/>
      <c r="P1138" s="63"/>
      <c r="Q1138" s="63"/>
      <c r="R1138" s="63"/>
      <c r="S1138" s="63"/>
      <c r="T1138" s="63"/>
      <c r="U1138" s="63"/>
      <c r="V1138" s="63"/>
      <c r="W1138" s="63"/>
      <c r="X1138" s="63"/>
      <c r="Y1138" s="63"/>
      <c r="Z1138" s="63"/>
      <c r="AA1138" s="63"/>
      <c r="AB1138" s="63"/>
      <c r="AC1138" s="63"/>
      <c r="AD1138" s="63"/>
      <c r="AE1138" s="63"/>
      <c r="AF1138" s="63"/>
    </row>
    <row r="1139">
      <c r="A1139" s="135"/>
      <c r="B1139" s="38"/>
      <c r="C1139" s="102"/>
      <c r="D1139" s="109"/>
      <c r="E1139" s="109"/>
      <c r="F1139" s="167"/>
      <c r="G1139" s="159"/>
      <c r="H1139" s="102"/>
      <c r="I1139" s="71"/>
      <c r="J1139" s="63"/>
      <c r="K1139" s="63"/>
      <c r="L1139" s="63"/>
      <c r="M1139" s="63"/>
      <c r="N1139" s="63"/>
      <c r="O1139" s="63"/>
      <c r="P1139" s="63"/>
      <c r="Q1139" s="63"/>
      <c r="R1139" s="63"/>
      <c r="S1139" s="63"/>
      <c r="T1139" s="63"/>
      <c r="U1139" s="63"/>
      <c r="V1139" s="63"/>
      <c r="W1139" s="63"/>
      <c r="X1139" s="63"/>
      <c r="Y1139" s="63"/>
      <c r="Z1139" s="63"/>
      <c r="AA1139" s="63"/>
      <c r="AB1139" s="63"/>
      <c r="AC1139" s="63"/>
      <c r="AD1139" s="63"/>
      <c r="AE1139" s="63"/>
      <c r="AF1139" s="63"/>
    </row>
    <row r="1140">
      <c r="A1140" s="135"/>
      <c r="B1140" s="38"/>
      <c r="C1140" s="102"/>
      <c r="D1140" s="109"/>
      <c r="E1140" s="109"/>
      <c r="F1140" s="167"/>
      <c r="G1140" s="159"/>
      <c r="H1140" s="102"/>
      <c r="I1140" s="71"/>
      <c r="J1140" s="63"/>
      <c r="K1140" s="63"/>
      <c r="L1140" s="63"/>
      <c r="M1140" s="63"/>
      <c r="N1140" s="63"/>
      <c r="O1140" s="63"/>
      <c r="P1140" s="63"/>
      <c r="Q1140" s="63"/>
      <c r="R1140" s="63"/>
      <c r="S1140" s="63"/>
      <c r="T1140" s="63"/>
      <c r="U1140" s="63"/>
      <c r="V1140" s="63"/>
      <c r="W1140" s="63"/>
      <c r="X1140" s="63"/>
      <c r="Y1140" s="63"/>
      <c r="Z1140" s="63"/>
      <c r="AA1140" s="63"/>
      <c r="AB1140" s="63"/>
      <c r="AC1140" s="63"/>
      <c r="AD1140" s="63"/>
      <c r="AE1140" s="63"/>
      <c r="AF1140" s="63"/>
    </row>
    <row r="1141">
      <c r="A1141" s="135"/>
      <c r="B1141" s="38"/>
      <c r="C1141" s="102"/>
      <c r="D1141" s="109"/>
      <c r="E1141" s="109"/>
      <c r="F1141" s="167"/>
      <c r="G1141" s="159"/>
      <c r="H1141" s="102"/>
      <c r="I1141" s="71"/>
      <c r="J1141" s="63"/>
      <c r="K1141" s="63"/>
      <c r="L1141" s="63"/>
      <c r="M1141" s="63"/>
      <c r="N1141" s="63"/>
      <c r="O1141" s="63"/>
      <c r="P1141" s="63"/>
      <c r="Q1141" s="63"/>
      <c r="R1141" s="63"/>
      <c r="S1141" s="63"/>
      <c r="T1141" s="63"/>
      <c r="U1141" s="63"/>
      <c r="V1141" s="63"/>
      <c r="W1141" s="63"/>
      <c r="X1141" s="63"/>
      <c r="Y1141" s="63"/>
      <c r="Z1141" s="63"/>
      <c r="AA1141" s="63"/>
      <c r="AB1141" s="63"/>
      <c r="AC1141" s="63"/>
      <c r="AD1141" s="63"/>
      <c r="AE1141" s="63"/>
      <c r="AF1141" s="63"/>
    </row>
    <row r="1142">
      <c r="A1142" s="135"/>
      <c r="B1142" s="38"/>
      <c r="C1142" s="102"/>
      <c r="D1142" s="109"/>
      <c r="E1142" s="109"/>
      <c r="F1142" s="167"/>
      <c r="G1142" s="159"/>
      <c r="H1142" s="102"/>
      <c r="I1142" s="71"/>
      <c r="J1142" s="63"/>
      <c r="K1142" s="63"/>
      <c r="L1142" s="63"/>
      <c r="M1142" s="63"/>
      <c r="N1142" s="63"/>
      <c r="O1142" s="63"/>
      <c r="P1142" s="63"/>
      <c r="Q1142" s="63"/>
      <c r="R1142" s="63"/>
      <c r="S1142" s="63"/>
      <c r="T1142" s="63"/>
      <c r="U1142" s="63"/>
      <c r="V1142" s="63"/>
      <c r="W1142" s="63"/>
      <c r="X1142" s="63"/>
      <c r="Y1142" s="63"/>
      <c r="Z1142" s="63"/>
      <c r="AA1142" s="63"/>
      <c r="AB1142" s="63"/>
      <c r="AC1142" s="63"/>
      <c r="AD1142" s="63"/>
      <c r="AE1142" s="63"/>
      <c r="AF1142" s="63"/>
    </row>
    <row r="1143">
      <c r="A1143" s="135"/>
      <c r="B1143" s="38"/>
      <c r="C1143" s="102"/>
      <c r="D1143" s="109"/>
      <c r="E1143" s="109"/>
      <c r="F1143" s="167"/>
      <c r="G1143" s="159"/>
      <c r="H1143" s="102"/>
      <c r="I1143" s="71"/>
      <c r="J1143" s="63"/>
      <c r="K1143" s="63"/>
      <c r="L1143" s="63"/>
      <c r="M1143" s="63"/>
      <c r="N1143" s="63"/>
      <c r="O1143" s="63"/>
      <c r="P1143" s="63"/>
      <c r="Q1143" s="63"/>
      <c r="R1143" s="63"/>
      <c r="S1143" s="63"/>
      <c r="T1143" s="63"/>
      <c r="U1143" s="63"/>
      <c r="V1143" s="63"/>
      <c r="W1143" s="63"/>
      <c r="X1143" s="63"/>
      <c r="Y1143" s="63"/>
      <c r="Z1143" s="63"/>
      <c r="AA1143" s="63"/>
      <c r="AB1143" s="63"/>
      <c r="AC1143" s="63"/>
      <c r="AD1143" s="63"/>
      <c r="AE1143" s="63"/>
      <c r="AF1143" s="63"/>
    </row>
    <row r="1144">
      <c r="A1144" s="135"/>
      <c r="B1144" s="38"/>
      <c r="C1144" s="102"/>
      <c r="D1144" s="109"/>
      <c r="E1144" s="109"/>
      <c r="F1144" s="167"/>
      <c r="G1144" s="159"/>
      <c r="H1144" s="102"/>
      <c r="I1144" s="71"/>
      <c r="J1144" s="63"/>
      <c r="K1144" s="63"/>
      <c r="L1144" s="63"/>
      <c r="M1144" s="63"/>
      <c r="N1144" s="63"/>
      <c r="O1144" s="63"/>
      <c r="P1144" s="63"/>
      <c r="Q1144" s="63"/>
      <c r="R1144" s="63"/>
      <c r="S1144" s="63"/>
      <c r="T1144" s="63"/>
      <c r="U1144" s="63"/>
      <c r="V1144" s="63"/>
      <c r="W1144" s="63"/>
      <c r="X1144" s="63"/>
      <c r="Y1144" s="63"/>
      <c r="Z1144" s="63"/>
      <c r="AA1144" s="63"/>
      <c r="AB1144" s="63"/>
      <c r="AC1144" s="63"/>
      <c r="AD1144" s="63"/>
      <c r="AE1144" s="63"/>
      <c r="AF1144" s="63"/>
    </row>
    <row r="1145">
      <c r="A1145" s="135"/>
      <c r="B1145" s="38"/>
      <c r="C1145" s="102"/>
      <c r="D1145" s="109"/>
      <c r="E1145" s="109"/>
      <c r="F1145" s="167"/>
      <c r="G1145" s="159"/>
      <c r="H1145" s="102"/>
      <c r="I1145" s="71"/>
      <c r="J1145" s="63"/>
      <c r="K1145" s="63"/>
      <c r="L1145" s="63"/>
      <c r="M1145" s="63"/>
      <c r="N1145" s="63"/>
      <c r="O1145" s="63"/>
      <c r="P1145" s="63"/>
      <c r="Q1145" s="63"/>
      <c r="R1145" s="63"/>
      <c r="S1145" s="63"/>
      <c r="T1145" s="63"/>
      <c r="U1145" s="63"/>
      <c r="V1145" s="63"/>
      <c r="W1145" s="63"/>
      <c r="X1145" s="63"/>
      <c r="Y1145" s="63"/>
      <c r="Z1145" s="63"/>
      <c r="AA1145" s="63"/>
      <c r="AB1145" s="63"/>
      <c r="AC1145" s="63"/>
      <c r="AD1145" s="63"/>
      <c r="AE1145" s="63"/>
      <c r="AF1145" s="63"/>
    </row>
    <row r="1146">
      <c r="A1146" s="135"/>
      <c r="B1146" s="38"/>
      <c r="C1146" s="102"/>
      <c r="D1146" s="109"/>
      <c r="E1146" s="109"/>
      <c r="F1146" s="167"/>
      <c r="G1146" s="159"/>
      <c r="H1146" s="102"/>
      <c r="I1146" s="71"/>
      <c r="J1146" s="63"/>
      <c r="K1146" s="63"/>
      <c r="L1146" s="63"/>
      <c r="M1146" s="63"/>
      <c r="N1146" s="63"/>
      <c r="O1146" s="63"/>
      <c r="P1146" s="63"/>
      <c r="Q1146" s="63"/>
      <c r="R1146" s="63"/>
      <c r="S1146" s="63"/>
      <c r="T1146" s="63"/>
      <c r="U1146" s="63"/>
      <c r="V1146" s="63"/>
      <c r="W1146" s="63"/>
      <c r="X1146" s="63"/>
      <c r="Y1146" s="63"/>
      <c r="Z1146" s="63"/>
      <c r="AA1146" s="63"/>
      <c r="AB1146" s="63"/>
      <c r="AC1146" s="63"/>
      <c r="AD1146" s="63"/>
      <c r="AE1146" s="63"/>
      <c r="AF1146" s="63"/>
    </row>
    <row r="1147">
      <c r="A1147" s="135"/>
      <c r="B1147" s="38"/>
      <c r="C1147" s="102"/>
      <c r="D1147" s="109"/>
      <c r="E1147" s="109"/>
      <c r="F1147" s="167"/>
      <c r="G1147" s="159"/>
      <c r="H1147" s="102"/>
      <c r="I1147" s="71"/>
      <c r="J1147" s="63"/>
      <c r="K1147" s="63"/>
      <c r="L1147" s="63"/>
      <c r="M1147" s="63"/>
      <c r="N1147" s="63"/>
      <c r="O1147" s="63"/>
      <c r="P1147" s="63"/>
      <c r="Q1147" s="63"/>
      <c r="R1147" s="63"/>
      <c r="S1147" s="63"/>
      <c r="T1147" s="63"/>
      <c r="U1147" s="63"/>
      <c r="V1147" s="63"/>
      <c r="W1147" s="63"/>
      <c r="X1147" s="63"/>
      <c r="Y1147" s="63"/>
      <c r="Z1147" s="63"/>
      <c r="AA1147" s="63"/>
      <c r="AB1147" s="63"/>
      <c r="AC1147" s="63"/>
      <c r="AD1147" s="63"/>
      <c r="AE1147" s="63"/>
      <c r="AF1147" s="63"/>
    </row>
    <row r="1148">
      <c r="A1148" s="135"/>
      <c r="B1148" s="38"/>
      <c r="C1148" s="102"/>
      <c r="D1148" s="109"/>
      <c r="E1148" s="109"/>
      <c r="F1148" s="167"/>
      <c r="G1148" s="159"/>
      <c r="H1148" s="102"/>
      <c r="I1148" s="71"/>
      <c r="J1148" s="63"/>
      <c r="K1148" s="63"/>
      <c r="L1148" s="63"/>
      <c r="M1148" s="63"/>
      <c r="N1148" s="63"/>
      <c r="O1148" s="63"/>
      <c r="P1148" s="63"/>
      <c r="Q1148" s="63"/>
      <c r="R1148" s="63"/>
      <c r="S1148" s="63"/>
      <c r="T1148" s="63"/>
      <c r="U1148" s="63"/>
      <c r="V1148" s="63"/>
      <c r="W1148" s="63"/>
      <c r="X1148" s="63"/>
      <c r="Y1148" s="63"/>
      <c r="Z1148" s="63"/>
      <c r="AA1148" s="63"/>
      <c r="AB1148" s="63"/>
      <c r="AC1148" s="63"/>
      <c r="AD1148" s="63"/>
      <c r="AE1148" s="63"/>
      <c r="AF1148" s="63"/>
    </row>
    <row r="1149">
      <c r="A1149" s="135"/>
      <c r="B1149" s="38"/>
      <c r="C1149" s="102"/>
      <c r="D1149" s="109"/>
      <c r="E1149" s="109"/>
      <c r="F1149" s="167"/>
      <c r="G1149" s="159"/>
      <c r="H1149" s="102"/>
      <c r="I1149" s="71"/>
      <c r="J1149" s="63"/>
      <c r="K1149" s="63"/>
      <c r="L1149" s="63"/>
      <c r="M1149" s="63"/>
      <c r="N1149" s="63"/>
      <c r="O1149" s="63"/>
      <c r="P1149" s="63"/>
      <c r="Q1149" s="63"/>
      <c r="R1149" s="63"/>
      <c r="S1149" s="63"/>
      <c r="T1149" s="63"/>
      <c r="U1149" s="63"/>
      <c r="V1149" s="63"/>
      <c r="W1149" s="63"/>
      <c r="X1149" s="63"/>
      <c r="Y1149" s="63"/>
      <c r="Z1149" s="63"/>
      <c r="AA1149" s="63"/>
      <c r="AB1149" s="63"/>
      <c r="AC1149" s="63"/>
      <c r="AD1149" s="63"/>
      <c r="AE1149" s="63"/>
      <c r="AF1149" s="63"/>
    </row>
    <row r="1150">
      <c r="A1150" s="135"/>
      <c r="B1150" s="38"/>
      <c r="C1150" s="102"/>
      <c r="D1150" s="109"/>
      <c r="E1150" s="109"/>
      <c r="F1150" s="167"/>
      <c r="G1150" s="159"/>
      <c r="H1150" s="102"/>
      <c r="I1150" s="71"/>
      <c r="J1150" s="63"/>
      <c r="K1150" s="63"/>
      <c r="L1150" s="63"/>
      <c r="M1150" s="63"/>
      <c r="N1150" s="63"/>
      <c r="O1150" s="63"/>
      <c r="P1150" s="63"/>
      <c r="Q1150" s="63"/>
      <c r="R1150" s="63"/>
      <c r="S1150" s="63"/>
      <c r="T1150" s="63"/>
      <c r="U1150" s="63"/>
      <c r="V1150" s="63"/>
      <c r="W1150" s="63"/>
      <c r="X1150" s="63"/>
      <c r="Y1150" s="63"/>
      <c r="Z1150" s="63"/>
      <c r="AA1150" s="63"/>
      <c r="AB1150" s="63"/>
      <c r="AC1150" s="63"/>
      <c r="AD1150" s="63"/>
      <c r="AE1150" s="63"/>
      <c r="AF1150" s="63"/>
    </row>
    <row r="1151">
      <c r="A1151" s="135"/>
      <c r="B1151" s="38"/>
      <c r="C1151" s="102"/>
      <c r="D1151" s="109"/>
      <c r="E1151" s="109"/>
      <c r="F1151" s="167"/>
      <c r="G1151" s="159"/>
      <c r="H1151" s="102"/>
      <c r="I1151" s="71"/>
      <c r="J1151" s="63"/>
      <c r="K1151" s="63"/>
      <c r="L1151" s="63"/>
      <c r="M1151" s="63"/>
      <c r="N1151" s="63"/>
      <c r="O1151" s="63"/>
      <c r="P1151" s="63"/>
      <c r="Q1151" s="63"/>
      <c r="R1151" s="63"/>
      <c r="S1151" s="63"/>
      <c r="T1151" s="63"/>
      <c r="U1151" s="63"/>
      <c r="V1151" s="63"/>
      <c r="W1151" s="63"/>
      <c r="X1151" s="63"/>
      <c r="Y1151" s="63"/>
      <c r="Z1151" s="63"/>
      <c r="AA1151" s="63"/>
      <c r="AB1151" s="63"/>
      <c r="AC1151" s="63"/>
      <c r="AD1151" s="63"/>
      <c r="AE1151" s="63"/>
      <c r="AF1151" s="63"/>
    </row>
    <row r="1152">
      <c r="A1152" s="135"/>
      <c r="B1152" s="38"/>
      <c r="C1152" s="102"/>
      <c r="D1152" s="109"/>
      <c r="E1152" s="109"/>
      <c r="F1152" s="167"/>
      <c r="G1152" s="159"/>
      <c r="H1152" s="102"/>
      <c r="I1152" s="71"/>
      <c r="J1152" s="63"/>
      <c r="K1152" s="63"/>
      <c r="L1152" s="63"/>
      <c r="M1152" s="63"/>
      <c r="N1152" s="63"/>
      <c r="O1152" s="63"/>
      <c r="P1152" s="63"/>
      <c r="Q1152" s="63"/>
      <c r="R1152" s="63"/>
      <c r="S1152" s="63"/>
      <c r="T1152" s="63"/>
      <c r="U1152" s="63"/>
      <c r="V1152" s="63"/>
      <c r="W1152" s="63"/>
      <c r="X1152" s="63"/>
      <c r="Y1152" s="63"/>
      <c r="Z1152" s="63"/>
      <c r="AA1152" s="63"/>
      <c r="AB1152" s="63"/>
      <c r="AC1152" s="63"/>
      <c r="AD1152" s="63"/>
      <c r="AE1152" s="63"/>
      <c r="AF1152" s="63"/>
    </row>
    <row r="1153">
      <c r="A1153" s="135"/>
      <c r="B1153" s="38"/>
      <c r="C1153" s="102"/>
      <c r="D1153" s="109"/>
      <c r="E1153" s="109"/>
      <c r="F1153" s="167"/>
      <c r="G1153" s="159"/>
      <c r="H1153" s="102"/>
      <c r="I1153" s="71"/>
      <c r="J1153" s="63"/>
      <c r="K1153" s="63"/>
      <c r="L1153" s="63"/>
      <c r="M1153" s="63"/>
      <c r="N1153" s="63"/>
      <c r="O1153" s="63"/>
      <c r="P1153" s="63"/>
      <c r="Q1153" s="63"/>
      <c r="R1153" s="63"/>
      <c r="S1153" s="63"/>
      <c r="T1153" s="63"/>
      <c r="U1153" s="63"/>
      <c r="V1153" s="63"/>
      <c r="W1153" s="63"/>
      <c r="X1153" s="63"/>
      <c r="Y1153" s="63"/>
      <c r="Z1153" s="63"/>
      <c r="AA1153" s="63"/>
      <c r="AB1153" s="63"/>
      <c r="AC1153" s="63"/>
      <c r="AD1153" s="63"/>
      <c r="AE1153" s="63"/>
      <c r="AF1153" s="63"/>
    </row>
    <row r="1154">
      <c r="A1154" s="135"/>
      <c r="B1154" s="38"/>
      <c r="C1154" s="102"/>
      <c r="D1154" s="109"/>
      <c r="E1154" s="109"/>
      <c r="F1154" s="167"/>
      <c r="G1154" s="159"/>
      <c r="H1154" s="102"/>
      <c r="I1154" s="71"/>
      <c r="J1154" s="63"/>
      <c r="K1154" s="63"/>
      <c r="L1154" s="63"/>
      <c r="M1154" s="63"/>
      <c r="N1154" s="63"/>
      <c r="O1154" s="63"/>
      <c r="P1154" s="63"/>
      <c r="Q1154" s="63"/>
      <c r="R1154" s="63"/>
      <c r="S1154" s="63"/>
      <c r="T1154" s="63"/>
      <c r="U1154" s="63"/>
      <c r="V1154" s="63"/>
      <c r="W1154" s="63"/>
      <c r="X1154" s="63"/>
      <c r="Y1154" s="63"/>
      <c r="Z1154" s="63"/>
      <c r="AA1154" s="63"/>
      <c r="AB1154" s="63"/>
      <c r="AC1154" s="63"/>
      <c r="AD1154" s="63"/>
      <c r="AE1154" s="63"/>
      <c r="AF1154" s="63"/>
    </row>
    <row r="1155">
      <c r="A1155" s="135"/>
      <c r="B1155" s="38"/>
      <c r="C1155" s="102"/>
      <c r="D1155" s="109"/>
      <c r="E1155" s="109"/>
      <c r="F1155" s="167"/>
      <c r="G1155" s="159"/>
      <c r="H1155" s="102"/>
      <c r="I1155" s="71"/>
      <c r="J1155" s="63"/>
      <c r="K1155" s="63"/>
      <c r="L1155" s="63"/>
      <c r="M1155" s="63"/>
      <c r="N1155" s="63"/>
      <c r="O1155" s="63"/>
      <c r="P1155" s="63"/>
      <c r="Q1155" s="63"/>
      <c r="R1155" s="63"/>
      <c r="S1155" s="63"/>
      <c r="T1155" s="63"/>
      <c r="U1155" s="63"/>
      <c r="V1155" s="63"/>
      <c r="W1155" s="63"/>
      <c r="X1155" s="63"/>
      <c r="Y1155" s="63"/>
      <c r="Z1155" s="63"/>
      <c r="AA1155" s="63"/>
      <c r="AB1155" s="63"/>
      <c r="AC1155" s="63"/>
      <c r="AD1155" s="63"/>
      <c r="AE1155" s="63"/>
      <c r="AF1155" s="63"/>
    </row>
    <row r="1156">
      <c r="A1156" s="135"/>
      <c r="B1156" s="38"/>
      <c r="C1156" s="102"/>
      <c r="D1156" s="109"/>
      <c r="E1156" s="109"/>
      <c r="F1156" s="167"/>
      <c r="G1156" s="159"/>
      <c r="H1156" s="102"/>
      <c r="I1156" s="71"/>
      <c r="J1156" s="63"/>
      <c r="K1156" s="63"/>
      <c r="L1156" s="63"/>
      <c r="M1156" s="63"/>
      <c r="N1156" s="63"/>
      <c r="O1156" s="63"/>
      <c r="P1156" s="63"/>
      <c r="Q1156" s="63"/>
      <c r="R1156" s="63"/>
      <c r="S1156" s="63"/>
      <c r="T1156" s="63"/>
      <c r="U1156" s="63"/>
      <c r="V1156" s="63"/>
      <c r="W1156" s="63"/>
      <c r="X1156" s="63"/>
      <c r="Y1156" s="63"/>
      <c r="Z1156" s="63"/>
      <c r="AA1156" s="63"/>
      <c r="AB1156" s="63"/>
      <c r="AC1156" s="63"/>
      <c r="AD1156" s="63"/>
      <c r="AE1156" s="63"/>
      <c r="AF1156" s="63"/>
    </row>
    <row r="1157">
      <c r="A1157" s="135"/>
      <c r="B1157" s="38"/>
      <c r="C1157" s="102"/>
      <c r="D1157" s="109"/>
      <c r="E1157" s="109"/>
      <c r="F1157" s="167"/>
      <c r="G1157" s="159"/>
      <c r="H1157" s="102"/>
      <c r="I1157" s="71"/>
      <c r="J1157" s="63"/>
      <c r="K1157" s="63"/>
      <c r="L1157" s="63"/>
      <c r="M1157" s="63"/>
      <c r="N1157" s="63"/>
      <c r="O1157" s="63"/>
      <c r="P1157" s="63"/>
      <c r="Q1157" s="63"/>
      <c r="R1157" s="63"/>
      <c r="S1157" s="63"/>
      <c r="T1157" s="63"/>
      <c r="U1157" s="63"/>
      <c r="V1157" s="63"/>
      <c r="W1157" s="63"/>
      <c r="X1157" s="63"/>
      <c r="Y1157" s="63"/>
      <c r="Z1157" s="63"/>
      <c r="AA1157" s="63"/>
      <c r="AB1157" s="63"/>
      <c r="AC1157" s="63"/>
      <c r="AD1157" s="63"/>
      <c r="AE1157" s="63"/>
      <c r="AF1157" s="63"/>
    </row>
    <row r="1158">
      <c r="A1158" s="135"/>
      <c r="B1158" s="38"/>
      <c r="C1158" s="102"/>
      <c r="D1158" s="109"/>
      <c r="E1158" s="109"/>
      <c r="F1158" s="167"/>
      <c r="G1158" s="159"/>
      <c r="H1158" s="102"/>
      <c r="I1158" s="71"/>
      <c r="J1158" s="63"/>
      <c r="K1158" s="63"/>
      <c r="L1158" s="63"/>
      <c r="M1158" s="63"/>
      <c r="N1158" s="63"/>
      <c r="O1158" s="63"/>
      <c r="P1158" s="63"/>
      <c r="Q1158" s="63"/>
      <c r="R1158" s="63"/>
      <c r="S1158" s="63"/>
      <c r="T1158" s="63"/>
      <c r="U1158" s="63"/>
      <c r="V1158" s="63"/>
      <c r="W1158" s="63"/>
      <c r="X1158" s="63"/>
      <c r="Y1158" s="63"/>
      <c r="Z1158" s="63"/>
      <c r="AA1158" s="63"/>
      <c r="AB1158" s="63"/>
      <c r="AC1158" s="63"/>
      <c r="AD1158" s="63"/>
      <c r="AE1158" s="63"/>
      <c r="AF1158" s="63"/>
    </row>
    <row r="1159">
      <c r="A1159" s="135"/>
      <c r="B1159" s="38"/>
      <c r="C1159" s="102"/>
      <c r="D1159" s="109"/>
      <c r="E1159" s="109"/>
      <c r="F1159" s="167"/>
      <c r="G1159" s="159"/>
      <c r="H1159" s="102"/>
      <c r="I1159" s="71"/>
      <c r="J1159" s="63"/>
      <c r="K1159" s="63"/>
      <c r="L1159" s="63"/>
      <c r="M1159" s="63"/>
      <c r="N1159" s="63"/>
      <c r="O1159" s="63"/>
      <c r="P1159" s="63"/>
      <c r="Q1159" s="63"/>
      <c r="R1159" s="63"/>
      <c r="S1159" s="63"/>
      <c r="T1159" s="63"/>
      <c r="U1159" s="63"/>
      <c r="V1159" s="63"/>
      <c r="W1159" s="63"/>
      <c r="X1159" s="63"/>
      <c r="Y1159" s="63"/>
      <c r="Z1159" s="63"/>
      <c r="AA1159" s="63"/>
      <c r="AB1159" s="63"/>
      <c r="AC1159" s="63"/>
      <c r="AD1159" s="63"/>
      <c r="AE1159" s="63"/>
      <c r="AF1159" s="63"/>
    </row>
    <row r="1160">
      <c r="A1160" s="135"/>
      <c r="B1160" s="38"/>
      <c r="C1160" s="102"/>
      <c r="D1160" s="109"/>
      <c r="E1160" s="109"/>
      <c r="F1160" s="167"/>
      <c r="G1160" s="159"/>
      <c r="H1160" s="102"/>
      <c r="I1160" s="71"/>
      <c r="J1160" s="63"/>
      <c r="K1160" s="63"/>
      <c r="L1160" s="63"/>
      <c r="M1160" s="63"/>
      <c r="N1160" s="63"/>
      <c r="O1160" s="63"/>
      <c r="P1160" s="63"/>
      <c r="Q1160" s="63"/>
      <c r="R1160" s="63"/>
      <c r="S1160" s="63"/>
      <c r="T1160" s="63"/>
      <c r="U1160" s="63"/>
      <c r="V1160" s="63"/>
      <c r="W1160" s="63"/>
      <c r="X1160" s="63"/>
      <c r="Y1160" s="63"/>
      <c r="Z1160" s="63"/>
      <c r="AA1160" s="63"/>
      <c r="AB1160" s="63"/>
      <c r="AC1160" s="63"/>
      <c r="AD1160" s="63"/>
      <c r="AE1160" s="63"/>
      <c r="AF1160" s="63"/>
    </row>
    <row r="1161">
      <c r="A1161" s="135"/>
      <c r="B1161" s="38"/>
      <c r="C1161" s="102"/>
      <c r="D1161" s="109"/>
      <c r="E1161" s="109"/>
      <c r="F1161" s="167"/>
      <c r="G1161" s="159"/>
      <c r="H1161" s="102"/>
      <c r="I1161" s="71"/>
      <c r="J1161" s="63"/>
      <c r="K1161" s="63"/>
      <c r="L1161" s="63"/>
      <c r="M1161" s="63"/>
      <c r="N1161" s="63"/>
      <c r="O1161" s="63"/>
      <c r="P1161" s="63"/>
      <c r="Q1161" s="63"/>
      <c r="R1161" s="63"/>
      <c r="S1161" s="63"/>
      <c r="T1161" s="63"/>
      <c r="U1161" s="63"/>
      <c r="V1161" s="63"/>
      <c r="W1161" s="63"/>
      <c r="X1161" s="63"/>
      <c r="Y1161" s="63"/>
      <c r="Z1161" s="63"/>
      <c r="AA1161" s="63"/>
      <c r="AB1161" s="63"/>
      <c r="AC1161" s="63"/>
      <c r="AD1161" s="63"/>
      <c r="AE1161" s="63"/>
      <c r="AF1161" s="63"/>
    </row>
    <row r="1162">
      <c r="A1162" s="135"/>
      <c r="B1162" s="38"/>
      <c r="C1162" s="102"/>
      <c r="D1162" s="109"/>
      <c r="E1162" s="109"/>
      <c r="F1162" s="167"/>
      <c r="G1162" s="159"/>
      <c r="H1162" s="102"/>
      <c r="I1162" s="71"/>
      <c r="J1162" s="63"/>
      <c r="K1162" s="63"/>
      <c r="L1162" s="63"/>
      <c r="M1162" s="63"/>
      <c r="N1162" s="63"/>
      <c r="O1162" s="63"/>
      <c r="P1162" s="63"/>
      <c r="Q1162" s="63"/>
      <c r="R1162" s="63"/>
      <c r="S1162" s="63"/>
      <c r="T1162" s="63"/>
      <c r="U1162" s="63"/>
      <c r="V1162" s="63"/>
      <c r="W1162" s="63"/>
      <c r="X1162" s="63"/>
      <c r="Y1162" s="63"/>
      <c r="Z1162" s="63"/>
      <c r="AA1162" s="63"/>
      <c r="AB1162" s="63"/>
      <c r="AC1162" s="63"/>
      <c r="AD1162" s="63"/>
      <c r="AE1162" s="63"/>
      <c r="AF1162" s="63"/>
    </row>
    <row r="1163">
      <c r="A1163" s="135"/>
      <c r="B1163" s="38"/>
      <c r="C1163" s="102"/>
      <c r="D1163" s="109"/>
      <c r="E1163" s="109"/>
      <c r="F1163" s="167"/>
      <c r="G1163" s="159"/>
      <c r="H1163" s="102"/>
      <c r="I1163" s="71"/>
      <c r="J1163" s="63"/>
      <c r="K1163" s="63"/>
      <c r="L1163" s="63"/>
      <c r="M1163" s="63"/>
      <c r="N1163" s="63"/>
      <c r="O1163" s="63"/>
      <c r="P1163" s="63"/>
      <c r="Q1163" s="63"/>
      <c r="R1163" s="63"/>
      <c r="S1163" s="63"/>
      <c r="T1163" s="63"/>
      <c r="U1163" s="63"/>
      <c r="V1163" s="63"/>
      <c r="W1163" s="63"/>
      <c r="X1163" s="63"/>
      <c r="Y1163" s="63"/>
      <c r="Z1163" s="63"/>
      <c r="AA1163" s="63"/>
      <c r="AB1163" s="63"/>
      <c r="AC1163" s="63"/>
      <c r="AD1163" s="63"/>
      <c r="AE1163" s="63"/>
      <c r="AF1163" s="63"/>
    </row>
  </sheetData>
  <mergeCells count="162">
    <mergeCell ref="D2:K2"/>
    <mergeCell ref="A3:A8"/>
    <mergeCell ref="D9:K9"/>
    <mergeCell ref="A10:A15"/>
    <mergeCell ref="A17:A22"/>
    <mergeCell ref="D23:K23"/>
    <mergeCell ref="D31:K31"/>
    <mergeCell ref="A24:A30"/>
    <mergeCell ref="A32:A37"/>
    <mergeCell ref="A39:A43"/>
    <mergeCell ref="A45:A50"/>
    <mergeCell ref="A52:A58"/>
    <mergeCell ref="A60:A65"/>
    <mergeCell ref="A66:A71"/>
    <mergeCell ref="D38:K38"/>
    <mergeCell ref="D44:K44"/>
    <mergeCell ref="D51:K51"/>
    <mergeCell ref="D59:K59"/>
    <mergeCell ref="D72:K72"/>
    <mergeCell ref="D79:K79"/>
    <mergeCell ref="D93:K93"/>
    <mergeCell ref="A73:A78"/>
    <mergeCell ref="A80:A85"/>
    <mergeCell ref="A86:A92"/>
    <mergeCell ref="A94:A99"/>
    <mergeCell ref="A101:A106"/>
    <mergeCell ref="A107:A112"/>
    <mergeCell ref="A114:A119"/>
    <mergeCell ref="D163:K163"/>
    <mergeCell ref="D169:K169"/>
    <mergeCell ref="D175:K175"/>
    <mergeCell ref="D190:K190"/>
    <mergeCell ref="D197:K197"/>
    <mergeCell ref="D210:K210"/>
    <mergeCell ref="D217:K217"/>
    <mergeCell ref="D227:E229"/>
    <mergeCell ref="D100:K100"/>
    <mergeCell ref="D113:K113"/>
    <mergeCell ref="D120:K120"/>
    <mergeCell ref="D127:K127"/>
    <mergeCell ref="D142:K142"/>
    <mergeCell ref="D149:K149"/>
    <mergeCell ref="D150:E154"/>
    <mergeCell ref="A121:A126"/>
    <mergeCell ref="A128:A133"/>
    <mergeCell ref="A135:A141"/>
    <mergeCell ref="A143:A148"/>
    <mergeCell ref="A150:A155"/>
    <mergeCell ref="A157:A162"/>
    <mergeCell ref="A164:A168"/>
    <mergeCell ref="A270:A275"/>
    <mergeCell ref="A277:A282"/>
    <mergeCell ref="A284:A289"/>
    <mergeCell ref="A291:A296"/>
    <mergeCell ref="A297:A302"/>
    <mergeCell ref="A304:A309"/>
    <mergeCell ref="A311:A316"/>
    <mergeCell ref="A332:A337"/>
    <mergeCell ref="A339:A344"/>
    <mergeCell ref="A346:A351"/>
    <mergeCell ref="A353:A358"/>
    <mergeCell ref="A360:A365"/>
    <mergeCell ref="A367:A372"/>
    <mergeCell ref="A374:A379"/>
    <mergeCell ref="A170:A171"/>
    <mergeCell ref="A176:A181"/>
    <mergeCell ref="A183:A189"/>
    <mergeCell ref="A191:A196"/>
    <mergeCell ref="A198:A203"/>
    <mergeCell ref="A204:A209"/>
    <mergeCell ref="A211:A216"/>
    <mergeCell ref="A264:A269"/>
    <mergeCell ref="D266:E268"/>
    <mergeCell ref="D278:E278"/>
    <mergeCell ref="D292:E292"/>
    <mergeCell ref="D305:E305"/>
    <mergeCell ref="D306:E306"/>
    <mergeCell ref="A218:A223"/>
    <mergeCell ref="A225:A230"/>
    <mergeCell ref="A231:A236"/>
    <mergeCell ref="A238:A243"/>
    <mergeCell ref="A244:A249"/>
    <mergeCell ref="A251:A256"/>
    <mergeCell ref="A257:A262"/>
    <mergeCell ref="A318:A322"/>
    <mergeCell ref="A325:A330"/>
    <mergeCell ref="D327:E328"/>
    <mergeCell ref="A381:A386"/>
    <mergeCell ref="A388:A393"/>
    <mergeCell ref="A395:A400"/>
    <mergeCell ref="D396:E396"/>
    <mergeCell ref="D402:E402"/>
    <mergeCell ref="A402:A407"/>
    <mergeCell ref="A409:A414"/>
    <mergeCell ref="D411:E413"/>
    <mergeCell ref="D428:E428"/>
    <mergeCell ref="A416:A426"/>
    <mergeCell ref="A428:A435"/>
    <mergeCell ref="A437:A445"/>
    <mergeCell ref="A447:A456"/>
    <mergeCell ref="A458:A465"/>
    <mergeCell ref="A467:A473"/>
    <mergeCell ref="A475:A480"/>
    <mergeCell ref="A769:A777"/>
    <mergeCell ref="A779:A787"/>
    <mergeCell ref="A789:A797"/>
    <mergeCell ref="A799:A808"/>
    <mergeCell ref="A810:A818"/>
    <mergeCell ref="A820:A828"/>
    <mergeCell ref="A830:A838"/>
    <mergeCell ref="A926:A935"/>
    <mergeCell ref="A937:A946"/>
    <mergeCell ref="A948:A957"/>
    <mergeCell ref="A959:A968"/>
    <mergeCell ref="A851:A860"/>
    <mergeCell ref="A862:A871"/>
    <mergeCell ref="A873:A882"/>
    <mergeCell ref="A884:A892"/>
    <mergeCell ref="A894:A902"/>
    <mergeCell ref="A904:A913"/>
    <mergeCell ref="A915:A924"/>
    <mergeCell ref="A482:A491"/>
    <mergeCell ref="A493:A501"/>
    <mergeCell ref="A503:A512"/>
    <mergeCell ref="A514:A523"/>
    <mergeCell ref="D514:E514"/>
    <mergeCell ref="D523:E523"/>
    <mergeCell ref="A524:A531"/>
    <mergeCell ref="A533:A539"/>
    <mergeCell ref="A541:A547"/>
    <mergeCell ref="A549:A555"/>
    <mergeCell ref="A557:A562"/>
    <mergeCell ref="A564:A570"/>
    <mergeCell ref="A572:A578"/>
    <mergeCell ref="A580:A586"/>
    <mergeCell ref="A648:A656"/>
    <mergeCell ref="D649:F649"/>
    <mergeCell ref="D658:G658"/>
    <mergeCell ref="A588:A597"/>
    <mergeCell ref="A599:A605"/>
    <mergeCell ref="A608:A613"/>
    <mergeCell ref="A614:A616"/>
    <mergeCell ref="A618:A626"/>
    <mergeCell ref="A628:A636"/>
    <mergeCell ref="A638:A646"/>
    <mergeCell ref="A658:A665"/>
    <mergeCell ref="A667:A675"/>
    <mergeCell ref="A677:A686"/>
    <mergeCell ref="A688:A696"/>
    <mergeCell ref="A698:A707"/>
    <mergeCell ref="D699:F699"/>
    <mergeCell ref="A709:A717"/>
    <mergeCell ref="A719:A727"/>
    <mergeCell ref="D719:E719"/>
    <mergeCell ref="A729:A738"/>
    <mergeCell ref="E729:H729"/>
    <mergeCell ref="A740:A749"/>
    <mergeCell ref="A751:A758"/>
    <mergeCell ref="A760:A767"/>
    <mergeCell ref="A840:A849"/>
    <mergeCell ref="D843:E843"/>
    <mergeCell ref="D882:G882"/>
  </mergeCells>
  <dataValidations>
    <dataValidation type="list" allowBlank="1" showErrorMessage="1" sqref="C2:C52 C56:C109 C111:C154 C157:C202 C204:C232 C234 C236:C262 C264:C278 C280:C292 C294:C305 C307:C337 C340:C364 C367:C402 C408:C422 C424:C429 C432:C438 C441:C442 C445:C448 C451 C453 C456:C459 C465:C466 C473:C474 C476 C480:C505 C508 C512:C520 C523 C525:D525 D526 C531:C535 C537 C540:C543 C548:C550 C556:C558 C563:C566 C568:C573 C575:C584 C587:C590 C598:C600 C605 C607:C608 C610:C611 C614:C619 C625:C629 C635:C641 C647:C651 C656:C661 C666:C668 C674:C681 C688:C689 C694:C700 C708:C712 C718:C720 C725:C731 C736:C741 C750:C751 C753 C757:C760 C766:C770 C774 C776:C779 C784:C789 C797:C798 C805:C811 C817:C823 C828:C834 C839:C843 C849:C855 C861:C863 C868:C873 C879:C885 C890:C894 C900:C905 C911:C917 C919 C922:C928 C934:C938 C943:C949 C957:C962 C967:C1163">
      <formula1>'Durum Parametreler'!$H:$H</formula1>
    </dataValidation>
    <dataValidation type="list" allowBlank="1" showErrorMessage="1" sqref="C403:C407 C430:C431 C439:C440 C443:C444 C449:C450 C454 C460:C464 C467:C472 C475 C478 C509:C511 C521:C522 C526:C530 C544:C547 C551:C554 C574 C591:C594 C620:C623 C669:C672 C685 C690:C693 C721:C724 C732 C742:C745 C754 C756 C763 C772 C775 C780:C783 C790:C793 C799:C804 C812 C856 C864:C867 C874 C886:C889 C895:C899 C906:C909 C918 C920:C921 C929 C931:C933 C939:C942 C951:C954">
      <formula1>'Durum Parametreler'!$F$8:$F$41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8" t="s">
        <v>0</v>
      </c>
      <c r="B1" s="299" t="s">
        <v>1</v>
      </c>
      <c r="C1" s="299" t="s">
        <v>3954</v>
      </c>
      <c r="D1" s="298" t="s">
        <v>3</v>
      </c>
      <c r="E1" s="299" t="s">
        <v>4</v>
      </c>
      <c r="F1" s="298" t="s">
        <v>3955</v>
      </c>
      <c r="G1" s="300" t="s">
        <v>6</v>
      </c>
      <c r="H1" s="300" t="s">
        <v>7</v>
      </c>
      <c r="I1" s="300" t="s">
        <v>8</v>
      </c>
      <c r="J1" s="301" t="s">
        <v>9</v>
      </c>
      <c r="K1" s="298" t="s">
        <v>10</v>
      </c>
      <c r="L1" s="298" t="s">
        <v>11</v>
      </c>
      <c r="M1" s="298" t="s">
        <v>12</v>
      </c>
      <c r="N1" s="298" t="s">
        <v>13</v>
      </c>
      <c r="O1" s="298" t="s">
        <v>14</v>
      </c>
      <c r="P1" s="302" t="s">
        <v>15</v>
      </c>
      <c r="Q1" s="303" t="s">
        <v>3956</v>
      </c>
      <c r="R1" s="304"/>
      <c r="S1" s="302"/>
      <c r="T1" s="302"/>
      <c r="U1" s="304"/>
      <c r="V1" s="304"/>
      <c r="W1" s="304"/>
      <c r="X1" s="305"/>
      <c r="Y1" s="305"/>
      <c r="Z1" s="305"/>
      <c r="AA1" s="305"/>
      <c r="AB1" s="305"/>
    </row>
    <row r="2" hidden="1">
      <c r="A2" s="22" t="s">
        <v>3957</v>
      </c>
      <c r="B2" s="22" t="s">
        <v>3958</v>
      </c>
      <c r="C2" s="306" t="s">
        <v>3959</v>
      </c>
      <c r="D2" s="22" t="s">
        <v>653</v>
      </c>
      <c r="E2" s="307">
        <v>12460.0</v>
      </c>
      <c r="F2" s="307">
        <v>244.0</v>
      </c>
      <c r="G2" s="307">
        <v>92.0</v>
      </c>
      <c r="H2" s="307">
        <v>1.0</v>
      </c>
      <c r="I2" s="307">
        <v>93.0</v>
      </c>
      <c r="J2" s="308">
        <v>0.99</v>
      </c>
      <c r="K2" s="22" t="s">
        <v>3960</v>
      </c>
      <c r="L2" s="22">
        <v>1.111111111E9</v>
      </c>
      <c r="M2" s="22" t="s">
        <v>47</v>
      </c>
      <c r="N2" s="22" t="s">
        <v>47</v>
      </c>
      <c r="O2" s="22" t="s">
        <v>3961</v>
      </c>
      <c r="P2" s="22" t="s">
        <v>3962</v>
      </c>
      <c r="Q2" s="309">
        <f>COUNTIF('Hedef Liste'!A:A,A2)</f>
        <v>0</v>
      </c>
    </row>
    <row r="3" hidden="1">
      <c r="A3" s="22" t="s">
        <v>1341</v>
      </c>
      <c r="B3" s="22" t="s">
        <v>1342</v>
      </c>
      <c r="C3" s="306" t="s">
        <v>3963</v>
      </c>
      <c r="D3" s="22" t="s">
        <v>69</v>
      </c>
      <c r="E3" s="307">
        <v>113.0</v>
      </c>
      <c r="F3" s="310"/>
      <c r="G3" s="307">
        <v>15.0</v>
      </c>
      <c r="H3" s="307">
        <v>41.0</v>
      </c>
      <c r="I3" s="307">
        <v>56.0</v>
      </c>
      <c r="J3" s="308">
        <v>0.27</v>
      </c>
      <c r="K3" s="22" t="s">
        <v>1343</v>
      </c>
      <c r="L3" s="22">
        <v>5.321622262E9</v>
      </c>
      <c r="M3" s="22" t="s">
        <v>47</v>
      </c>
      <c r="N3" s="22" t="s">
        <v>131</v>
      </c>
      <c r="O3" s="22" t="s">
        <v>1344</v>
      </c>
      <c r="P3" s="22" t="s">
        <v>666</v>
      </c>
      <c r="Q3" s="309">
        <f>COUNTIF('Hedef Liste'!A:A,A3)</f>
        <v>1</v>
      </c>
    </row>
    <row r="4" hidden="1">
      <c r="A4" s="22" t="s">
        <v>2641</v>
      </c>
      <c r="B4" s="22" t="s">
        <v>2642</v>
      </c>
      <c r="C4" s="306" t="s">
        <v>3959</v>
      </c>
      <c r="D4" s="22" t="s">
        <v>172</v>
      </c>
      <c r="E4" s="307">
        <v>10237.0</v>
      </c>
      <c r="F4" s="307">
        <v>95.0</v>
      </c>
      <c r="G4" s="307">
        <v>4.0</v>
      </c>
      <c r="H4" s="307">
        <v>7.0</v>
      </c>
      <c r="I4" s="307">
        <v>11.0</v>
      </c>
      <c r="J4" s="308">
        <v>0.36</v>
      </c>
      <c r="K4" s="22" t="s">
        <v>2643</v>
      </c>
      <c r="L4" s="22">
        <v>3.52437707E9</v>
      </c>
      <c r="M4" s="22" t="s">
        <v>61</v>
      </c>
      <c r="N4" s="22" t="s">
        <v>811</v>
      </c>
      <c r="O4" s="22" t="s">
        <v>2644</v>
      </c>
      <c r="P4" s="22" t="s">
        <v>666</v>
      </c>
      <c r="Q4" s="309">
        <f>COUNTIF('Hedef Liste'!A:A,A4)</f>
        <v>1</v>
      </c>
    </row>
    <row r="5" hidden="1">
      <c r="A5" s="22" t="s">
        <v>829</v>
      </c>
      <c r="B5" s="22" t="s">
        <v>830</v>
      </c>
      <c r="C5" s="306" t="s">
        <v>3959</v>
      </c>
      <c r="D5" s="22" t="s">
        <v>406</v>
      </c>
      <c r="E5" s="307">
        <v>2855.0</v>
      </c>
      <c r="F5" s="307">
        <v>89.0</v>
      </c>
      <c r="G5" s="307">
        <v>0.0</v>
      </c>
      <c r="H5" s="307">
        <v>67.0</v>
      </c>
      <c r="I5" s="307">
        <v>67.0</v>
      </c>
      <c r="J5" s="308">
        <v>0.0</v>
      </c>
      <c r="K5" s="22" t="s">
        <v>831</v>
      </c>
      <c r="L5" s="22">
        <v>3.522233838E9</v>
      </c>
      <c r="M5" s="22" t="s">
        <v>71</v>
      </c>
      <c r="N5" s="22" t="s">
        <v>102</v>
      </c>
      <c r="O5" s="22" t="s">
        <v>832</v>
      </c>
      <c r="P5" s="22" t="s">
        <v>666</v>
      </c>
      <c r="Q5" s="309">
        <f>COUNTIF('Hedef Liste'!A:A,A5)</f>
        <v>1</v>
      </c>
    </row>
    <row r="6" hidden="1">
      <c r="A6" s="22" t="s">
        <v>2156</v>
      </c>
      <c r="B6" s="22" t="s">
        <v>2157</v>
      </c>
      <c r="C6" s="306" t="s">
        <v>3959</v>
      </c>
      <c r="D6" s="22" t="s">
        <v>172</v>
      </c>
      <c r="E6" s="307">
        <v>11008.0</v>
      </c>
      <c r="F6" s="307">
        <v>238.0</v>
      </c>
      <c r="G6" s="307">
        <v>0.0</v>
      </c>
      <c r="H6" s="307">
        <v>19.0</v>
      </c>
      <c r="I6" s="307">
        <v>19.0</v>
      </c>
      <c r="J6" s="308">
        <v>0.0</v>
      </c>
      <c r="K6" s="22" t="s">
        <v>2158</v>
      </c>
      <c r="L6" s="22">
        <v>3.52437808E9</v>
      </c>
      <c r="M6" s="22" t="s">
        <v>61</v>
      </c>
      <c r="N6" s="22" t="s">
        <v>250</v>
      </c>
      <c r="O6" s="22" t="s">
        <v>2159</v>
      </c>
      <c r="P6" s="22" t="s">
        <v>666</v>
      </c>
      <c r="Q6" s="309">
        <f>COUNTIF('Hedef Liste'!A:A,A6)</f>
        <v>1</v>
      </c>
    </row>
    <row r="7" hidden="1">
      <c r="A7" s="22" t="s">
        <v>1017</v>
      </c>
      <c r="B7" s="22" t="s">
        <v>1018</v>
      </c>
      <c r="C7" s="306" t="s">
        <v>3959</v>
      </c>
      <c r="D7" s="22" t="s">
        <v>172</v>
      </c>
      <c r="E7" s="307">
        <v>5030.0</v>
      </c>
      <c r="F7" s="307">
        <v>63.0</v>
      </c>
      <c r="G7" s="307">
        <v>0.0</v>
      </c>
      <c r="H7" s="307">
        <v>35.0</v>
      </c>
      <c r="I7" s="307">
        <v>35.0</v>
      </c>
      <c r="J7" s="308">
        <v>0.0</v>
      </c>
      <c r="K7" s="22" t="s">
        <v>535</v>
      </c>
      <c r="L7" s="22">
        <v>3.5223344E9</v>
      </c>
      <c r="M7" s="22" t="s">
        <v>47</v>
      </c>
      <c r="N7" s="22" t="s">
        <v>125</v>
      </c>
      <c r="O7" s="22" t="s">
        <v>1019</v>
      </c>
      <c r="P7" s="22" t="s">
        <v>666</v>
      </c>
      <c r="Q7" s="309">
        <f>COUNTIF('Hedef Liste'!A:A,A7)</f>
        <v>1</v>
      </c>
    </row>
    <row r="8" hidden="1">
      <c r="A8" s="22" t="s">
        <v>1677</v>
      </c>
      <c r="B8" s="22" t="s">
        <v>1678</v>
      </c>
      <c r="C8" s="306" t="s">
        <v>3959</v>
      </c>
      <c r="D8" s="22" t="s">
        <v>83</v>
      </c>
      <c r="E8" s="307">
        <v>3429.0</v>
      </c>
      <c r="F8" s="307">
        <v>240.0</v>
      </c>
      <c r="G8" s="307">
        <v>7.0</v>
      </c>
      <c r="H8" s="307">
        <v>23.0</v>
      </c>
      <c r="I8" s="307">
        <v>30.0</v>
      </c>
      <c r="J8" s="308">
        <v>0.23</v>
      </c>
      <c r="K8" s="22" t="s">
        <v>1679</v>
      </c>
      <c r="L8" s="22">
        <v>5.537061313E9</v>
      </c>
      <c r="M8" s="22" t="s">
        <v>61</v>
      </c>
      <c r="N8" s="22" t="s">
        <v>160</v>
      </c>
      <c r="O8" s="22" t="s">
        <v>1680</v>
      </c>
      <c r="P8" s="22" t="s">
        <v>666</v>
      </c>
      <c r="Q8" s="309">
        <f>COUNTIF('Hedef Liste'!A:A,A8)</f>
        <v>1</v>
      </c>
    </row>
    <row r="9" hidden="1">
      <c r="A9" s="22" t="s">
        <v>1540</v>
      </c>
      <c r="B9" s="22" t="s">
        <v>1541</v>
      </c>
      <c r="C9" s="306" t="s">
        <v>3959</v>
      </c>
      <c r="D9" s="22" t="s">
        <v>406</v>
      </c>
      <c r="E9" s="307">
        <v>6045.0</v>
      </c>
      <c r="F9" s="310"/>
      <c r="G9" s="307">
        <v>0.0</v>
      </c>
      <c r="H9" s="307">
        <v>8.0</v>
      </c>
      <c r="I9" s="307">
        <v>8.0</v>
      </c>
      <c r="J9" s="308">
        <v>0.0</v>
      </c>
      <c r="K9" s="22" t="s">
        <v>1542</v>
      </c>
      <c r="L9" s="22">
        <v>3.522310106E9</v>
      </c>
      <c r="M9" s="22" t="s">
        <v>71</v>
      </c>
      <c r="N9" s="22" t="s">
        <v>420</v>
      </c>
      <c r="O9" s="22" t="s">
        <v>1543</v>
      </c>
      <c r="P9" s="22" t="s">
        <v>666</v>
      </c>
      <c r="Q9" s="309">
        <f>COUNTIF('Hedef Liste'!A:A,A9)</f>
        <v>1</v>
      </c>
    </row>
    <row r="10" hidden="1">
      <c r="A10" s="22" t="s">
        <v>858</v>
      </c>
      <c r="B10" s="22" t="s">
        <v>859</v>
      </c>
      <c r="C10" s="306" t="s">
        <v>3959</v>
      </c>
      <c r="D10" s="22" t="s">
        <v>855</v>
      </c>
      <c r="E10" s="307">
        <v>90.0</v>
      </c>
      <c r="F10" s="307">
        <v>3.0</v>
      </c>
      <c r="G10" s="307">
        <v>0.0</v>
      </c>
      <c r="H10" s="307">
        <v>37.0</v>
      </c>
      <c r="I10" s="307">
        <v>37.0</v>
      </c>
      <c r="J10" s="308">
        <v>0.0</v>
      </c>
      <c r="K10" s="22" t="s">
        <v>856</v>
      </c>
      <c r="L10" s="22">
        <v>3.52237001E9</v>
      </c>
      <c r="M10" s="22" t="s">
        <v>47</v>
      </c>
      <c r="N10" s="22" t="s">
        <v>47</v>
      </c>
      <c r="O10" s="22" t="s">
        <v>860</v>
      </c>
      <c r="P10" s="22" t="s">
        <v>666</v>
      </c>
      <c r="Q10" s="309">
        <f>COUNTIF('Hedef Liste'!A:A,A10)</f>
        <v>1</v>
      </c>
    </row>
    <row r="11" hidden="1">
      <c r="A11" s="22" t="s">
        <v>513</v>
      </c>
      <c r="B11" s="22" t="s">
        <v>514</v>
      </c>
      <c r="C11" s="306" t="s">
        <v>3959</v>
      </c>
      <c r="D11" s="22" t="s">
        <v>69</v>
      </c>
      <c r="E11" s="307">
        <v>359.0</v>
      </c>
      <c r="F11" s="307">
        <v>1.0</v>
      </c>
      <c r="G11" s="307">
        <v>11.0</v>
      </c>
      <c r="H11" s="307">
        <v>0.0</v>
      </c>
      <c r="I11" s="307">
        <v>11.0</v>
      </c>
      <c r="J11" s="308">
        <v>1.0</v>
      </c>
      <c r="K11" s="22" t="s">
        <v>515</v>
      </c>
      <c r="L11" s="22">
        <v>3.529993872E9</v>
      </c>
      <c r="M11" s="22" t="s">
        <v>61</v>
      </c>
      <c r="N11" s="22" t="s">
        <v>62</v>
      </c>
      <c r="O11" s="22" t="s">
        <v>516</v>
      </c>
      <c r="P11" s="22" t="s">
        <v>666</v>
      </c>
      <c r="Q11" s="309">
        <f>COUNTIF('Hedef Liste'!A:A,A11)</f>
        <v>1</v>
      </c>
    </row>
    <row r="12" hidden="1">
      <c r="A12" s="22" t="s">
        <v>853</v>
      </c>
      <c r="B12" s="22" t="s">
        <v>854</v>
      </c>
      <c r="C12" s="306" t="s">
        <v>3963</v>
      </c>
      <c r="D12" s="22" t="s">
        <v>855</v>
      </c>
      <c r="E12" s="307">
        <v>26.0</v>
      </c>
      <c r="F12" s="310"/>
      <c r="G12" s="307">
        <v>0.0</v>
      </c>
      <c r="H12" s="307">
        <v>46.0</v>
      </c>
      <c r="I12" s="307">
        <v>46.0</v>
      </c>
      <c r="J12" s="308">
        <v>0.0</v>
      </c>
      <c r="K12" s="22" t="s">
        <v>856</v>
      </c>
      <c r="L12" s="22">
        <v>3.522345668E9</v>
      </c>
      <c r="M12" s="22" t="s">
        <v>47</v>
      </c>
      <c r="N12" s="22" t="s">
        <v>271</v>
      </c>
      <c r="O12" s="22" t="s">
        <v>857</v>
      </c>
      <c r="P12" s="22" t="s">
        <v>666</v>
      </c>
      <c r="Q12" s="309">
        <f>COUNTIF('Hedef Liste'!A:A,A12)</f>
        <v>1</v>
      </c>
    </row>
    <row r="13" hidden="1">
      <c r="A13" s="22" t="s">
        <v>1511</v>
      </c>
      <c r="B13" s="22" t="s">
        <v>1512</v>
      </c>
      <c r="C13" s="306" t="s">
        <v>3959</v>
      </c>
      <c r="D13" s="22" t="s">
        <v>406</v>
      </c>
      <c r="E13" s="307">
        <v>1239.0</v>
      </c>
      <c r="F13" s="307">
        <v>13.0</v>
      </c>
      <c r="G13" s="307">
        <v>32.0</v>
      </c>
      <c r="H13" s="307">
        <v>21.0</v>
      </c>
      <c r="I13" s="307">
        <v>53.0</v>
      </c>
      <c r="J13" s="308">
        <v>0.6</v>
      </c>
      <c r="K13" s="22" t="s">
        <v>1513</v>
      </c>
      <c r="L13" s="22">
        <v>3.522204141E9</v>
      </c>
      <c r="M13" s="22" t="s">
        <v>61</v>
      </c>
      <c r="N13" s="22" t="s">
        <v>62</v>
      </c>
      <c r="O13" s="22" t="s">
        <v>1514</v>
      </c>
      <c r="P13" s="22" t="s">
        <v>666</v>
      </c>
      <c r="Q13" s="309">
        <f>COUNTIF('Hedef Liste'!A:A,A13)</f>
        <v>1</v>
      </c>
    </row>
    <row r="14" hidden="1">
      <c r="A14" s="22" t="s">
        <v>1063</v>
      </c>
      <c r="B14" s="22" t="s">
        <v>1064</v>
      </c>
      <c r="C14" s="306" t="s">
        <v>3963</v>
      </c>
      <c r="D14" s="22" t="s">
        <v>165</v>
      </c>
      <c r="E14" s="307">
        <v>2846.0</v>
      </c>
      <c r="F14" s="310"/>
      <c r="G14" s="307">
        <v>0.0</v>
      </c>
      <c r="H14" s="307">
        <v>9.0</v>
      </c>
      <c r="I14" s="307">
        <v>9.0</v>
      </c>
      <c r="J14" s="308">
        <v>0.0</v>
      </c>
      <c r="K14" s="22" t="s">
        <v>1065</v>
      </c>
      <c r="L14" s="22">
        <v>3.525046085E9</v>
      </c>
      <c r="M14" s="22" t="s">
        <v>61</v>
      </c>
      <c r="N14" s="22" t="s">
        <v>62</v>
      </c>
      <c r="O14" s="22" t="s">
        <v>1066</v>
      </c>
      <c r="P14" s="22" t="s">
        <v>666</v>
      </c>
      <c r="Q14" s="309">
        <f>COUNTIF('Hedef Liste'!A:A,A14)</f>
        <v>1</v>
      </c>
    </row>
    <row r="15" hidden="1">
      <c r="A15" s="22" t="s">
        <v>1036</v>
      </c>
      <c r="B15" s="22" t="s">
        <v>1037</v>
      </c>
      <c r="C15" s="306" t="s">
        <v>3959</v>
      </c>
      <c r="D15" s="22" t="s">
        <v>453</v>
      </c>
      <c r="E15" s="307">
        <v>190.0</v>
      </c>
      <c r="F15" s="310"/>
      <c r="G15" s="307">
        <v>0.0</v>
      </c>
      <c r="H15" s="307">
        <v>38.0</v>
      </c>
      <c r="I15" s="307">
        <v>38.0</v>
      </c>
      <c r="J15" s="308">
        <v>0.0</v>
      </c>
      <c r="K15" s="22" t="s">
        <v>1038</v>
      </c>
      <c r="L15" s="22">
        <v>5.051469496E9</v>
      </c>
      <c r="M15" s="22" t="s">
        <v>61</v>
      </c>
      <c r="N15" s="22" t="s">
        <v>107</v>
      </c>
      <c r="O15" s="22" t="s">
        <v>1039</v>
      </c>
      <c r="P15" s="22" t="s">
        <v>666</v>
      </c>
      <c r="Q15" s="309">
        <f>COUNTIF('Hedef Liste'!A:A,A15)</f>
        <v>1</v>
      </c>
    </row>
    <row r="16" hidden="1">
      <c r="A16" s="22" t="s">
        <v>2685</v>
      </c>
      <c r="B16" s="22" t="s">
        <v>2686</v>
      </c>
      <c r="C16" s="306" t="s">
        <v>3959</v>
      </c>
      <c r="D16" s="22" t="s">
        <v>505</v>
      </c>
      <c r="E16" s="307">
        <v>3907.0</v>
      </c>
      <c r="F16" s="307">
        <v>111.0</v>
      </c>
      <c r="G16" s="307">
        <v>0.0</v>
      </c>
      <c r="H16" s="307">
        <v>45.0</v>
      </c>
      <c r="I16" s="307">
        <v>45.0</v>
      </c>
      <c r="J16" s="308">
        <v>0.0</v>
      </c>
      <c r="K16" s="22" t="s">
        <v>2687</v>
      </c>
      <c r="L16" s="22">
        <v>3.523335626E9</v>
      </c>
      <c r="M16" s="22" t="s">
        <v>61</v>
      </c>
      <c r="N16" s="22" t="s">
        <v>62</v>
      </c>
      <c r="O16" s="22" t="s">
        <v>2688</v>
      </c>
      <c r="P16" s="22" t="s">
        <v>666</v>
      </c>
      <c r="Q16" s="309">
        <f>COUNTIF('Hedef Liste'!A:A,A16)</f>
        <v>1</v>
      </c>
    </row>
    <row r="17" hidden="1">
      <c r="A17" s="22" t="s">
        <v>1306</v>
      </c>
      <c r="B17" s="22" t="s">
        <v>1307</v>
      </c>
      <c r="C17" s="306" t="s">
        <v>3963</v>
      </c>
      <c r="D17" s="22" t="s">
        <v>91</v>
      </c>
      <c r="E17" s="307">
        <v>1942.0</v>
      </c>
      <c r="F17" s="310"/>
      <c r="G17" s="307">
        <v>24.0</v>
      </c>
      <c r="H17" s="307">
        <v>14.0</v>
      </c>
      <c r="I17" s="307">
        <v>38.0</v>
      </c>
      <c r="J17" s="308">
        <v>0.63</v>
      </c>
      <c r="K17" s="22" t="s">
        <v>1308</v>
      </c>
      <c r="L17" s="22">
        <v>3.523331002E9</v>
      </c>
      <c r="M17" s="22" t="s">
        <v>47</v>
      </c>
      <c r="N17" s="22" t="s">
        <v>125</v>
      </c>
      <c r="O17" s="22" t="s">
        <v>1309</v>
      </c>
      <c r="P17" s="22" t="s">
        <v>666</v>
      </c>
      <c r="Q17" s="309">
        <f>COUNTIF('Hedef Liste'!A:A,A17)</f>
        <v>1</v>
      </c>
    </row>
    <row r="18" hidden="1">
      <c r="A18" s="22" t="s">
        <v>564</v>
      </c>
      <c r="B18" s="22" t="s">
        <v>565</v>
      </c>
      <c r="C18" s="306" t="s">
        <v>3959</v>
      </c>
      <c r="D18" s="22" t="s">
        <v>165</v>
      </c>
      <c r="E18" s="307">
        <v>4133.0</v>
      </c>
      <c r="F18" s="307">
        <v>85.0</v>
      </c>
      <c r="G18" s="307">
        <v>0.0</v>
      </c>
      <c r="H18" s="307">
        <v>16.0</v>
      </c>
      <c r="I18" s="307">
        <v>16.0</v>
      </c>
      <c r="J18" s="311">
        <v>0.0</v>
      </c>
      <c r="K18" s="22" t="s">
        <v>566</v>
      </c>
      <c r="L18" s="22">
        <v>3.524310061E9</v>
      </c>
      <c r="M18" s="22" t="s">
        <v>61</v>
      </c>
      <c r="N18" s="22" t="s">
        <v>62</v>
      </c>
      <c r="O18" s="22" t="s">
        <v>567</v>
      </c>
      <c r="P18" s="22" t="s">
        <v>666</v>
      </c>
      <c r="Q18" s="309">
        <f>COUNTIF('Hedef Liste'!A:A,A18)</f>
        <v>1</v>
      </c>
    </row>
    <row r="19" hidden="1">
      <c r="A19" s="22" t="s">
        <v>528</v>
      </c>
      <c r="B19" s="22" t="s">
        <v>3964</v>
      </c>
      <c r="C19" s="306" t="s">
        <v>3959</v>
      </c>
      <c r="D19" s="22" t="s">
        <v>45</v>
      </c>
      <c r="E19" s="307">
        <v>1070.0</v>
      </c>
      <c r="F19" s="307">
        <v>24.0</v>
      </c>
      <c r="G19" s="307">
        <v>4.0</v>
      </c>
      <c r="H19" s="307">
        <v>11.0</v>
      </c>
      <c r="I19" s="307">
        <v>15.0</v>
      </c>
      <c r="J19" s="308">
        <v>0.27</v>
      </c>
      <c r="K19" s="22" t="s">
        <v>530</v>
      </c>
      <c r="L19" s="22">
        <v>3.525046718E9</v>
      </c>
      <c r="M19" s="22" t="s">
        <v>61</v>
      </c>
      <c r="N19" s="22" t="s">
        <v>62</v>
      </c>
      <c r="O19" s="22" t="s">
        <v>531</v>
      </c>
      <c r="P19" s="22" t="s">
        <v>666</v>
      </c>
      <c r="Q19" s="309">
        <f>COUNTIF('Hedef Liste'!A:A,A19)</f>
        <v>1</v>
      </c>
    </row>
    <row r="20" hidden="1">
      <c r="A20" s="22" t="s">
        <v>348</v>
      </c>
      <c r="B20" s="22" t="s">
        <v>349</v>
      </c>
      <c r="C20" s="306" t="s">
        <v>3959</v>
      </c>
      <c r="D20" s="22" t="s">
        <v>59</v>
      </c>
      <c r="E20" s="307">
        <v>1236.0</v>
      </c>
      <c r="F20" s="307">
        <v>11.0</v>
      </c>
      <c r="G20" s="307">
        <v>0.0</v>
      </c>
      <c r="H20" s="307">
        <v>14.0</v>
      </c>
      <c r="I20" s="307">
        <v>14.0</v>
      </c>
      <c r="J20" s="308">
        <v>0.0</v>
      </c>
      <c r="K20" s="22" t="s">
        <v>350</v>
      </c>
      <c r="L20" s="22">
        <v>3.52504309E9</v>
      </c>
      <c r="M20" s="22" t="s">
        <v>61</v>
      </c>
      <c r="N20" s="22" t="s">
        <v>107</v>
      </c>
      <c r="O20" s="22" t="s">
        <v>351</v>
      </c>
      <c r="P20" s="22" t="s">
        <v>666</v>
      </c>
      <c r="Q20" s="309">
        <f>COUNTIF('Hedef Liste'!A:A,A20)</f>
        <v>1</v>
      </c>
    </row>
    <row r="21" hidden="1">
      <c r="A21" s="22" t="s">
        <v>611</v>
      </c>
      <c r="B21" s="22" t="s">
        <v>612</v>
      </c>
      <c r="C21" s="306" t="s">
        <v>3959</v>
      </c>
      <c r="D21" s="22" t="s">
        <v>165</v>
      </c>
      <c r="E21" s="307">
        <v>516.0</v>
      </c>
      <c r="F21" s="310"/>
      <c r="G21" s="307">
        <v>5.0</v>
      </c>
      <c r="H21" s="307">
        <v>10.0</v>
      </c>
      <c r="I21" s="307">
        <v>15.0</v>
      </c>
      <c r="J21" s="308">
        <v>0.33</v>
      </c>
      <c r="K21" s="22" t="s">
        <v>613</v>
      </c>
      <c r="L21" s="22">
        <v>3.522360121E9</v>
      </c>
      <c r="M21" s="22" t="s">
        <v>47</v>
      </c>
      <c r="N21" s="22" t="s">
        <v>536</v>
      </c>
      <c r="O21" s="22" t="s">
        <v>614</v>
      </c>
      <c r="P21" s="22" t="s">
        <v>666</v>
      </c>
      <c r="Q21" s="309">
        <f>COUNTIF('Hedef Liste'!A:A,A21)</f>
        <v>1</v>
      </c>
    </row>
    <row r="22" hidden="1">
      <c r="A22" s="22" t="s">
        <v>2618</v>
      </c>
      <c r="B22" s="22" t="s">
        <v>2619</v>
      </c>
      <c r="C22" s="306" t="s">
        <v>3959</v>
      </c>
      <c r="D22" s="22" t="s">
        <v>69</v>
      </c>
      <c r="E22" s="307">
        <v>876.0</v>
      </c>
      <c r="F22" s="307">
        <v>32.0</v>
      </c>
      <c r="G22" s="307">
        <v>44.0</v>
      </c>
      <c r="H22" s="307">
        <v>8.0</v>
      </c>
      <c r="I22" s="307">
        <v>52.0</v>
      </c>
      <c r="J22" s="308">
        <v>0.85</v>
      </c>
      <c r="K22" s="22" t="s">
        <v>2620</v>
      </c>
      <c r="L22" s="22">
        <v>3.522335005E9</v>
      </c>
      <c r="M22" s="22" t="s">
        <v>71</v>
      </c>
      <c r="N22" s="22" t="s">
        <v>797</v>
      </c>
      <c r="O22" s="22" t="s">
        <v>2621</v>
      </c>
      <c r="P22" s="22" t="s">
        <v>666</v>
      </c>
      <c r="Q22" s="309">
        <f>COUNTIF('Hedef Liste'!A:A,A22)</f>
        <v>1</v>
      </c>
    </row>
    <row r="23" hidden="1">
      <c r="A23" s="22" t="s">
        <v>1026</v>
      </c>
      <c r="B23" s="22" t="s">
        <v>1027</v>
      </c>
      <c r="C23" s="306" t="s">
        <v>3959</v>
      </c>
      <c r="D23" s="22" t="s">
        <v>59</v>
      </c>
      <c r="E23" s="307">
        <v>1304.0</v>
      </c>
      <c r="F23" s="310"/>
      <c r="G23" s="307">
        <v>5.0</v>
      </c>
      <c r="H23" s="307">
        <v>5.0</v>
      </c>
      <c r="I23" s="307">
        <v>10.0</v>
      </c>
      <c r="J23" s="308">
        <v>0.5</v>
      </c>
      <c r="K23" s="22" t="s">
        <v>1028</v>
      </c>
      <c r="L23" s="22">
        <v>5.077904989E9</v>
      </c>
      <c r="M23" s="22" t="s">
        <v>47</v>
      </c>
      <c r="N23" s="22" t="s">
        <v>401</v>
      </c>
      <c r="O23" s="22" t="s">
        <v>1029</v>
      </c>
      <c r="P23" s="22" t="s">
        <v>666</v>
      </c>
      <c r="Q23" s="309">
        <f>COUNTIF('Hedef Liste'!A:A,A23)</f>
        <v>1</v>
      </c>
    </row>
    <row r="24" hidden="1">
      <c r="A24" s="22" t="s">
        <v>3965</v>
      </c>
      <c r="B24" s="22" t="s">
        <v>3966</v>
      </c>
      <c r="C24" s="306" t="s">
        <v>3959</v>
      </c>
      <c r="D24" s="22" t="s">
        <v>100</v>
      </c>
      <c r="E24" s="307">
        <v>1224.0</v>
      </c>
      <c r="F24" s="307">
        <v>14.0</v>
      </c>
      <c r="G24" s="307">
        <v>82.0</v>
      </c>
      <c r="H24" s="307">
        <v>11.0</v>
      </c>
      <c r="I24" s="307">
        <v>93.0</v>
      </c>
      <c r="J24" s="308">
        <v>0.88</v>
      </c>
      <c r="K24" s="22" t="s">
        <v>3967</v>
      </c>
      <c r="L24" s="22">
        <v>5.535808504E9</v>
      </c>
      <c r="M24" s="22" t="s">
        <v>47</v>
      </c>
      <c r="N24" s="22" t="s">
        <v>640</v>
      </c>
      <c r="O24" s="22" t="s">
        <v>3968</v>
      </c>
      <c r="P24" s="22" t="s">
        <v>3962</v>
      </c>
      <c r="Q24" s="309">
        <f>COUNTIF('Hedef Liste'!A:A,A24)</f>
        <v>0</v>
      </c>
    </row>
    <row r="25" hidden="1">
      <c r="A25" s="22" t="s">
        <v>550</v>
      </c>
      <c r="B25" s="22" t="s">
        <v>551</v>
      </c>
      <c r="C25" s="306" t="s">
        <v>3959</v>
      </c>
      <c r="D25" s="22" t="s">
        <v>69</v>
      </c>
      <c r="E25" s="307">
        <v>3428.0</v>
      </c>
      <c r="F25" s="307">
        <v>137.0</v>
      </c>
      <c r="G25" s="307">
        <v>14.0</v>
      </c>
      <c r="H25" s="307">
        <v>1.0</v>
      </c>
      <c r="I25" s="307">
        <v>15.0</v>
      </c>
      <c r="J25" s="308">
        <v>0.93</v>
      </c>
      <c r="K25" s="22" t="s">
        <v>552</v>
      </c>
      <c r="L25" s="22">
        <v>5.316453973E9</v>
      </c>
      <c r="M25" s="22" t="s">
        <v>61</v>
      </c>
      <c r="N25" s="22" t="s">
        <v>3969</v>
      </c>
      <c r="O25" s="22" t="s">
        <v>553</v>
      </c>
      <c r="P25" s="22" t="s">
        <v>666</v>
      </c>
      <c r="Q25" s="309">
        <f>COUNTIF('Hedef Liste'!A:A,A25)</f>
        <v>1</v>
      </c>
    </row>
    <row r="26" hidden="1">
      <c r="A26" s="22" t="s">
        <v>1873</v>
      </c>
      <c r="B26" s="22" t="s">
        <v>1874</v>
      </c>
      <c r="C26" s="306" t="s">
        <v>3963</v>
      </c>
      <c r="D26" s="22" t="s">
        <v>172</v>
      </c>
      <c r="E26" s="307">
        <v>580.0</v>
      </c>
      <c r="F26" s="310"/>
      <c r="G26" s="307">
        <v>0.0</v>
      </c>
      <c r="H26" s="307">
        <v>11.0</v>
      </c>
      <c r="I26" s="307">
        <v>11.0</v>
      </c>
      <c r="J26" s="308">
        <v>0.0</v>
      </c>
      <c r="K26" s="22" t="s">
        <v>1875</v>
      </c>
      <c r="L26" s="22">
        <v>5.054725759E9</v>
      </c>
      <c r="M26" s="22" t="s">
        <v>47</v>
      </c>
      <c r="N26" s="22" t="s">
        <v>1085</v>
      </c>
      <c r="O26" s="22" t="s">
        <v>1876</v>
      </c>
      <c r="P26" s="22" t="s">
        <v>666</v>
      </c>
      <c r="Q26" s="309">
        <f>COUNTIF('Hedef Liste'!A:A,A26)</f>
        <v>1</v>
      </c>
    </row>
    <row r="27" hidden="1">
      <c r="A27" s="22" t="s">
        <v>2810</v>
      </c>
      <c r="B27" s="22" t="s">
        <v>2811</v>
      </c>
      <c r="C27" s="306" t="s">
        <v>3959</v>
      </c>
      <c r="D27" s="22" t="s">
        <v>172</v>
      </c>
      <c r="E27" s="307">
        <v>5033.0</v>
      </c>
      <c r="F27" s="310"/>
      <c r="G27" s="307">
        <v>14.0</v>
      </c>
      <c r="H27" s="307">
        <v>12.0</v>
      </c>
      <c r="I27" s="307">
        <v>26.0</v>
      </c>
      <c r="J27" s="308">
        <v>0.54</v>
      </c>
      <c r="K27" s="22" t="s">
        <v>2812</v>
      </c>
      <c r="L27" s="22">
        <v>3.524080119E9</v>
      </c>
      <c r="M27" s="22" t="s">
        <v>47</v>
      </c>
      <c r="N27" s="22" t="s">
        <v>125</v>
      </c>
      <c r="O27" s="22" t="s">
        <v>2813</v>
      </c>
      <c r="P27" s="22" t="s">
        <v>666</v>
      </c>
      <c r="Q27" s="309">
        <f>COUNTIF('Hedef Liste'!A:A,A27)</f>
        <v>1</v>
      </c>
    </row>
    <row r="28" hidden="1">
      <c r="A28" s="22" t="s">
        <v>843</v>
      </c>
      <c r="B28" s="22" t="s">
        <v>844</v>
      </c>
      <c r="C28" s="306" t="s">
        <v>3959</v>
      </c>
      <c r="D28" s="22" t="s">
        <v>845</v>
      </c>
      <c r="E28" s="307">
        <v>1067.0</v>
      </c>
      <c r="F28" s="307">
        <v>57.0</v>
      </c>
      <c r="G28" s="307">
        <v>0.0</v>
      </c>
      <c r="H28" s="307">
        <v>153.0</v>
      </c>
      <c r="I28" s="307">
        <v>153.0</v>
      </c>
      <c r="J28" s="308">
        <v>0.0</v>
      </c>
      <c r="K28" s="22" t="s">
        <v>841</v>
      </c>
      <c r="L28" s="22">
        <v>3.522324426E9</v>
      </c>
      <c r="M28" s="22" t="s">
        <v>47</v>
      </c>
      <c r="N28" s="22" t="s">
        <v>307</v>
      </c>
      <c r="O28" s="22" t="s">
        <v>846</v>
      </c>
      <c r="P28" s="22" t="s">
        <v>666</v>
      </c>
      <c r="Q28" s="309">
        <f>COUNTIF('Hedef Liste'!A:A,A28)</f>
        <v>1</v>
      </c>
    </row>
    <row r="29" hidden="1">
      <c r="A29" s="22" t="s">
        <v>2693</v>
      </c>
      <c r="B29" s="22" t="s">
        <v>2694</v>
      </c>
      <c r="C29" s="306" t="s">
        <v>3959</v>
      </c>
      <c r="D29" s="22" t="s">
        <v>653</v>
      </c>
      <c r="E29" s="307">
        <v>889.0</v>
      </c>
      <c r="F29" s="307">
        <v>1.0</v>
      </c>
      <c r="G29" s="307">
        <v>0.0</v>
      </c>
      <c r="H29" s="307">
        <v>51.0</v>
      </c>
      <c r="I29" s="307">
        <v>51.0</v>
      </c>
      <c r="J29" s="308">
        <v>0.0</v>
      </c>
      <c r="K29" s="22" t="s">
        <v>46</v>
      </c>
      <c r="L29" s="22">
        <v>3.522473838E9</v>
      </c>
      <c r="M29" s="22" t="s">
        <v>47</v>
      </c>
      <c r="N29" s="22" t="s">
        <v>48</v>
      </c>
      <c r="O29" s="22" t="s">
        <v>49</v>
      </c>
      <c r="P29" s="22" t="s">
        <v>666</v>
      </c>
      <c r="Q29" s="309">
        <f>COUNTIF('Hedef Liste'!A:A,A29)</f>
        <v>1</v>
      </c>
    </row>
    <row r="30" hidden="1">
      <c r="A30" s="22" t="s">
        <v>2317</v>
      </c>
      <c r="B30" s="22" t="s">
        <v>2318</v>
      </c>
      <c r="C30" s="306" t="s">
        <v>3959</v>
      </c>
      <c r="D30" s="22" t="s">
        <v>406</v>
      </c>
      <c r="E30" s="307">
        <v>8209.0</v>
      </c>
      <c r="F30" s="307">
        <v>285.0</v>
      </c>
      <c r="G30" s="307">
        <v>0.0</v>
      </c>
      <c r="H30" s="307">
        <v>22.0</v>
      </c>
      <c r="I30" s="307">
        <v>22.0</v>
      </c>
      <c r="J30" s="308">
        <v>0.0</v>
      </c>
      <c r="K30" s="22" t="s">
        <v>2319</v>
      </c>
      <c r="L30" s="22">
        <v>3.524381515E9</v>
      </c>
      <c r="M30" s="22" t="s">
        <v>61</v>
      </c>
      <c r="N30" s="22" t="s">
        <v>107</v>
      </c>
      <c r="O30" s="22" t="s">
        <v>2320</v>
      </c>
      <c r="P30" s="22" t="s">
        <v>666</v>
      </c>
      <c r="Q30" s="309">
        <f>COUNTIF('Hedef Liste'!A:A,A30)</f>
        <v>1</v>
      </c>
    </row>
    <row r="31" hidden="1">
      <c r="A31" s="22" t="s">
        <v>433</v>
      </c>
      <c r="B31" s="22" t="s">
        <v>434</v>
      </c>
      <c r="C31" s="306" t="s">
        <v>3959</v>
      </c>
      <c r="D31" s="22" t="s">
        <v>172</v>
      </c>
      <c r="E31" s="307">
        <v>2113.0</v>
      </c>
      <c r="F31" s="307">
        <v>59.0</v>
      </c>
      <c r="G31" s="307">
        <v>0.0</v>
      </c>
      <c r="H31" s="307">
        <v>17.0</v>
      </c>
      <c r="I31" s="307">
        <v>17.0</v>
      </c>
      <c r="J31" s="308">
        <v>0.0</v>
      </c>
      <c r="K31" s="22" t="s">
        <v>435</v>
      </c>
      <c r="L31" s="22">
        <v>3.522335931E9</v>
      </c>
      <c r="M31" s="22" t="s">
        <v>47</v>
      </c>
      <c r="N31" s="22" t="s">
        <v>271</v>
      </c>
      <c r="O31" s="22" t="s">
        <v>436</v>
      </c>
      <c r="P31" s="22" t="s">
        <v>666</v>
      </c>
      <c r="Q31" s="309">
        <f>COUNTIF('Hedef Liste'!A:A,A31)</f>
        <v>1</v>
      </c>
    </row>
    <row r="32" hidden="1">
      <c r="A32" s="22" t="s">
        <v>628</v>
      </c>
      <c r="B32" s="22" t="s">
        <v>629</v>
      </c>
      <c r="C32" s="306" t="s">
        <v>3959</v>
      </c>
      <c r="D32" s="22" t="s">
        <v>406</v>
      </c>
      <c r="E32" s="307">
        <v>781.0</v>
      </c>
      <c r="F32" s="310"/>
      <c r="G32" s="307">
        <v>0.0</v>
      </c>
      <c r="H32" s="307">
        <v>25.0</v>
      </c>
      <c r="I32" s="307">
        <v>25.0</v>
      </c>
      <c r="J32" s="308">
        <v>0.0</v>
      </c>
      <c r="K32" s="22" t="s">
        <v>630</v>
      </c>
      <c r="L32" s="22">
        <v>5.412310534E9</v>
      </c>
      <c r="M32" s="22" t="s">
        <v>71</v>
      </c>
      <c r="N32" s="22" t="s">
        <v>102</v>
      </c>
      <c r="O32" s="22" t="s">
        <v>631</v>
      </c>
      <c r="P32" s="22" t="s">
        <v>666</v>
      </c>
      <c r="Q32" s="309">
        <f>COUNTIF('Hedef Liste'!A:A,A32)</f>
        <v>1</v>
      </c>
    </row>
    <row r="33" hidden="1">
      <c r="A33" s="22" t="s">
        <v>190</v>
      </c>
      <c r="B33" s="22" t="s">
        <v>191</v>
      </c>
      <c r="C33" s="306" t="s">
        <v>3963</v>
      </c>
      <c r="D33" s="22" t="s">
        <v>83</v>
      </c>
      <c r="E33" s="307">
        <v>537.0</v>
      </c>
      <c r="F33" s="310"/>
      <c r="G33" s="307">
        <v>0.0</v>
      </c>
      <c r="H33" s="307">
        <v>24.0</v>
      </c>
      <c r="I33" s="307">
        <v>24.0</v>
      </c>
      <c r="J33" s="308">
        <v>0.0</v>
      </c>
      <c r="K33" s="22" t="s">
        <v>192</v>
      </c>
      <c r="L33" s="22">
        <v>5.435740503E9</v>
      </c>
      <c r="M33" s="22" t="s">
        <v>61</v>
      </c>
      <c r="N33" s="22" t="s">
        <v>62</v>
      </c>
      <c r="O33" s="22" t="s">
        <v>193</v>
      </c>
      <c r="P33" s="22" t="s">
        <v>666</v>
      </c>
      <c r="Q33" s="309">
        <f>COUNTIF('Hedef Liste'!A:A,A33)</f>
        <v>1</v>
      </c>
    </row>
    <row r="34" hidden="1">
      <c r="A34" s="22" t="s">
        <v>2881</v>
      </c>
      <c r="B34" s="22" t="s">
        <v>2882</v>
      </c>
      <c r="C34" s="306" t="s">
        <v>3959</v>
      </c>
      <c r="D34" s="22" t="s">
        <v>172</v>
      </c>
      <c r="E34" s="307">
        <v>3930.0</v>
      </c>
      <c r="F34" s="307">
        <v>103.0</v>
      </c>
      <c r="G34" s="307">
        <v>0.0</v>
      </c>
      <c r="H34" s="307">
        <v>25.0</v>
      </c>
      <c r="I34" s="307">
        <v>25.0</v>
      </c>
      <c r="J34" s="308">
        <v>0.0</v>
      </c>
      <c r="K34" s="22" t="s">
        <v>2883</v>
      </c>
      <c r="L34" s="22">
        <v>3.523374053E9</v>
      </c>
      <c r="M34" s="22" t="s">
        <v>71</v>
      </c>
      <c r="N34" s="22" t="s">
        <v>62</v>
      </c>
      <c r="O34" s="22" t="s">
        <v>2884</v>
      </c>
      <c r="P34" s="22" t="s">
        <v>666</v>
      </c>
      <c r="Q34" s="309">
        <f>COUNTIF('Hedef Liste'!A:A,A34)</f>
        <v>1</v>
      </c>
    </row>
    <row r="35" hidden="1">
      <c r="A35" s="22" t="s">
        <v>268</v>
      </c>
      <c r="B35" s="22" t="s">
        <v>269</v>
      </c>
      <c r="C35" s="306" t="s">
        <v>3959</v>
      </c>
      <c r="D35" s="22" t="s">
        <v>100</v>
      </c>
      <c r="E35" s="307">
        <v>86.0</v>
      </c>
      <c r="F35" s="307">
        <v>4.0</v>
      </c>
      <c r="G35" s="307">
        <v>0.0</v>
      </c>
      <c r="H35" s="307">
        <v>25.0</v>
      </c>
      <c r="I35" s="307">
        <v>25.0</v>
      </c>
      <c r="J35" s="308">
        <v>0.0</v>
      </c>
      <c r="K35" s="22" t="s">
        <v>270</v>
      </c>
      <c r="L35" s="22">
        <v>5.300651695E9</v>
      </c>
      <c r="M35" s="22" t="s">
        <v>47</v>
      </c>
      <c r="N35" s="22" t="s">
        <v>271</v>
      </c>
      <c r="O35" s="22" t="s">
        <v>272</v>
      </c>
      <c r="P35" s="22" t="s">
        <v>666</v>
      </c>
      <c r="Q35" s="309">
        <f>COUNTIF('Hedef Liste'!A:A,A35)</f>
        <v>1</v>
      </c>
    </row>
    <row r="36" hidden="1">
      <c r="A36" s="22" t="s">
        <v>1228</v>
      </c>
      <c r="B36" s="22" t="s">
        <v>1229</v>
      </c>
      <c r="C36" s="306" t="s">
        <v>3959</v>
      </c>
      <c r="D36" s="22" t="s">
        <v>1230</v>
      </c>
      <c r="E36" s="307">
        <v>939.0</v>
      </c>
      <c r="F36" s="307">
        <v>17.0</v>
      </c>
      <c r="G36" s="307">
        <v>0.0</v>
      </c>
      <c r="H36" s="307">
        <v>37.0</v>
      </c>
      <c r="I36" s="307">
        <v>37.0</v>
      </c>
      <c r="J36" s="308">
        <v>0.0</v>
      </c>
      <c r="K36" s="22" t="s">
        <v>1231</v>
      </c>
      <c r="L36" s="22">
        <v>5.52662101E9</v>
      </c>
      <c r="M36" s="22" t="s">
        <v>61</v>
      </c>
      <c r="N36" s="22" t="s">
        <v>62</v>
      </c>
      <c r="O36" s="22" t="s">
        <v>1232</v>
      </c>
      <c r="P36" s="22" t="s">
        <v>666</v>
      </c>
      <c r="Q36" s="309">
        <f>COUNTIF('Hedef Liste'!A:A,A36)</f>
        <v>1</v>
      </c>
    </row>
    <row r="37" hidden="1">
      <c r="A37" s="22" t="s">
        <v>619</v>
      </c>
      <c r="B37" s="22" t="s">
        <v>620</v>
      </c>
      <c r="C37" s="306" t="s">
        <v>3959</v>
      </c>
      <c r="D37" s="22" t="s">
        <v>91</v>
      </c>
      <c r="E37" s="307">
        <v>787.0</v>
      </c>
      <c r="F37" s="307">
        <v>35.0</v>
      </c>
      <c r="G37" s="307">
        <v>31.0</v>
      </c>
      <c r="H37" s="307">
        <v>43.0</v>
      </c>
      <c r="I37" s="307">
        <v>74.0</v>
      </c>
      <c r="J37" s="308">
        <v>0.42</v>
      </c>
      <c r="K37" s="22" t="s">
        <v>621</v>
      </c>
      <c r="L37" s="22">
        <v>3.522232601E9</v>
      </c>
      <c r="M37" s="22" t="s">
        <v>71</v>
      </c>
      <c r="N37" s="22" t="s">
        <v>420</v>
      </c>
      <c r="O37" s="22" t="s">
        <v>622</v>
      </c>
      <c r="P37" s="22" t="s">
        <v>666</v>
      </c>
      <c r="Q37" s="309">
        <f>COUNTIF('Hedef Liste'!A:A,A37)</f>
        <v>1</v>
      </c>
    </row>
    <row r="38" hidden="1">
      <c r="A38" s="22" t="s">
        <v>2095</v>
      </c>
      <c r="B38" s="22" t="s">
        <v>2096</v>
      </c>
      <c r="C38" s="306" t="s">
        <v>3959</v>
      </c>
      <c r="D38" s="22" t="s">
        <v>69</v>
      </c>
      <c r="E38" s="307">
        <v>1146.0</v>
      </c>
      <c r="F38" s="307">
        <v>19.0</v>
      </c>
      <c r="G38" s="307">
        <v>0.0</v>
      </c>
      <c r="H38" s="307">
        <v>15.0</v>
      </c>
      <c r="I38" s="307">
        <v>15.0</v>
      </c>
      <c r="J38" s="308">
        <v>0.0</v>
      </c>
      <c r="K38" s="22" t="s">
        <v>2097</v>
      </c>
      <c r="L38" s="22">
        <v>5.445446926E9</v>
      </c>
      <c r="M38" s="22" t="s">
        <v>61</v>
      </c>
      <c r="N38" s="22" t="s">
        <v>62</v>
      </c>
      <c r="O38" s="22" t="s">
        <v>2098</v>
      </c>
      <c r="P38" s="22" t="s">
        <v>666</v>
      </c>
      <c r="Q38" s="309">
        <f>COUNTIF('Hedef Liste'!A:A,A38)</f>
        <v>1</v>
      </c>
    </row>
    <row r="39" hidden="1">
      <c r="A39" s="22" t="s">
        <v>262</v>
      </c>
      <c r="B39" s="22" t="s">
        <v>263</v>
      </c>
      <c r="C39" s="306" t="s">
        <v>3959</v>
      </c>
      <c r="D39" s="22" t="s">
        <v>100</v>
      </c>
      <c r="E39" s="307">
        <v>2248.0</v>
      </c>
      <c r="F39" s="307">
        <v>51.0</v>
      </c>
      <c r="G39" s="307">
        <v>0.0</v>
      </c>
      <c r="H39" s="307">
        <v>22.0</v>
      </c>
      <c r="I39" s="307">
        <v>22.0</v>
      </c>
      <c r="J39" s="308">
        <v>0.0</v>
      </c>
      <c r="K39" s="22" t="s">
        <v>264</v>
      </c>
      <c r="L39" s="22">
        <v>5.345200917E9</v>
      </c>
      <c r="M39" s="22" t="s">
        <v>71</v>
      </c>
      <c r="N39" s="22" t="s">
        <v>265</v>
      </c>
      <c r="O39" s="22" t="s">
        <v>266</v>
      </c>
      <c r="P39" s="22" t="s">
        <v>666</v>
      </c>
      <c r="Q39" s="309">
        <f>COUNTIF('Hedef Liste'!A:A,A39)</f>
        <v>1</v>
      </c>
    </row>
    <row r="40" hidden="1">
      <c r="A40" s="22" t="s">
        <v>366</v>
      </c>
      <c r="B40" s="22" t="s">
        <v>367</v>
      </c>
      <c r="C40" s="306" t="s">
        <v>3959</v>
      </c>
      <c r="D40" s="22" t="s">
        <v>368</v>
      </c>
      <c r="E40" s="307">
        <v>498.0</v>
      </c>
      <c r="F40" s="310"/>
      <c r="G40" s="307">
        <v>0.0</v>
      </c>
      <c r="H40" s="307">
        <v>14.0</v>
      </c>
      <c r="I40" s="307">
        <v>14.0</v>
      </c>
      <c r="J40" s="308">
        <v>0.0</v>
      </c>
      <c r="K40" s="22" t="s">
        <v>369</v>
      </c>
      <c r="L40" s="22">
        <v>5.466966569E9</v>
      </c>
      <c r="M40" s="22" t="s">
        <v>61</v>
      </c>
      <c r="N40" s="22" t="s">
        <v>62</v>
      </c>
      <c r="O40" s="22" t="s">
        <v>370</v>
      </c>
      <c r="P40" s="22" t="s">
        <v>666</v>
      </c>
      <c r="Q40" s="309">
        <f>COUNTIF('Hedef Liste'!A:A,A40)</f>
        <v>1</v>
      </c>
    </row>
    <row r="41" hidden="1">
      <c r="A41" s="22" t="s">
        <v>927</v>
      </c>
      <c r="B41" s="22" t="s">
        <v>928</v>
      </c>
      <c r="C41" s="306" t="s">
        <v>3959</v>
      </c>
      <c r="D41" s="22" t="s">
        <v>165</v>
      </c>
      <c r="E41" s="307">
        <v>2836.0</v>
      </c>
      <c r="F41" s="307">
        <v>196.0</v>
      </c>
      <c r="G41" s="307">
        <v>9.0</v>
      </c>
      <c r="H41" s="307">
        <v>9.0</v>
      </c>
      <c r="I41" s="307">
        <v>18.0</v>
      </c>
      <c r="J41" s="308">
        <v>0.5</v>
      </c>
      <c r="K41" s="22" t="s">
        <v>929</v>
      </c>
      <c r="L41" s="22">
        <v>3.522221971E9</v>
      </c>
      <c r="M41" s="22" t="s">
        <v>61</v>
      </c>
      <c r="N41" s="22" t="s">
        <v>62</v>
      </c>
      <c r="O41" s="22" t="s">
        <v>930</v>
      </c>
      <c r="P41" s="22" t="s">
        <v>666</v>
      </c>
      <c r="Q41" s="309">
        <f>COUNTIF('Hedef Liste'!A:A,A41)</f>
        <v>1</v>
      </c>
    </row>
    <row r="42" hidden="1">
      <c r="A42" s="22" t="s">
        <v>2169</v>
      </c>
      <c r="B42" s="22" t="s">
        <v>2170</v>
      </c>
      <c r="C42" s="306" t="s">
        <v>3963</v>
      </c>
      <c r="D42" s="22" t="s">
        <v>453</v>
      </c>
      <c r="E42" s="307">
        <v>107.0</v>
      </c>
      <c r="F42" s="310"/>
      <c r="G42" s="307">
        <v>0.0</v>
      </c>
      <c r="H42" s="307">
        <v>21.0</v>
      </c>
      <c r="I42" s="307">
        <v>21.0</v>
      </c>
      <c r="J42" s="308">
        <v>0.0</v>
      </c>
      <c r="K42" s="22" t="s">
        <v>344</v>
      </c>
      <c r="L42" s="22">
        <v>3.52503304E9</v>
      </c>
      <c r="M42" s="22" t="s">
        <v>61</v>
      </c>
      <c r="N42" s="22" t="s">
        <v>2639</v>
      </c>
      <c r="O42" s="22" t="s">
        <v>2171</v>
      </c>
      <c r="P42" s="22" t="s">
        <v>666</v>
      </c>
      <c r="Q42" s="309">
        <f>COUNTIF('Hedef Liste'!A:A,A42)</f>
        <v>1</v>
      </c>
    </row>
    <row r="43" hidden="1">
      <c r="A43" s="22" t="s">
        <v>862</v>
      </c>
      <c r="B43" s="22" t="s">
        <v>863</v>
      </c>
      <c r="C43" s="306" t="s">
        <v>3963</v>
      </c>
      <c r="D43" s="22" t="s">
        <v>855</v>
      </c>
      <c r="E43" s="307">
        <v>67.0</v>
      </c>
      <c r="F43" s="310"/>
      <c r="G43" s="307">
        <v>0.0</v>
      </c>
      <c r="H43" s="307">
        <v>51.0</v>
      </c>
      <c r="I43" s="307">
        <v>51.0</v>
      </c>
      <c r="J43" s="308">
        <v>0.0</v>
      </c>
      <c r="K43" s="22" t="s">
        <v>856</v>
      </c>
      <c r="L43" s="22">
        <v>3.524374047E9</v>
      </c>
      <c r="M43" s="22" t="s">
        <v>61</v>
      </c>
      <c r="N43" s="22" t="s">
        <v>107</v>
      </c>
      <c r="O43" s="22" t="s">
        <v>864</v>
      </c>
      <c r="P43" s="22" t="s">
        <v>666</v>
      </c>
      <c r="Q43" s="309">
        <f>COUNTIF('Hedef Liste'!A:A,A43)</f>
        <v>1</v>
      </c>
    </row>
    <row r="44" hidden="1">
      <c r="A44" s="22" t="s">
        <v>1172</v>
      </c>
      <c r="B44" s="22" t="s">
        <v>1173</v>
      </c>
      <c r="C44" s="306" t="s">
        <v>3963</v>
      </c>
      <c r="D44" s="22" t="s">
        <v>100</v>
      </c>
      <c r="E44" s="307">
        <v>61.0</v>
      </c>
      <c r="F44" s="310"/>
      <c r="G44" s="307">
        <v>0.0</v>
      </c>
      <c r="H44" s="307">
        <v>34.0</v>
      </c>
      <c r="I44" s="307">
        <v>34.0</v>
      </c>
      <c r="J44" s="308">
        <v>0.0</v>
      </c>
      <c r="K44" s="22" t="s">
        <v>856</v>
      </c>
      <c r="L44" s="22">
        <v>3.524374047E9</v>
      </c>
      <c r="M44" s="22" t="s">
        <v>61</v>
      </c>
      <c r="N44" s="22" t="s">
        <v>107</v>
      </c>
      <c r="O44" s="22" t="s">
        <v>864</v>
      </c>
      <c r="P44" s="22" t="s">
        <v>666</v>
      </c>
      <c r="Q44" s="309">
        <f>COUNTIF('Hedef Liste'!A:A,A44)</f>
        <v>1</v>
      </c>
    </row>
    <row r="45" hidden="1">
      <c r="A45" s="22" t="s">
        <v>2236</v>
      </c>
      <c r="B45" s="22" t="s">
        <v>2237</v>
      </c>
      <c r="C45" s="306" t="s">
        <v>3959</v>
      </c>
      <c r="D45" s="22" t="s">
        <v>91</v>
      </c>
      <c r="E45" s="307">
        <v>1449.0</v>
      </c>
      <c r="F45" s="307">
        <v>20.0</v>
      </c>
      <c r="G45" s="307">
        <v>0.0</v>
      </c>
      <c r="H45" s="307">
        <v>187.0</v>
      </c>
      <c r="I45" s="307">
        <v>187.0</v>
      </c>
      <c r="J45" s="308">
        <v>0.0</v>
      </c>
      <c r="K45" s="22" t="s">
        <v>1697</v>
      </c>
      <c r="L45" s="22">
        <v>5.416974708E9</v>
      </c>
      <c r="M45" s="22" t="s">
        <v>61</v>
      </c>
      <c r="N45" s="22" t="s">
        <v>811</v>
      </c>
      <c r="O45" s="22" t="s">
        <v>1698</v>
      </c>
      <c r="P45" s="22" t="s">
        <v>666</v>
      </c>
      <c r="Q45" s="309">
        <f>COUNTIF('Hedef Liste'!A:A,A45)</f>
        <v>1</v>
      </c>
    </row>
    <row r="46" hidden="1">
      <c r="A46" s="22" t="s">
        <v>3970</v>
      </c>
      <c r="B46" s="22" t="s">
        <v>3971</v>
      </c>
      <c r="C46" s="306" t="s">
        <v>3959</v>
      </c>
      <c r="D46" s="22" t="s">
        <v>100</v>
      </c>
      <c r="E46" s="307">
        <v>1073.0</v>
      </c>
      <c r="F46" s="307">
        <v>36.0</v>
      </c>
      <c r="G46" s="307">
        <v>44.0</v>
      </c>
      <c r="H46" s="307">
        <v>4.0</v>
      </c>
      <c r="I46" s="307">
        <v>48.0</v>
      </c>
      <c r="J46" s="308">
        <v>0.92</v>
      </c>
      <c r="K46" s="22" t="s">
        <v>3967</v>
      </c>
      <c r="L46" s="22">
        <v>5.535074973E9</v>
      </c>
      <c r="M46" s="22" t="s">
        <v>61</v>
      </c>
      <c r="N46" s="22" t="s">
        <v>62</v>
      </c>
      <c r="O46" s="22" t="s">
        <v>3972</v>
      </c>
      <c r="P46" s="22" t="s">
        <v>3962</v>
      </c>
      <c r="Q46" s="309">
        <f>COUNTIF('Hedef Liste'!A:A,A46)</f>
        <v>0</v>
      </c>
    </row>
    <row r="47" hidden="1">
      <c r="A47" s="22" t="s">
        <v>1098</v>
      </c>
      <c r="B47" s="22" t="s">
        <v>1099</v>
      </c>
      <c r="C47" s="306" t="s">
        <v>3959</v>
      </c>
      <c r="D47" s="22" t="s">
        <v>165</v>
      </c>
      <c r="E47" s="307">
        <v>2655.0</v>
      </c>
      <c r="F47" s="307">
        <v>4.0</v>
      </c>
      <c r="G47" s="307">
        <v>22.0</v>
      </c>
      <c r="H47" s="307">
        <v>7.0</v>
      </c>
      <c r="I47" s="307">
        <v>29.0</v>
      </c>
      <c r="J47" s="308">
        <v>0.76</v>
      </c>
      <c r="K47" s="22" t="s">
        <v>1100</v>
      </c>
      <c r="L47" s="22">
        <v>3.525048E9</v>
      </c>
      <c r="M47" s="22" t="s">
        <v>61</v>
      </c>
      <c r="N47" s="22" t="s">
        <v>62</v>
      </c>
      <c r="O47" s="22" t="s">
        <v>1101</v>
      </c>
      <c r="P47" s="22" t="s">
        <v>666</v>
      </c>
      <c r="Q47" s="309">
        <f>COUNTIF('Hedef Liste'!A:A,A47)</f>
        <v>1</v>
      </c>
    </row>
    <row r="48" hidden="1">
      <c r="A48" s="22" t="s">
        <v>1155</v>
      </c>
      <c r="B48" s="22" t="s">
        <v>1156</v>
      </c>
      <c r="C48" s="306" t="s">
        <v>3959</v>
      </c>
      <c r="D48" s="22" t="s">
        <v>406</v>
      </c>
      <c r="E48" s="307">
        <v>1484.0</v>
      </c>
      <c r="F48" s="310"/>
      <c r="G48" s="307">
        <v>0.0</v>
      </c>
      <c r="H48" s="307">
        <v>15.0</v>
      </c>
      <c r="I48" s="307">
        <v>15.0</v>
      </c>
      <c r="J48" s="308">
        <v>0.0</v>
      </c>
      <c r="K48" s="22" t="s">
        <v>1157</v>
      </c>
      <c r="L48" s="22">
        <v>3.5224813E9</v>
      </c>
      <c r="M48" s="22" t="s">
        <v>47</v>
      </c>
      <c r="N48" s="22" t="s">
        <v>1158</v>
      </c>
      <c r="O48" s="22" t="s">
        <v>1159</v>
      </c>
      <c r="P48" s="22" t="s">
        <v>666</v>
      </c>
      <c r="Q48" s="309">
        <f>COUNTIF('Hedef Liste'!A:A,A48)</f>
        <v>1</v>
      </c>
    </row>
    <row r="49" hidden="1">
      <c r="A49" s="22" t="s">
        <v>2218</v>
      </c>
      <c r="B49" s="22" t="s">
        <v>3973</v>
      </c>
      <c r="C49" s="306" t="s">
        <v>3959</v>
      </c>
      <c r="D49" s="22" t="s">
        <v>653</v>
      </c>
      <c r="E49" s="307">
        <v>815.0</v>
      </c>
      <c r="F49" s="307">
        <v>5.0</v>
      </c>
      <c r="G49" s="307">
        <v>0.0</v>
      </c>
      <c r="H49" s="307">
        <v>39.0</v>
      </c>
      <c r="I49" s="307">
        <v>39.0</v>
      </c>
      <c r="J49" s="308">
        <v>0.0</v>
      </c>
      <c r="K49" s="22" t="s">
        <v>2220</v>
      </c>
      <c r="L49" s="22">
        <v>3.522353435E9</v>
      </c>
      <c r="M49" s="22" t="s">
        <v>71</v>
      </c>
      <c r="N49" s="22" t="s">
        <v>797</v>
      </c>
      <c r="O49" s="22" t="s">
        <v>2221</v>
      </c>
      <c r="P49" s="22" t="s">
        <v>666</v>
      </c>
      <c r="Q49" s="309">
        <f>COUNTIF('Hedef Liste'!A:A,A49)</f>
        <v>1</v>
      </c>
    </row>
    <row r="50" hidden="1">
      <c r="A50" s="22" t="s">
        <v>651</v>
      </c>
      <c r="B50" s="22" t="s">
        <v>652</v>
      </c>
      <c r="C50" s="306" t="s">
        <v>3959</v>
      </c>
      <c r="D50" s="22" t="s">
        <v>653</v>
      </c>
      <c r="E50" s="307">
        <v>1741.0</v>
      </c>
      <c r="F50" s="307">
        <v>11.0</v>
      </c>
      <c r="G50" s="307">
        <v>15.0</v>
      </c>
      <c r="H50" s="307">
        <v>1.0</v>
      </c>
      <c r="I50" s="307">
        <v>16.0</v>
      </c>
      <c r="J50" s="308">
        <v>0.94</v>
      </c>
      <c r="K50" s="22" t="s">
        <v>654</v>
      </c>
      <c r="L50" s="22">
        <v>3.524377744E9</v>
      </c>
      <c r="M50" s="22" t="s">
        <v>61</v>
      </c>
      <c r="N50" s="22" t="s">
        <v>250</v>
      </c>
      <c r="O50" s="22" t="s">
        <v>655</v>
      </c>
      <c r="P50" s="22" t="s">
        <v>666</v>
      </c>
      <c r="Q50" s="309">
        <f>COUNTIF('Hedef Liste'!A:A,A50)</f>
        <v>1</v>
      </c>
    </row>
    <row r="51" hidden="1">
      <c r="A51" s="22" t="s">
        <v>2597</v>
      </c>
      <c r="B51" s="22" t="s">
        <v>2598</v>
      </c>
      <c r="C51" s="306" t="s">
        <v>3959</v>
      </c>
      <c r="D51" s="22" t="s">
        <v>406</v>
      </c>
      <c r="E51" s="307">
        <v>7111.0</v>
      </c>
      <c r="F51" s="307">
        <v>216.0</v>
      </c>
      <c r="G51" s="307">
        <v>0.0</v>
      </c>
      <c r="H51" s="307">
        <v>40.0</v>
      </c>
      <c r="I51" s="307">
        <v>40.0</v>
      </c>
      <c r="J51" s="308">
        <v>0.0</v>
      </c>
      <c r="K51" s="22" t="s">
        <v>2599</v>
      </c>
      <c r="L51" s="22">
        <v>3.524383342E9</v>
      </c>
      <c r="M51" s="22" t="s">
        <v>61</v>
      </c>
      <c r="N51" s="22" t="s">
        <v>62</v>
      </c>
      <c r="O51" s="22" t="s">
        <v>2600</v>
      </c>
      <c r="P51" s="22" t="s">
        <v>666</v>
      </c>
      <c r="Q51" s="309">
        <f>COUNTIF('Hedef Liste'!A:A,A51)</f>
        <v>1</v>
      </c>
    </row>
    <row r="52" hidden="1">
      <c r="A52" s="22" t="s">
        <v>279</v>
      </c>
      <c r="B52" s="22" t="s">
        <v>280</v>
      </c>
      <c r="C52" s="306" t="s">
        <v>3959</v>
      </c>
      <c r="D52" s="22" t="s">
        <v>100</v>
      </c>
      <c r="E52" s="307">
        <v>1531.0</v>
      </c>
      <c r="F52" s="307">
        <v>9.0</v>
      </c>
      <c r="G52" s="307">
        <v>6.0</v>
      </c>
      <c r="H52" s="307">
        <v>22.0</v>
      </c>
      <c r="I52" s="307">
        <v>28.0</v>
      </c>
      <c r="J52" s="308">
        <v>0.21</v>
      </c>
      <c r="K52" s="22" t="s">
        <v>281</v>
      </c>
      <c r="L52" s="22">
        <v>5.526383824E9</v>
      </c>
      <c r="M52" s="22" t="s">
        <v>61</v>
      </c>
      <c r="N52" s="22" t="s">
        <v>62</v>
      </c>
      <c r="O52" s="22" t="s">
        <v>282</v>
      </c>
      <c r="P52" s="22" t="s">
        <v>666</v>
      </c>
      <c r="Q52" s="309">
        <f>COUNTIF('Hedef Liste'!A:A,A52)</f>
        <v>1</v>
      </c>
    </row>
    <row r="53" hidden="1">
      <c r="A53" s="22" t="s">
        <v>2249</v>
      </c>
      <c r="B53" s="22" t="s">
        <v>2250</v>
      </c>
      <c r="C53" s="306" t="s">
        <v>3959</v>
      </c>
      <c r="D53" s="22" t="s">
        <v>91</v>
      </c>
      <c r="E53" s="307">
        <v>8738.0</v>
      </c>
      <c r="F53" s="307">
        <v>37.0</v>
      </c>
      <c r="G53" s="307">
        <v>1.0</v>
      </c>
      <c r="H53" s="307">
        <v>90.0</v>
      </c>
      <c r="I53" s="307">
        <v>91.0</v>
      </c>
      <c r="J53" s="308">
        <v>0.01</v>
      </c>
      <c r="K53" s="22" t="s">
        <v>2251</v>
      </c>
      <c r="L53" s="22">
        <v>3.522222266E9</v>
      </c>
      <c r="M53" s="22" t="s">
        <v>71</v>
      </c>
      <c r="N53" s="22" t="s">
        <v>102</v>
      </c>
      <c r="O53" s="22" t="s">
        <v>2252</v>
      </c>
      <c r="P53" s="22" t="s">
        <v>666</v>
      </c>
      <c r="Q53" s="309">
        <f>COUNTIF('Hedef Liste'!A:A,A53)</f>
        <v>1</v>
      </c>
    </row>
    <row r="54" hidden="1">
      <c r="A54" s="22" t="s">
        <v>2725</v>
      </c>
      <c r="B54" s="22" t="s">
        <v>2726</v>
      </c>
      <c r="C54" s="306" t="s">
        <v>3959</v>
      </c>
      <c r="D54" s="22" t="s">
        <v>172</v>
      </c>
      <c r="E54" s="307">
        <v>1476.0</v>
      </c>
      <c r="F54" s="307">
        <v>49.0</v>
      </c>
      <c r="G54" s="307">
        <v>5.0</v>
      </c>
      <c r="H54" s="307">
        <v>3.0</v>
      </c>
      <c r="I54" s="307">
        <v>8.0</v>
      </c>
      <c r="J54" s="308">
        <v>0.63</v>
      </c>
      <c r="K54" s="22" t="s">
        <v>2727</v>
      </c>
      <c r="L54" s="22">
        <v>3.522325656E9</v>
      </c>
      <c r="M54" s="22" t="s">
        <v>47</v>
      </c>
      <c r="N54" s="22" t="s">
        <v>307</v>
      </c>
      <c r="O54" s="22" t="s">
        <v>2728</v>
      </c>
      <c r="P54" s="22" t="s">
        <v>666</v>
      </c>
      <c r="Q54" s="309">
        <f>COUNTIF('Hedef Liste'!A:A,A54)</f>
        <v>1</v>
      </c>
    </row>
    <row r="55" hidden="1">
      <c r="A55" s="22" t="s">
        <v>2455</v>
      </c>
      <c r="B55" s="22" t="s">
        <v>2456</v>
      </c>
      <c r="C55" s="306" t="s">
        <v>3959</v>
      </c>
      <c r="D55" s="22" t="s">
        <v>69</v>
      </c>
      <c r="E55" s="307">
        <v>2342.0</v>
      </c>
      <c r="F55" s="307">
        <v>131.0</v>
      </c>
      <c r="G55" s="307">
        <v>0.0</v>
      </c>
      <c r="H55" s="307">
        <v>42.0</v>
      </c>
      <c r="I55" s="307">
        <v>42.0</v>
      </c>
      <c r="J55" s="308">
        <v>0.0</v>
      </c>
      <c r="K55" s="22" t="s">
        <v>2457</v>
      </c>
      <c r="L55" s="22">
        <v>3.524376006E9</v>
      </c>
      <c r="M55" s="22" t="s">
        <v>61</v>
      </c>
      <c r="N55" s="22" t="s">
        <v>62</v>
      </c>
      <c r="O55" s="22" t="s">
        <v>2458</v>
      </c>
      <c r="P55" s="22" t="s">
        <v>666</v>
      </c>
      <c r="Q55" s="309">
        <f>COUNTIF('Hedef Liste'!A:A,A55)</f>
        <v>1</v>
      </c>
    </row>
    <row r="56" hidden="1">
      <c r="A56" s="22" t="s">
        <v>889</v>
      </c>
      <c r="B56" s="22" t="s">
        <v>890</v>
      </c>
      <c r="C56" s="306" t="s">
        <v>3959</v>
      </c>
      <c r="D56" s="22" t="s">
        <v>453</v>
      </c>
      <c r="E56" s="307">
        <v>21.0</v>
      </c>
      <c r="F56" s="310"/>
      <c r="G56" s="307">
        <v>0.0</v>
      </c>
      <c r="H56" s="307">
        <v>25.0</v>
      </c>
      <c r="I56" s="307">
        <v>25.0</v>
      </c>
      <c r="J56" s="308">
        <v>0.0</v>
      </c>
      <c r="K56" s="22" t="s">
        <v>891</v>
      </c>
      <c r="L56" s="22">
        <v>3.523338282E9</v>
      </c>
      <c r="M56" s="22" t="s">
        <v>47</v>
      </c>
      <c r="N56" s="22" t="s">
        <v>47</v>
      </c>
      <c r="O56" s="22" t="s">
        <v>892</v>
      </c>
      <c r="P56" s="22" t="s">
        <v>666</v>
      </c>
      <c r="Q56" s="309">
        <f>COUNTIF('Hedef Liste'!A:A,A56)</f>
        <v>1</v>
      </c>
    </row>
    <row r="57" hidden="1">
      <c r="A57" s="22" t="s">
        <v>2189</v>
      </c>
      <c r="B57" s="22" t="s">
        <v>2190</v>
      </c>
      <c r="C57" s="306" t="s">
        <v>3959</v>
      </c>
      <c r="D57" s="22" t="s">
        <v>59</v>
      </c>
      <c r="E57" s="307">
        <v>2652.0</v>
      </c>
      <c r="F57" s="307">
        <v>82.0</v>
      </c>
      <c r="G57" s="307">
        <v>8.0</v>
      </c>
      <c r="H57" s="307">
        <v>18.0</v>
      </c>
      <c r="I57" s="307">
        <v>26.0</v>
      </c>
      <c r="J57" s="308">
        <v>0.31</v>
      </c>
      <c r="K57" s="22" t="s">
        <v>530</v>
      </c>
      <c r="L57" s="22">
        <v>3.525046718E9</v>
      </c>
      <c r="M57" s="22" t="s">
        <v>61</v>
      </c>
      <c r="N57" s="22" t="s">
        <v>62</v>
      </c>
      <c r="O57" s="22" t="s">
        <v>2191</v>
      </c>
      <c r="P57" s="22" t="s">
        <v>666</v>
      </c>
      <c r="Q57" s="309">
        <f>COUNTIF('Hedef Liste'!A:A,A57)</f>
        <v>1</v>
      </c>
    </row>
    <row r="58" hidden="1">
      <c r="A58" s="22" t="s">
        <v>839</v>
      </c>
      <c r="B58" s="22" t="s">
        <v>840</v>
      </c>
      <c r="C58" s="306" t="s">
        <v>3959</v>
      </c>
      <c r="D58" s="22" t="s">
        <v>69</v>
      </c>
      <c r="E58" s="307">
        <v>9681.0</v>
      </c>
      <c r="F58" s="307">
        <v>342.0</v>
      </c>
      <c r="G58" s="307">
        <v>36.0</v>
      </c>
      <c r="H58" s="307">
        <v>164.0</v>
      </c>
      <c r="I58" s="307">
        <v>200.0</v>
      </c>
      <c r="J58" s="308">
        <v>0.18</v>
      </c>
      <c r="K58" s="22" t="s">
        <v>841</v>
      </c>
      <c r="L58" s="22">
        <v>3.522354242E9</v>
      </c>
      <c r="M58" s="22" t="s">
        <v>47</v>
      </c>
      <c r="N58" s="22" t="s">
        <v>271</v>
      </c>
      <c r="O58" s="22" t="s">
        <v>842</v>
      </c>
      <c r="P58" s="22" t="s">
        <v>666</v>
      </c>
      <c r="Q58" s="309">
        <f>COUNTIF('Hedef Liste'!A:A,A58)</f>
        <v>1</v>
      </c>
    </row>
    <row r="59" hidden="1">
      <c r="A59" s="22" t="s">
        <v>2805</v>
      </c>
      <c r="B59" s="22" t="s">
        <v>2806</v>
      </c>
      <c r="C59" s="306" t="s">
        <v>3959</v>
      </c>
      <c r="D59" s="22" t="s">
        <v>406</v>
      </c>
      <c r="E59" s="307">
        <v>886.0</v>
      </c>
      <c r="F59" s="310"/>
      <c r="G59" s="307">
        <v>0.0</v>
      </c>
      <c r="H59" s="307">
        <v>55.0</v>
      </c>
      <c r="I59" s="307">
        <v>55.0</v>
      </c>
      <c r="J59" s="308">
        <v>0.0</v>
      </c>
      <c r="K59" s="22" t="s">
        <v>2807</v>
      </c>
      <c r="L59" s="22">
        <v>3.523333212E9</v>
      </c>
      <c r="M59" s="22" t="s">
        <v>61</v>
      </c>
      <c r="N59" s="22" t="s">
        <v>250</v>
      </c>
      <c r="O59" s="22" t="s">
        <v>2808</v>
      </c>
      <c r="P59" s="22" t="s">
        <v>666</v>
      </c>
      <c r="Q59" s="309">
        <f>COUNTIF('Hedef Liste'!A:A,A59)</f>
        <v>1</v>
      </c>
    </row>
    <row r="60" hidden="1">
      <c r="A60" s="22" t="s">
        <v>2203</v>
      </c>
      <c r="B60" s="22" t="s">
        <v>2204</v>
      </c>
      <c r="C60" s="306" t="s">
        <v>3959</v>
      </c>
      <c r="D60" s="22" t="s">
        <v>165</v>
      </c>
      <c r="E60" s="307">
        <v>661.0</v>
      </c>
      <c r="F60" s="307">
        <v>24.0</v>
      </c>
      <c r="G60" s="307">
        <v>24.0</v>
      </c>
      <c r="H60" s="307">
        <v>16.0</v>
      </c>
      <c r="I60" s="307">
        <v>40.0</v>
      </c>
      <c r="J60" s="308">
        <v>0.6</v>
      </c>
      <c r="K60" s="22" t="s">
        <v>2205</v>
      </c>
      <c r="L60" s="22">
        <v>3.523393339E9</v>
      </c>
      <c r="M60" s="22" t="s">
        <v>47</v>
      </c>
      <c r="N60" s="22" t="s">
        <v>1085</v>
      </c>
      <c r="O60" s="22" t="s">
        <v>2206</v>
      </c>
      <c r="P60" s="22" t="s">
        <v>666</v>
      </c>
      <c r="Q60" s="309">
        <f>COUNTIF('Hedef Liste'!A:A,A60)</f>
        <v>1</v>
      </c>
    </row>
    <row r="61" hidden="1">
      <c r="A61" s="22" t="s">
        <v>43</v>
      </c>
      <c r="B61" s="22" t="s">
        <v>44</v>
      </c>
      <c r="C61" s="306" t="s">
        <v>3959</v>
      </c>
      <c r="D61" s="22" t="s">
        <v>45</v>
      </c>
      <c r="E61" s="307">
        <v>1899.0</v>
      </c>
      <c r="F61" s="307">
        <v>25.0</v>
      </c>
      <c r="G61" s="307">
        <v>21.0</v>
      </c>
      <c r="H61" s="307">
        <v>22.0</v>
      </c>
      <c r="I61" s="307">
        <v>43.0</v>
      </c>
      <c r="J61" s="308">
        <v>0.49</v>
      </c>
      <c r="K61" s="22" t="s">
        <v>46</v>
      </c>
      <c r="L61" s="22">
        <v>3.522473838E9</v>
      </c>
      <c r="M61" s="22" t="s">
        <v>47</v>
      </c>
      <c r="N61" s="22" t="s">
        <v>48</v>
      </c>
      <c r="O61" s="22" t="s">
        <v>49</v>
      </c>
      <c r="P61" s="22" t="s">
        <v>666</v>
      </c>
      <c r="Q61" s="309">
        <f>COUNTIF('Hedef Liste'!A:A,A61)</f>
        <v>1</v>
      </c>
    </row>
    <row r="62" hidden="1">
      <c r="A62" s="22" t="s">
        <v>336</v>
      </c>
      <c r="B62" s="22" t="s">
        <v>337</v>
      </c>
      <c r="C62" s="306" t="s">
        <v>3959</v>
      </c>
      <c r="D62" s="22" t="s">
        <v>69</v>
      </c>
      <c r="E62" s="307">
        <v>80.0</v>
      </c>
      <c r="F62" s="310"/>
      <c r="G62" s="307">
        <v>17.0</v>
      </c>
      <c r="H62" s="307">
        <v>26.0</v>
      </c>
      <c r="I62" s="307">
        <v>43.0</v>
      </c>
      <c r="J62" s="308">
        <v>0.4</v>
      </c>
      <c r="K62" s="22" t="s">
        <v>338</v>
      </c>
      <c r="L62" s="22">
        <v>3.523330222E9</v>
      </c>
      <c r="M62" s="22" t="s">
        <v>71</v>
      </c>
      <c r="N62" s="22" t="s">
        <v>339</v>
      </c>
      <c r="O62" s="22" t="s">
        <v>340</v>
      </c>
      <c r="P62" s="22" t="s">
        <v>666</v>
      </c>
      <c r="Q62" s="309">
        <f>COUNTIF('Hedef Liste'!A:A,A62)</f>
        <v>1</v>
      </c>
    </row>
    <row r="63" hidden="1">
      <c r="A63" s="22" t="s">
        <v>1516</v>
      </c>
      <c r="B63" s="22" t="s">
        <v>1517</v>
      </c>
      <c r="C63" s="306" t="s">
        <v>3959</v>
      </c>
      <c r="D63" s="22" t="s">
        <v>653</v>
      </c>
      <c r="E63" s="307">
        <v>431.0</v>
      </c>
      <c r="F63" s="310"/>
      <c r="G63" s="307">
        <v>0.0</v>
      </c>
      <c r="H63" s="307">
        <v>10.0</v>
      </c>
      <c r="I63" s="307">
        <v>10.0</v>
      </c>
      <c r="J63" s="308">
        <v>0.0</v>
      </c>
      <c r="K63" s="22" t="s">
        <v>1518</v>
      </c>
      <c r="L63" s="22">
        <v>3.522233433E9</v>
      </c>
      <c r="M63" s="22" t="s">
        <v>71</v>
      </c>
      <c r="N63" s="22" t="s">
        <v>797</v>
      </c>
      <c r="O63" s="22" t="s">
        <v>1519</v>
      </c>
      <c r="P63" s="22" t="s">
        <v>666</v>
      </c>
      <c r="Q63" s="309">
        <f>COUNTIF('Hedef Liste'!A:A,A63)</f>
        <v>1</v>
      </c>
    </row>
    <row r="64" hidden="1">
      <c r="A64" s="22" t="s">
        <v>894</v>
      </c>
      <c r="B64" s="22" t="s">
        <v>895</v>
      </c>
      <c r="C64" s="306" t="s">
        <v>3959</v>
      </c>
      <c r="D64" s="22" t="s">
        <v>653</v>
      </c>
      <c r="E64" s="307">
        <v>2084.0</v>
      </c>
      <c r="F64" s="307">
        <v>24.0</v>
      </c>
      <c r="G64" s="307">
        <v>9.0</v>
      </c>
      <c r="H64" s="307">
        <v>75.0</v>
      </c>
      <c r="I64" s="307">
        <v>84.0</v>
      </c>
      <c r="J64" s="308">
        <v>0.11</v>
      </c>
      <c r="K64" s="22" t="s">
        <v>896</v>
      </c>
      <c r="L64" s="22">
        <v>3.525020949E9</v>
      </c>
      <c r="M64" s="22" t="s">
        <v>61</v>
      </c>
      <c r="N64" s="22" t="s">
        <v>62</v>
      </c>
      <c r="O64" s="22" t="s">
        <v>897</v>
      </c>
      <c r="P64" s="22" t="s">
        <v>666</v>
      </c>
      <c r="Q64" s="309">
        <f>COUNTIF('Hedef Liste'!A:A,A64)</f>
        <v>1</v>
      </c>
    </row>
    <row r="65" hidden="1">
      <c r="A65" s="22" t="s">
        <v>3974</v>
      </c>
      <c r="B65" s="22" t="s">
        <v>3975</v>
      </c>
      <c r="C65" s="306" t="s">
        <v>3959</v>
      </c>
      <c r="D65" s="22" t="s">
        <v>100</v>
      </c>
      <c r="E65" s="307">
        <v>4785.0</v>
      </c>
      <c r="F65" s="307">
        <v>178.0</v>
      </c>
      <c r="G65" s="307">
        <v>101.0</v>
      </c>
      <c r="H65" s="307">
        <v>8.0</v>
      </c>
      <c r="I65" s="307">
        <v>109.0</v>
      </c>
      <c r="J65" s="308">
        <v>0.93</v>
      </c>
      <c r="K65" s="22" t="s">
        <v>3967</v>
      </c>
      <c r="L65" s="22">
        <v>5.052213504E9</v>
      </c>
      <c r="M65" s="22" t="s">
        <v>61</v>
      </c>
      <c r="N65" s="22" t="s">
        <v>160</v>
      </c>
      <c r="O65" s="22" t="s">
        <v>3976</v>
      </c>
      <c r="P65" s="22" t="s">
        <v>3962</v>
      </c>
      <c r="Q65" s="309">
        <f>COUNTIF('Hedef Liste'!A:A,A65)</f>
        <v>0</v>
      </c>
    </row>
    <row r="66" hidden="1">
      <c r="A66" s="22" t="s">
        <v>3977</v>
      </c>
      <c r="B66" s="22" t="s">
        <v>3978</v>
      </c>
      <c r="C66" s="306" t="s">
        <v>3959</v>
      </c>
      <c r="D66" s="22" t="s">
        <v>100</v>
      </c>
      <c r="E66" s="307">
        <v>6042.0</v>
      </c>
      <c r="F66" s="307">
        <v>233.0</v>
      </c>
      <c r="G66" s="307">
        <v>89.0</v>
      </c>
      <c r="H66" s="307">
        <v>5.0</v>
      </c>
      <c r="I66" s="307">
        <v>94.0</v>
      </c>
      <c r="J66" s="308">
        <v>0.95</v>
      </c>
      <c r="K66" s="22" t="s">
        <v>3967</v>
      </c>
      <c r="L66" s="22">
        <v>3.529991415E9</v>
      </c>
      <c r="M66" s="22" t="s">
        <v>61</v>
      </c>
      <c r="N66" s="22" t="s">
        <v>62</v>
      </c>
      <c r="O66" s="22" t="s">
        <v>3979</v>
      </c>
      <c r="P66" s="22" t="s">
        <v>3962</v>
      </c>
      <c r="Q66" s="309">
        <f>COUNTIF('Hedef Liste'!A:A,A66)</f>
        <v>0</v>
      </c>
    </row>
    <row r="67" hidden="1">
      <c r="A67" s="22" t="s">
        <v>3980</v>
      </c>
      <c r="B67" s="22" t="s">
        <v>3981</v>
      </c>
      <c r="C67" s="306" t="s">
        <v>3959</v>
      </c>
      <c r="D67" s="22" t="s">
        <v>100</v>
      </c>
      <c r="E67" s="307">
        <v>410.0</v>
      </c>
      <c r="F67" s="307">
        <v>27.0</v>
      </c>
      <c r="G67" s="307">
        <v>83.0</v>
      </c>
      <c r="H67" s="307">
        <v>6.0</v>
      </c>
      <c r="I67" s="307">
        <v>89.0</v>
      </c>
      <c r="J67" s="308">
        <v>0.93</v>
      </c>
      <c r="K67" s="22" t="s">
        <v>3967</v>
      </c>
      <c r="L67" s="22">
        <v>5.054019784E9</v>
      </c>
      <c r="M67" s="22" t="s">
        <v>61</v>
      </c>
      <c r="N67" s="22" t="s">
        <v>107</v>
      </c>
      <c r="O67" s="22" t="s">
        <v>3982</v>
      </c>
      <c r="P67" s="22" t="s">
        <v>3962</v>
      </c>
      <c r="Q67" s="309">
        <f>COUNTIF('Hedef Liste'!A:A,A67)</f>
        <v>0</v>
      </c>
    </row>
    <row r="68" hidden="1">
      <c r="A68" s="22" t="s">
        <v>3983</v>
      </c>
      <c r="B68" s="22" t="s">
        <v>3984</v>
      </c>
      <c r="C68" s="306" t="s">
        <v>3959</v>
      </c>
      <c r="D68" s="22" t="s">
        <v>100</v>
      </c>
      <c r="E68" s="307">
        <v>92.0</v>
      </c>
      <c r="F68" s="307">
        <v>4.0</v>
      </c>
      <c r="G68" s="307">
        <v>47.0</v>
      </c>
      <c r="H68" s="307">
        <v>3.0</v>
      </c>
      <c r="I68" s="307">
        <v>50.0</v>
      </c>
      <c r="J68" s="308">
        <v>0.94</v>
      </c>
      <c r="K68" s="22" t="s">
        <v>3967</v>
      </c>
      <c r="L68" s="22">
        <v>5.075274914E9</v>
      </c>
      <c r="M68" s="22" t="s">
        <v>47</v>
      </c>
      <c r="N68" s="22" t="s">
        <v>3985</v>
      </c>
      <c r="O68" s="22" t="s">
        <v>3986</v>
      </c>
      <c r="P68" s="22" t="s">
        <v>3962</v>
      </c>
      <c r="Q68" s="309">
        <f>COUNTIF('Hedef Liste'!A:A,A68)</f>
        <v>0</v>
      </c>
    </row>
    <row r="69" hidden="1">
      <c r="A69" s="22" t="s">
        <v>3987</v>
      </c>
      <c r="B69" s="22" t="s">
        <v>3988</v>
      </c>
      <c r="C69" s="306" t="s">
        <v>3959</v>
      </c>
      <c r="D69" s="22" t="s">
        <v>100</v>
      </c>
      <c r="E69" s="307">
        <v>2967.0</v>
      </c>
      <c r="F69" s="307">
        <v>126.0</v>
      </c>
      <c r="G69" s="307">
        <v>66.0</v>
      </c>
      <c r="H69" s="307">
        <v>5.0</v>
      </c>
      <c r="I69" s="307">
        <v>71.0</v>
      </c>
      <c r="J69" s="308">
        <v>0.93</v>
      </c>
      <c r="K69" s="22" t="s">
        <v>3967</v>
      </c>
      <c r="L69" s="22">
        <v>5.343041868E9</v>
      </c>
      <c r="M69" s="22" t="s">
        <v>47</v>
      </c>
      <c r="N69" s="22" t="s">
        <v>48</v>
      </c>
      <c r="O69" s="22" t="s">
        <v>3989</v>
      </c>
      <c r="P69" s="22" t="s">
        <v>3962</v>
      </c>
      <c r="Q69" s="309">
        <f>COUNTIF('Hedef Liste'!A:A,A69)</f>
        <v>0</v>
      </c>
    </row>
    <row r="70" hidden="1">
      <c r="A70" s="22" t="s">
        <v>3990</v>
      </c>
      <c r="B70" s="22" t="s">
        <v>3991</v>
      </c>
      <c r="C70" s="306" t="s">
        <v>3959</v>
      </c>
      <c r="D70" s="22" t="s">
        <v>100</v>
      </c>
      <c r="E70" s="307">
        <v>785.0</v>
      </c>
      <c r="F70" s="307">
        <v>53.0</v>
      </c>
      <c r="G70" s="307">
        <v>69.0</v>
      </c>
      <c r="H70" s="307">
        <v>3.0</v>
      </c>
      <c r="I70" s="307">
        <v>72.0</v>
      </c>
      <c r="J70" s="308">
        <v>0.96</v>
      </c>
      <c r="K70" s="22" t="s">
        <v>3967</v>
      </c>
      <c r="L70" s="22">
        <v>5.396275135E9</v>
      </c>
      <c r="M70" s="22" t="s">
        <v>71</v>
      </c>
      <c r="N70" s="22" t="s">
        <v>179</v>
      </c>
      <c r="O70" s="22" t="s">
        <v>3992</v>
      </c>
      <c r="P70" s="22" t="s">
        <v>3962</v>
      </c>
      <c r="Q70" s="309">
        <f>COUNTIF('Hedef Liste'!A:A,A70)</f>
        <v>0</v>
      </c>
    </row>
    <row r="71" hidden="1">
      <c r="A71" s="22" t="s">
        <v>3993</v>
      </c>
      <c r="B71" s="22" t="s">
        <v>3994</v>
      </c>
      <c r="C71" s="306" t="s">
        <v>3959</v>
      </c>
      <c r="D71" s="22" t="s">
        <v>100</v>
      </c>
      <c r="E71" s="307">
        <v>1627.0</v>
      </c>
      <c r="F71" s="307">
        <v>51.0</v>
      </c>
      <c r="G71" s="307">
        <v>52.0</v>
      </c>
      <c r="H71" s="307">
        <v>5.0</v>
      </c>
      <c r="I71" s="307">
        <v>57.0</v>
      </c>
      <c r="J71" s="308">
        <v>0.91</v>
      </c>
      <c r="K71" s="22" t="s">
        <v>3967</v>
      </c>
      <c r="L71" s="22">
        <v>5.067890684E9</v>
      </c>
      <c r="M71" s="22" t="s">
        <v>47</v>
      </c>
      <c r="N71" s="22" t="s">
        <v>2139</v>
      </c>
      <c r="O71" s="22" t="s">
        <v>3995</v>
      </c>
      <c r="P71" s="22" t="s">
        <v>3962</v>
      </c>
      <c r="Q71" s="309">
        <f>COUNTIF('Hedef Liste'!A:A,A71)</f>
        <v>0</v>
      </c>
    </row>
    <row r="72" hidden="1">
      <c r="A72" s="22" t="s">
        <v>3996</v>
      </c>
      <c r="B72" s="22" t="s">
        <v>3997</v>
      </c>
      <c r="C72" s="306" t="s">
        <v>3959</v>
      </c>
      <c r="D72" s="22" t="s">
        <v>100</v>
      </c>
      <c r="E72" s="307">
        <v>652.0</v>
      </c>
      <c r="F72" s="307">
        <v>44.0</v>
      </c>
      <c r="G72" s="307">
        <v>107.0</v>
      </c>
      <c r="H72" s="307">
        <v>7.0</v>
      </c>
      <c r="I72" s="307">
        <v>114.0</v>
      </c>
      <c r="J72" s="308">
        <v>0.94</v>
      </c>
      <c r="K72" s="22" t="s">
        <v>3967</v>
      </c>
      <c r="L72" s="22">
        <v>5.550176768E9</v>
      </c>
      <c r="M72" s="22" t="s">
        <v>47</v>
      </c>
      <c r="N72" s="22" t="s">
        <v>48</v>
      </c>
      <c r="O72" s="22" t="s">
        <v>3998</v>
      </c>
      <c r="P72" s="22" t="s">
        <v>3962</v>
      </c>
      <c r="Q72" s="309">
        <f>COUNTIF('Hedef Liste'!A:A,A72)</f>
        <v>0</v>
      </c>
    </row>
    <row r="73" hidden="1">
      <c r="A73" s="22" t="s">
        <v>3999</v>
      </c>
      <c r="B73" s="22" t="s">
        <v>4000</v>
      </c>
      <c r="C73" s="306" t="s">
        <v>3959</v>
      </c>
      <c r="D73" s="22" t="s">
        <v>100</v>
      </c>
      <c r="E73" s="307">
        <v>565.0</v>
      </c>
      <c r="F73" s="307">
        <v>8.0</v>
      </c>
      <c r="G73" s="307">
        <v>110.0</v>
      </c>
      <c r="H73" s="307">
        <v>2.0</v>
      </c>
      <c r="I73" s="307">
        <v>112.0</v>
      </c>
      <c r="J73" s="308">
        <v>0.98</v>
      </c>
      <c r="K73" s="22" t="s">
        <v>3967</v>
      </c>
      <c r="L73" s="22">
        <v>5.544858428E9</v>
      </c>
      <c r="M73" s="22" t="s">
        <v>47</v>
      </c>
      <c r="N73" s="22" t="s">
        <v>1406</v>
      </c>
      <c r="O73" s="22" t="s">
        <v>4001</v>
      </c>
      <c r="P73" s="22" t="s">
        <v>3962</v>
      </c>
      <c r="Q73" s="309">
        <f>COUNTIF('Hedef Liste'!A:A,A73)</f>
        <v>0</v>
      </c>
    </row>
    <row r="74" hidden="1">
      <c r="A74" s="22" t="s">
        <v>4002</v>
      </c>
      <c r="B74" s="22" t="s">
        <v>4003</v>
      </c>
      <c r="C74" s="306" t="s">
        <v>3959</v>
      </c>
      <c r="D74" s="22" t="s">
        <v>100</v>
      </c>
      <c r="E74" s="307">
        <v>3399.0</v>
      </c>
      <c r="F74" s="307">
        <v>116.0</v>
      </c>
      <c r="G74" s="307">
        <v>92.0</v>
      </c>
      <c r="H74" s="307">
        <v>7.0</v>
      </c>
      <c r="I74" s="307">
        <v>99.0</v>
      </c>
      <c r="J74" s="308">
        <v>0.93</v>
      </c>
      <c r="K74" s="22" t="s">
        <v>3967</v>
      </c>
      <c r="L74" s="22">
        <v>5.05085025E9</v>
      </c>
      <c r="M74" s="22" t="s">
        <v>47</v>
      </c>
      <c r="N74" s="22" t="s">
        <v>155</v>
      </c>
      <c r="O74" s="22" t="s">
        <v>4004</v>
      </c>
      <c r="P74" s="22" t="s">
        <v>3962</v>
      </c>
      <c r="Q74" s="309">
        <f>COUNTIF('Hedef Liste'!A:A,A74)</f>
        <v>0</v>
      </c>
    </row>
    <row r="75" hidden="1">
      <c r="A75" s="22" t="s">
        <v>2010</v>
      </c>
      <c r="B75" s="22" t="s">
        <v>2011</v>
      </c>
      <c r="C75" s="306" t="s">
        <v>3959</v>
      </c>
      <c r="D75" s="22" t="s">
        <v>453</v>
      </c>
      <c r="E75" s="307">
        <v>6312.0</v>
      </c>
      <c r="F75" s="307">
        <v>346.0</v>
      </c>
      <c r="G75" s="307">
        <v>11.0</v>
      </c>
      <c r="H75" s="307">
        <v>15.0</v>
      </c>
      <c r="I75" s="307">
        <v>26.0</v>
      </c>
      <c r="J75" s="308">
        <v>0.42</v>
      </c>
      <c r="K75" s="22" t="s">
        <v>2012</v>
      </c>
      <c r="L75" s="22">
        <v>3.524383439E9</v>
      </c>
      <c r="M75" s="22" t="s">
        <v>61</v>
      </c>
      <c r="N75" s="22" t="s">
        <v>107</v>
      </c>
      <c r="O75" s="22" t="s">
        <v>2013</v>
      </c>
      <c r="P75" s="22" t="s">
        <v>666</v>
      </c>
      <c r="Q75" s="309">
        <f>COUNTIF('Hedef Liste'!A:A,A75)</f>
        <v>1</v>
      </c>
    </row>
    <row r="76" hidden="1">
      <c r="A76" s="22" t="s">
        <v>1616</v>
      </c>
      <c r="B76" s="22" t="s">
        <v>1617</v>
      </c>
      <c r="C76" s="306" t="s">
        <v>3959</v>
      </c>
      <c r="D76" s="22" t="s">
        <v>45</v>
      </c>
      <c r="E76" s="307">
        <v>3589.0</v>
      </c>
      <c r="F76" s="307">
        <v>96.0</v>
      </c>
      <c r="G76" s="307">
        <v>0.0</v>
      </c>
      <c r="H76" s="307">
        <v>31.0</v>
      </c>
      <c r="I76" s="307">
        <v>31.0</v>
      </c>
      <c r="J76" s="308">
        <v>0.0</v>
      </c>
      <c r="K76" s="22" t="s">
        <v>659</v>
      </c>
      <c r="L76" s="22">
        <v>3.52502101E9</v>
      </c>
      <c r="M76" s="22" t="s">
        <v>47</v>
      </c>
      <c r="N76" s="22" t="s">
        <v>47</v>
      </c>
      <c r="O76" s="22" t="s">
        <v>1618</v>
      </c>
      <c r="P76" s="22" t="s">
        <v>666</v>
      </c>
      <c r="Q76" s="309">
        <f>COUNTIF('Hedef Liste'!A:A,A76)</f>
        <v>1</v>
      </c>
    </row>
    <row r="77" hidden="1">
      <c r="A77" s="22" t="s">
        <v>1346</v>
      </c>
      <c r="B77" s="22" t="s">
        <v>1347</v>
      </c>
      <c r="C77" s="306" t="s">
        <v>3959</v>
      </c>
      <c r="D77" s="22" t="s">
        <v>69</v>
      </c>
      <c r="E77" s="307">
        <v>551.0</v>
      </c>
      <c r="F77" s="310"/>
      <c r="G77" s="307">
        <v>0.0</v>
      </c>
      <c r="H77" s="307">
        <v>52.0</v>
      </c>
      <c r="I77" s="307">
        <v>52.0</v>
      </c>
      <c r="J77" s="308">
        <v>0.0</v>
      </c>
      <c r="K77" s="22" t="s">
        <v>1348</v>
      </c>
      <c r="L77" s="22">
        <v>3.5223003E9</v>
      </c>
      <c r="M77" s="22" t="s">
        <v>61</v>
      </c>
      <c r="N77" s="22" t="s">
        <v>107</v>
      </c>
      <c r="O77" s="22" t="s">
        <v>1349</v>
      </c>
      <c r="P77" s="22" t="s">
        <v>666</v>
      </c>
      <c r="Q77" s="309">
        <f>COUNTIF('Hedef Liste'!A:A,A77)</f>
        <v>1</v>
      </c>
    </row>
    <row r="78" hidden="1">
      <c r="A78" s="22" t="s">
        <v>2756</v>
      </c>
      <c r="B78" s="22" t="s">
        <v>2757</v>
      </c>
      <c r="C78" s="306" t="s">
        <v>3959</v>
      </c>
      <c r="D78" s="22" t="s">
        <v>406</v>
      </c>
      <c r="E78" s="307">
        <v>2662.0</v>
      </c>
      <c r="F78" s="307">
        <v>72.0</v>
      </c>
      <c r="G78" s="307">
        <v>0.0</v>
      </c>
      <c r="H78" s="307">
        <v>59.0</v>
      </c>
      <c r="I78" s="307">
        <v>59.0</v>
      </c>
      <c r="J78" s="308">
        <v>0.0</v>
      </c>
      <c r="K78" s="22" t="s">
        <v>2758</v>
      </c>
      <c r="L78" s="22">
        <v>3.52234E9</v>
      </c>
      <c r="M78" s="22" t="s">
        <v>47</v>
      </c>
      <c r="N78" s="22" t="s">
        <v>271</v>
      </c>
      <c r="O78" s="22" t="s">
        <v>2759</v>
      </c>
      <c r="P78" s="22" t="s">
        <v>666</v>
      </c>
      <c r="Q78" s="309">
        <f>COUNTIF('Hedef Liste'!A:A,A78)</f>
        <v>1</v>
      </c>
    </row>
    <row r="79" hidden="1">
      <c r="A79" s="22" t="s">
        <v>157</v>
      </c>
      <c r="B79" s="22" t="s">
        <v>158</v>
      </c>
      <c r="C79" s="306" t="s">
        <v>3963</v>
      </c>
      <c r="D79" s="22" t="s">
        <v>91</v>
      </c>
      <c r="E79" s="307">
        <v>252.0</v>
      </c>
      <c r="F79" s="310"/>
      <c r="G79" s="307">
        <v>0.0</v>
      </c>
      <c r="H79" s="307">
        <v>19.0</v>
      </c>
      <c r="I79" s="307">
        <v>19.0</v>
      </c>
      <c r="J79" s="308">
        <v>0.0</v>
      </c>
      <c r="K79" s="22" t="s">
        <v>159</v>
      </c>
      <c r="L79" s="22">
        <v>3.524378971E9</v>
      </c>
      <c r="M79" s="22" t="s">
        <v>61</v>
      </c>
      <c r="N79" s="22" t="s">
        <v>160</v>
      </c>
      <c r="O79" s="22" t="s">
        <v>161</v>
      </c>
      <c r="P79" s="22" t="s">
        <v>666</v>
      </c>
      <c r="Q79" s="309">
        <f>COUNTIF('Hedef Liste'!A:A,A79)</f>
        <v>1</v>
      </c>
    </row>
    <row r="80" hidden="1">
      <c r="A80" s="22" t="s">
        <v>2254</v>
      </c>
      <c r="B80" s="22" t="s">
        <v>2255</v>
      </c>
      <c r="C80" s="306" t="s">
        <v>3959</v>
      </c>
      <c r="D80" s="22" t="s">
        <v>91</v>
      </c>
      <c r="E80" s="307">
        <v>1954.0</v>
      </c>
      <c r="F80" s="310"/>
      <c r="G80" s="307">
        <v>0.0</v>
      </c>
      <c r="H80" s="307">
        <v>85.0</v>
      </c>
      <c r="I80" s="307">
        <v>85.0</v>
      </c>
      <c r="J80" s="308">
        <v>0.0</v>
      </c>
      <c r="K80" s="22" t="s">
        <v>2256</v>
      </c>
      <c r="L80" s="22">
        <v>3.524315555E9</v>
      </c>
      <c r="M80" s="22" t="s">
        <v>61</v>
      </c>
      <c r="N80" s="22" t="s">
        <v>62</v>
      </c>
      <c r="O80" s="22" t="s">
        <v>2257</v>
      </c>
      <c r="P80" s="22" t="s">
        <v>666</v>
      </c>
      <c r="Q80" s="309">
        <f>COUNTIF('Hedef Liste'!A:A,A80)</f>
        <v>1</v>
      </c>
    </row>
    <row r="81" hidden="1">
      <c r="A81" s="22" t="s">
        <v>2513</v>
      </c>
      <c r="B81" s="22" t="s">
        <v>2514</v>
      </c>
      <c r="C81" s="306" t="s">
        <v>3959</v>
      </c>
      <c r="D81" s="22" t="s">
        <v>368</v>
      </c>
      <c r="E81" s="307">
        <v>4438.0</v>
      </c>
      <c r="F81" s="307">
        <v>136.0</v>
      </c>
      <c r="G81" s="307">
        <v>24.0</v>
      </c>
      <c r="H81" s="307">
        <v>41.0</v>
      </c>
      <c r="I81" s="307">
        <v>65.0</v>
      </c>
      <c r="J81" s="308">
        <v>0.37</v>
      </c>
      <c r="K81" s="22" t="s">
        <v>2515</v>
      </c>
      <c r="L81" s="22">
        <v>5.533105093E9</v>
      </c>
      <c r="M81" s="22" t="s">
        <v>61</v>
      </c>
      <c r="N81" s="22" t="s">
        <v>2639</v>
      </c>
      <c r="O81" s="22" t="s">
        <v>2516</v>
      </c>
      <c r="P81" s="22" t="s">
        <v>666</v>
      </c>
      <c r="Q81" s="309">
        <f>COUNTIF('Hedef Liste'!A:A,A81)</f>
        <v>1</v>
      </c>
    </row>
    <row r="82" hidden="1">
      <c r="A82" s="22" t="s">
        <v>2483</v>
      </c>
      <c r="B82" s="22" t="s">
        <v>2484</v>
      </c>
      <c r="C82" s="306" t="s">
        <v>3959</v>
      </c>
      <c r="D82" s="22" t="s">
        <v>45</v>
      </c>
      <c r="E82" s="307">
        <v>740.0</v>
      </c>
      <c r="F82" s="307">
        <v>3.0</v>
      </c>
      <c r="G82" s="307">
        <v>0.0</v>
      </c>
      <c r="H82" s="307">
        <v>59.0</v>
      </c>
      <c r="I82" s="307">
        <v>59.0</v>
      </c>
      <c r="J82" s="308">
        <v>0.0</v>
      </c>
      <c r="K82" s="22" t="s">
        <v>2233</v>
      </c>
      <c r="L82" s="22">
        <v>3.522353597E9</v>
      </c>
      <c r="M82" s="22" t="s">
        <v>47</v>
      </c>
      <c r="N82" s="22" t="s">
        <v>271</v>
      </c>
      <c r="O82" s="22" t="s">
        <v>2234</v>
      </c>
      <c r="P82" s="22" t="s">
        <v>666</v>
      </c>
      <c r="Q82" s="309">
        <f>COUNTIF('Hedef Liste'!A:A,A82)</f>
        <v>1</v>
      </c>
    </row>
    <row r="83" hidden="1">
      <c r="A83" s="22" t="s">
        <v>886</v>
      </c>
      <c r="B83" s="22" t="s">
        <v>887</v>
      </c>
      <c r="C83" s="306" t="s">
        <v>3959</v>
      </c>
      <c r="D83" s="22" t="s">
        <v>453</v>
      </c>
      <c r="E83" s="307">
        <v>4539.0</v>
      </c>
      <c r="F83" s="307">
        <v>145.0</v>
      </c>
      <c r="G83" s="307">
        <v>28.0</v>
      </c>
      <c r="H83" s="307">
        <v>18.0</v>
      </c>
      <c r="I83" s="307">
        <v>46.0</v>
      </c>
      <c r="J83" s="308">
        <v>0.61</v>
      </c>
      <c r="K83" s="22" t="s">
        <v>557</v>
      </c>
      <c r="L83" s="22">
        <v>5.433838887E9</v>
      </c>
      <c r="M83" s="22" t="s">
        <v>61</v>
      </c>
      <c r="N83" s="22" t="s">
        <v>62</v>
      </c>
      <c r="O83" s="22" t="s">
        <v>558</v>
      </c>
      <c r="P83" s="22" t="s">
        <v>666</v>
      </c>
      <c r="Q83" s="309">
        <f>COUNTIF('Hedef Liste'!A:A,A83)</f>
        <v>1</v>
      </c>
    </row>
    <row r="84" hidden="1">
      <c r="A84" s="22" t="s">
        <v>937</v>
      </c>
      <c r="B84" s="22" t="s">
        <v>938</v>
      </c>
      <c r="C84" s="306" t="s">
        <v>3959</v>
      </c>
      <c r="D84" s="22" t="s">
        <v>59</v>
      </c>
      <c r="E84" s="307">
        <v>1303.0</v>
      </c>
      <c r="F84" s="307">
        <v>9.0</v>
      </c>
      <c r="G84" s="307">
        <v>6.0</v>
      </c>
      <c r="H84" s="307">
        <v>5.0</v>
      </c>
      <c r="I84" s="307">
        <v>11.0</v>
      </c>
      <c r="J84" s="308">
        <v>0.55</v>
      </c>
      <c r="K84" s="22" t="s">
        <v>939</v>
      </c>
      <c r="L84" s="22">
        <v>5.443034205E9</v>
      </c>
      <c r="M84" s="22" t="s">
        <v>61</v>
      </c>
      <c r="N84" s="22" t="s">
        <v>160</v>
      </c>
      <c r="O84" s="22" t="s">
        <v>940</v>
      </c>
      <c r="P84" s="22" t="s">
        <v>666</v>
      </c>
      <c r="Q84" s="309">
        <f>COUNTIF('Hedef Liste'!A:A,A84)</f>
        <v>1</v>
      </c>
    </row>
    <row r="85" hidden="1">
      <c r="A85" s="22" t="s">
        <v>2184</v>
      </c>
      <c r="B85" s="22" t="s">
        <v>2185</v>
      </c>
      <c r="C85" s="306" t="s">
        <v>3959</v>
      </c>
      <c r="D85" s="22" t="s">
        <v>83</v>
      </c>
      <c r="E85" s="307">
        <v>4631.0</v>
      </c>
      <c r="F85" s="307">
        <v>26.0</v>
      </c>
      <c r="G85" s="307">
        <v>13.0</v>
      </c>
      <c r="H85" s="307">
        <v>28.0</v>
      </c>
      <c r="I85" s="307">
        <v>41.0</v>
      </c>
      <c r="J85" s="308">
        <v>0.32</v>
      </c>
      <c r="K85" s="22" t="s">
        <v>2186</v>
      </c>
      <c r="L85" s="22">
        <v>3.525039503E9</v>
      </c>
      <c r="M85" s="22" t="s">
        <v>61</v>
      </c>
      <c r="N85" s="22" t="s">
        <v>62</v>
      </c>
      <c r="O85" s="22" t="s">
        <v>2187</v>
      </c>
      <c r="P85" s="22" t="s">
        <v>666</v>
      </c>
      <c r="Q85" s="309">
        <f>COUNTIF('Hedef Liste'!A:A,A85)</f>
        <v>1</v>
      </c>
    </row>
    <row r="86" hidden="1">
      <c r="A86" s="22" t="s">
        <v>1165</v>
      </c>
      <c r="B86" s="22" t="s">
        <v>1166</v>
      </c>
      <c r="C86" s="306" t="s">
        <v>3963</v>
      </c>
      <c r="D86" s="22" t="s">
        <v>100</v>
      </c>
      <c r="E86" s="307">
        <v>48.0</v>
      </c>
      <c r="F86" s="310"/>
      <c r="G86" s="307">
        <v>0.0</v>
      </c>
      <c r="H86" s="307">
        <v>31.0</v>
      </c>
      <c r="I86" s="307">
        <v>31.0</v>
      </c>
      <c r="J86" s="308">
        <v>0.0</v>
      </c>
      <c r="K86" s="22" t="s">
        <v>856</v>
      </c>
      <c r="L86" s="22">
        <v>3.522345668E9</v>
      </c>
      <c r="M86" s="22" t="s">
        <v>47</v>
      </c>
      <c r="N86" s="22" t="s">
        <v>271</v>
      </c>
      <c r="O86" s="22" t="s">
        <v>857</v>
      </c>
      <c r="P86" s="22" t="s">
        <v>666</v>
      </c>
      <c r="Q86" s="309">
        <f>COUNTIF('Hedef Liste'!A:A,A86)</f>
        <v>1</v>
      </c>
    </row>
    <row r="87" hidden="1">
      <c r="A87" s="22" t="s">
        <v>1352</v>
      </c>
      <c r="B87" s="22" t="s">
        <v>1353</v>
      </c>
      <c r="C87" s="306" t="s">
        <v>3959</v>
      </c>
      <c r="D87" s="22" t="s">
        <v>406</v>
      </c>
      <c r="E87" s="307">
        <v>2881.0</v>
      </c>
      <c r="F87" s="307">
        <v>206.0</v>
      </c>
      <c r="G87" s="307">
        <v>41.0</v>
      </c>
      <c r="H87" s="307">
        <v>8.0</v>
      </c>
      <c r="I87" s="307">
        <v>49.0</v>
      </c>
      <c r="J87" s="308">
        <v>0.84</v>
      </c>
      <c r="K87" s="22" t="s">
        <v>1354</v>
      </c>
      <c r="L87" s="22">
        <v>3.522314019E9</v>
      </c>
      <c r="M87" s="22" t="s">
        <v>71</v>
      </c>
      <c r="N87" s="22" t="s">
        <v>684</v>
      </c>
      <c r="O87" s="22" t="s">
        <v>1355</v>
      </c>
      <c r="P87" s="22" t="s">
        <v>666</v>
      </c>
      <c r="Q87" s="309">
        <f>COUNTIF('Hedef Liste'!A:A,A87)</f>
        <v>1</v>
      </c>
    </row>
    <row r="88" hidden="1">
      <c r="A88" s="22" t="s">
        <v>2460</v>
      </c>
      <c r="B88" s="22" t="s">
        <v>2461</v>
      </c>
      <c r="C88" s="306" t="s">
        <v>3963</v>
      </c>
      <c r="D88" s="22" t="s">
        <v>453</v>
      </c>
      <c r="E88" s="307">
        <v>784.0</v>
      </c>
      <c r="F88" s="310"/>
      <c r="G88" s="307">
        <v>0.0</v>
      </c>
      <c r="H88" s="307">
        <v>47.0</v>
      </c>
      <c r="I88" s="307">
        <v>47.0</v>
      </c>
      <c r="J88" s="308">
        <v>0.0</v>
      </c>
      <c r="K88" s="22" t="s">
        <v>2462</v>
      </c>
      <c r="L88" s="22">
        <v>5.517152602E9</v>
      </c>
      <c r="M88" s="22" t="s">
        <v>61</v>
      </c>
      <c r="N88" s="22" t="s">
        <v>160</v>
      </c>
      <c r="O88" s="22" t="s">
        <v>2463</v>
      </c>
      <c r="P88" s="22" t="s">
        <v>666</v>
      </c>
      <c r="Q88" s="309">
        <f>COUNTIF('Hedef Liste'!A:A,A88)</f>
        <v>1</v>
      </c>
    </row>
    <row r="89" hidden="1">
      <c r="A89" s="22" t="s">
        <v>89</v>
      </c>
      <c r="B89" s="22" t="s">
        <v>90</v>
      </c>
      <c r="C89" s="306" t="s">
        <v>3959</v>
      </c>
      <c r="D89" s="22" t="s">
        <v>91</v>
      </c>
      <c r="E89" s="307">
        <v>3685.0</v>
      </c>
      <c r="F89" s="307">
        <v>85.0</v>
      </c>
      <c r="G89" s="307">
        <v>15.0</v>
      </c>
      <c r="H89" s="307">
        <v>41.0</v>
      </c>
      <c r="I89" s="307">
        <v>56.0</v>
      </c>
      <c r="J89" s="308">
        <v>0.27</v>
      </c>
      <c r="K89" s="22" t="s">
        <v>92</v>
      </c>
      <c r="L89" s="22">
        <v>3.525037727E9</v>
      </c>
      <c r="M89" s="22" t="s">
        <v>61</v>
      </c>
      <c r="N89" s="22" t="s">
        <v>62</v>
      </c>
      <c r="O89" s="22" t="s">
        <v>93</v>
      </c>
      <c r="P89" s="22" t="s">
        <v>666</v>
      </c>
      <c r="Q89" s="309">
        <f>COUNTIF('Hedef Liste'!A:A,A89)</f>
        <v>1</v>
      </c>
    </row>
    <row r="90" hidden="1">
      <c r="A90" s="22" t="s">
        <v>2446</v>
      </c>
      <c r="B90" s="22" t="s">
        <v>2447</v>
      </c>
      <c r="C90" s="306" t="s">
        <v>3959</v>
      </c>
      <c r="D90" s="22" t="s">
        <v>100</v>
      </c>
      <c r="E90" s="307">
        <v>1748.0</v>
      </c>
      <c r="F90" s="307">
        <v>15.0</v>
      </c>
      <c r="G90" s="307">
        <v>2.0</v>
      </c>
      <c r="H90" s="307">
        <v>16.0</v>
      </c>
      <c r="I90" s="307">
        <v>18.0</v>
      </c>
      <c r="J90" s="308">
        <v>0.11</v>
      </c>
      <c r="K90" s="22" t="s">
        <v>2448</v>
      </c>
      <c r="L90" s="22">
        <v>3.524314646E9</v>
      </c>
      <c r="M90" s="22" t="s">
        <v>61</v>
      </c>
      <c r="N90" s="22" t="s">
        <v>62</v>
      </c>
      <c r="O90" s="22" t="s">
        <v>2449</v>
      </c>
      <c r="P90" s="22" t="s">
        <v>666</v>
      </c>
      <c r="Q90" s="309">
        <f>COUNTIF('Hedef Liste'!A:A,A90)</f>
        <v>1</v>
      </c>
    </row>
    <row r="91" hidden="1">
      <c r="A91" s="22" t="s">
        <v>4005</v>
      </c>
      <c r="B91" s="22" t="s">
        <v>4006</v>
      </c>
      <c r="C91" s="306" t="s">
        <v>3959</v>
      </c>
      <c r="D91" s="22" t="s">
        <v>100</v>
      </c>
      <c r="E91" s="307">
        <v>2022.0</v>
      </c>
      <c r="F91" s="307">
        <v>152.0</v>
      </c>
      <c r="G91" s="307">
        <v>96.0</v>
      </c>
      <c r="H91" s="307">
        <v>7.0</v>
      </c>
      <c r="I91" s="307">
        <v>103.0</v>
      </c>
      <c r="J91" s="308">
        <v>0.93</v>
      </c>
      <c r="K91" s="22" t="s">
        <v>3967</v>
      </c>
      <c r="L91" s="22">
        <v>5.054019784E9</v>
      </c>
      <c r="M91" s="22" t="s">
        <v>61</v>
      </c>
      <c r="N91" s="22" t="s">
        <v>107</v>
      </c>
      <c r="O91" s="22" t="s">
        <v>4007</v>
      </c>
      <c r="P91" s="22" t="s">
        <v>3962</v>
      </c>
      <c r="Q91" s="309">
        <f>COUNTIF('Hedef Liste'!A:A,A91)</f>
        <v>0</v>
      </c>
    </row>
    <row r="92" hidden="1">
      <c r="A92" s="22" t="s">
        <v>2465</v>
      </c>
      <c r="B92" s="22" t="s">
        <v>2466</v>
      </c>
      <c r="C92" s="306" t="s">
        <v>3959</v>
      </c>
      <c r="D92" s="22" t="s">
        <v>165</v>
      </c>
      <c r="E92" s="307">
        <v>595.0</v>
      </c>
      <c r="F92" s="307">
        <v>34.0</v>
      </c>
      <c r="G92" s="307">
        <v>0.0</v>
      </c>
      <c r="H92" s="307">
        <v>9.0</v>
      </c>
      <c r="I92" s="307">
        <v>9.0</v>
      </c>
      <c r="J92" s="308">
        <v>0.0</v>
      </c>
      <c r="K92" s="22" t="s">
        <v>2467</v>
      </c>
      <c r="L92" s="22">
        <v>3.522511505E9</v>
      </c>
      <c r="M92" s="22" t="s">
        <v>71</v>
      </c>
      <c r="N92" s="22" t="s">
        <v>224</v>
      </c>
      <c r="O92" s="22" t="s">
        <v>2468</v>
      </c>
      <c r="P92" s="22" t="s">
        <v>666</v>
      </c>
      <c r="Q92" s="309">
        <f>COUNTIF('Hedef Liste'!A:A,A92)</f>
        <v>1</v>
      </c>
    </row>
    <row r="93" hidden="1">
      <c r="A93" s="22" t="s">
        <v>1555</v>
      </c>
      <c r="B93" s="22" t="s">
        <v>1556</v>
      </c>
      <c r="C93" s="306" t="s">
        <v>3959</v>
      </c>
      <c r="D93" s="22" t="s">
        <v>172</v>
      </c>
      <c r="E93" s="307">
        <v>3679.0</v>
      </c>
      <c r="F93" s="307">
        <v>61.0</v>
      </c>
      <c r="G93" s="307">
        <v>1.0</v>
      </c>
      <c r="H93" s="307">
        <v>15.0</v>
      </c>
      <c r="I93" s="307">
        <v>16.0</v>
      </c>
      <c r="J93" s="308">
        <v>0.06</v>
      </c>
      <c r="K93" s="22" t="s">
        <v>1557</v>
      </c>
      <c r="L93" s="22">
        <v>3.522220614E9</v>
      </c>
      <c r="M93" s="22" t="s">
        <v>47</v>
      </c>
      <c r="N93" s="22" t="s">
        <v>48</v>
      </c>
      <c r="O93" s="22" t="s">
        <v>1558</v>
      </c>
      <c r="P93" s="22" t="s">
        <v>666</v>
      </c>
      <c r="Q93" s="309">
        <f>COUNTIF('Hedef Liste'!A:A,A93)</f>
        <v>1</v>
      </c>
    </row>
    <row r="94" hidden="1">
      <c r="A94" s="22" t="s">
        <v>299</v>
      </c>
      <c r="B94" s="22" t="s">
        <v>300</v>
      </c>
      <c r="C94" s="306" t="s">
        <v>3959</v>
      </c>
      <c r="D94" s="22" t="s">
        <v>100</v>
      </c>
      <c r="E94" s="307">
        <v>82.0</v>
      </c>
      <c r="F94" s="310"/>
      <c r="G94" s="307">
        <v>7.0</v>
      </c>
      <c r="H94" s="307">
        <v>13.0</v>
      </c>
      <c r="I94" s="307">
        <v>20.0</v>
      </c>
      <c r="J94" s="308">
        <v>0.35</v>
      </c>
      <c r="K94" s="22" t="s">
        <v>301</v>
      </c>
      <c r="L94" s="22">
        <v>5.312840476E9</v>
      </c>
      <c r="M94" s="22" t="s">
        <v>71</v>
      </c>
      <c r="N94" s="22" t="s">
        <v>302</v>
      </c>
      <c r="O94" s="22" t="s">
        <v>303</v>
      </c>
      <c r="P94" s="22" t="s">
        <v>666</v>
      </c>
      <c r="Q94" s="309">
        <f>COUNTIF('Hedef Liste'!A:A,A94)</f>
        <v>1</v>
      </c>
    </row>
    <row r="95" hidden="1">
      <c r="A95" s="22" t="s">
        <v>1736</v>
      </c>
      <c r="B95" s="22" t="s">
        <v>1737</v>
      </c>
      <c r="C95" s="306" t="s">
        <v>3959</v>
      </c>
      <c r="D95" s="22" t="s">
        <v>406</v>
      </c>
      <c r="E95" s="307">
        <v>10172.0</v>
      </c>
      <c r="F95" s="307">
        <v>137.0</v>
      </c>
      <c r="G95" s="307">
        <v>0.0</v>
      </c>
      <c r="H95" s="307">
        <v>25.0</v>
      </c>
      <c r="I95" s="307">
        <v>25.0</v>
      </c>
      <c r="J95" s="308">
        <v>0.0</v>
      </c>
      <c r="K95" s="22" t="s">
        <v>1738</v>
      </c>
      <c r="L95" s="22">
        <v>3.522321222E9</v>
      </c>
      <c r="M95" s="22" t="s">
        <v>71</v>
      </c>
      <c r="N95" s="22" t="s">
        <v>102</v>
      </c>
      <c r="O95" s="22" t="s">
        <v>1739</v>
      </c>
      <c r="P95" s="22" t="s">
        <v>666</v>
      </c>
      <c r="Q95" s="309">
        <f>COUNTIF('Hedef Liste'!A:A,A95)</f>
        <v>1</v>
      </c>
    </row>
    <row r="96" hidden="1">
      <c r="A96" s="22" t="s">
        <v>2349</v>
      </c>
      <c r="B96" s="22" t="s">
        <v>2350</v>
      </c>
      <c r="C96" s="306" t="s">
        <v>3959</v>
      </c>
      <c r="D96" s="22" t="s">
        <v>69</v>
      </c>
      <c r="E96" s="307">
        <v>2223.0</v>
      </c>
      <c r="F96" s="310"/>
      <c r="G96" s="307">
        <v>0.0</v>
      </c>
      <c r="H96" s="307">
        <v>52.0</v>
      </c>
      <c r="I96" s="307">
        <v>52.0</v>
      </c>
      <c r="J96" s="308">
        <v>0.0</v>
      </c>
      <c r="K96" s="22" t="s">
        <v>2351</v>
      </c>
      <c r="L96" s="22">
        <v>3.523332023E9</v>
      </c>
      <c r="M96" s="22" t="s">
        <v>47</v>
      </c>
      <c r="N96" s="22" t="s">
        <v>401</v>
      </c>
      <c r="O96" s="22" t="s">
        <v>2352</v>
      </c>
      <c r="P96" s="22" t="s">
        <v>666</v>
      </c>
      <c r="Q96" s="309">
        <f>COUNTIF('Hedef Liste'!A:A,A96)</f>
        <v>1</v>
      </c>
    </row>
    <row r="97" hidden="1">
      <c r="A97" s="22" t="s">
        <v>1497</v>
      </c>
      <c r="B97" s="22" t="s">
        <v>1498</v>
      </c>
      <c r="C97" s="306" t="s">
        <v>3959</v>
      </c>
      <c r="D97" s="22" t="s">
        <v>453</v>
      </c>
      <c r="E97" s="307">
        <v>1597.0</v>
      </c>
      <c r="F97" s="307">
        <v>38.0</v>
      </c>
      <c r="G97" s="307">
        <v>0.0</v>
      </c>
      <c r="H97" s="307">
        <v>36.0</v>
      </c>
      <c r="I97" s="307">
        <v>36.0</v>
      </c>
      <c r="J97" s="308">
        <v>0.0</v>
      </c>
      <c r="K97" s="22" t="s">
        <v>1499</v>
      </c>
      <c r="L97" s="22">
        <v>3.522312255E9</v>
      </c>
      <c r="M97" s="22" t="s">
        <v>71</v>
      </c>
      <c r="N97" s="22" t="s">
        <v>684</v>
      </c>
      <c r="O97" s="22" t="s">
        <v>1500</v>
      </c>
      <c r="P97" s="22" t="s">
        <v>666</v>
      </c>
      <c r="Q97" s="309">
        <f>COUNTIF('Hedef Liste'!A:A,A97)</f>
        <v>1</v>
      </c>
    </row>
    <row r="98" hidden="1">
      <c r="A98" s="22" t="s">
        <v>1102</v>
      </c>
      <c r="B98" s="22" t="s">
        <v>1103</v>
      </c>
      <c r="C98" s="306" t="s">
        <v>3959</v>
      </c>
      <c r="D98" s="22" t="s">
        <v>165</v>
      </c>
      <c r="E98" s="307">
        <v>5661.0</v>
      </c>
      <c r="F98" s="307">
        <v>138.0</v>
      </c>
      <c r="G98" s="307">
        <v>0.0</v>
      </c>
      <c r="H98" s="307">
        <v>18.0</v>
      </c>
      <c r="I98" s="307">
        <v>18.0</v>
      </c>
      <c r="J98" s="308">
        <v>0.0</v>
      </c>
      <c r="K98" s="22" t="s">
        <v>1104</v>
      </c>
      <c r="L98" s="22">
        <v>3.522224726E9</v>
      </c>
      <c r="M98" s="22" t="s">
        <v>71</v>
      </c>
      <c r="N98" s="22" t="s">
        <v>684</v>
      </c>
      <c r="O98" s="22" t="s">
        <v>1105</v>
      </c>
      <c r="P98" s="22" t="s">
        <v>666</v>
      </c>
      <c r="Q98" s="309">
        <f>COUNTIF('Hedef Liste'!A:A,A98)</f>
        <v>1</v>
      </c>
    </row>
    <row r="99" hidden="1">
      <c r="A99" s="22" t="s">
        <v>1384</v>
      </c>
      <c r="B99" s="22" t="s">
        <v>1385</v>
      </c>
      <c r="C99" s="306" t="s">
        <v>3959</v>
      </c>
      <c r="D99" s="22" t="s">
        <v>100</v>
      </c>
      <c r="E99" s="307">
        <v>889.0</v>
      </c>
      <c r="F99" s="307">
        <v>25.0</v>
      </c>
      <c r="G99" s="307">
        <v>0.0</v>
      </c>
      <c r="H99" s="307">
        <v>33.0</v>
      </c>
      <c r="I99" s="307">
        <v>33.0</v>
      </c>
      <c r="J99" s="308">
        <v>0.0</v>
      </c>
      <c r="K99" s="22" t="s">
        <v>1386</v>
      </c>
      <c r="L99" s="22">
        <v>3.523399901E9</v>
      </c>
      <c r="M99" s="22" t="s">
        <v>71</v>
      </c>
      <c r="N99" s="22" t="s">
        <v>543</v>
      </c>
      <c r="O99" s="22" t="s">
        <v>1387</v>
      </c>
      <c r="P99" s="22" t="s">
        <v>666</v>
      </c>
      <c r="Q99" s="309">
        <f>COUNTIF('Hedef Liste'!A:A,A99)</f>
        <v>1</v>
      </c>
    </row>
    <row r="100" hidden="1">
      <c r="A100" s="22" t="s">
        <v>4008</v>
      </c>
      <c r="B100" s="22" t="s">
        <v>4009</v>
      </c>
      <c r="C100" s="306" t="s">
        <v>3959</v>
      </c>
      <c r="D100" s="22" t="s">
        <v>100</v>
      </c>
      <c r="E100" s="307">
        <v>976.0</v>
      </c>
      <c r="F100" s="307">
        <v>24.0</v>
      </c>
      <c r="G100" s="307">
        <v>69.0</v>
      </c>
      <c r="H100" s="307">
        <v>5.0</v>
      </c>
      <c r="I100" s="307">
        <v>74.0</v>
      </c>
      <c r="J100" s="308">
        <v>0.93</v>
      </c>
      <c r="K100" s="22" t="s">
        <v>3967</v>
      </c>
      <c r="L100" s="22">
        <v>5.45967139E9</v>
      </c>
      <c r="M100" s="22" t="s">
        <v>71</v>
      </c>
      <c r="N100" s="22" t="s">
        <v>1912</v>
      </c>
      <c r="O100" s="22" t="s">
        <v>4010</v>
      </c>
      <c r="P100" s="22" t="s">
        <v>3962</v>
      </c>
      <c r="Q100" s="309">
        <f>COUNTIF('Hedef Liste'!A:A,A100)</f>
        <v>0</v>
      </c>
    </row>
    <row r="101" hidden="1">
      <c r="A101" s="22" t="s">
        <v>4011</v>
      </c>
      <c r="B101" s="22" t="s">
        <v>4012</v>
      </c>
      <c r="C101" s="306" t="s">
        <v>3959</v>
      </c>
      <c r="D101" s="22" t="s">
        <v>100</v>
      </c>
      <c r="E101" s="307">
        <v>545.0</v>
      </c>
      <c r="F101" s="307">
        <v>12.0</v>
      </c>
      <c r="G101" s="307">
        <v>71.0</v>
      </c>
      <c r="H101" s="307">
        <v>7.0</v>
      </c>
      <c r="I101" s="307">
        <v>78.0</v>
      </c>
      <c r="J101" s="308">
        <v>0.91</v>
      </c>
      <c r="K101" s="22" t="s">
        <v>3967</v>
      </c>
      <c r="L101" s="22">
        <v>5.367831772E9</v>
      </c>
      <c r="M101" s="22" t="s">
        <v>71</v>
      </c>
      <c r="N101" s="22" t="s">
        <v>1252</v>
      </c>
      <c r="O101" s="22" t="s">
        <v>4013</v>
      </c>
      <c r="P101" s="22" t="s">
        <v>3962</v>
      </c>
      <c r="Q101" s="309">
        <f>COUNTIF('Hedef Liste'!A:A,A101)</f>
        <v>0</v>
      </c>
    </row>
    <row r="102" hidden="1">
      <c r="A102" s="22" t="s">
        <v>4014</v>
      </c>
      <c r="B102" s="22" t="s">
        <v>4015</v>
      </c>
      <c r="C102" s="306" t="s">
        <v>3959</v>
      </c>
      <c r="D102" s="22" t="s">
        <v>100</v>
      </c>
      <c r="E102" s="307">
        <v>356.0</v>
      </c>
      <c r="F102" s="307">
        <v>19.0</v>
      </c>
      <c r="G102" s="307">
        <v>113.0</v>
      </c>
      <c r="H102" s="307">
        <v>10.0</v>
      </c>
      <c r="I102" s="307">
        <v>123.0</v>
      </c>
      <c r="J102" s="308">
        <v>0.92</v>
      </c>
      <c r="K102" s="22" t="s">
        <v>3967</v>
      </c>
      <c r="L102" s="22">
        <v>5.363201998E9</v>
      </c>
      <c r="M102" s="22" t="s">
        <v>71</v>
      </c>
      <c r="N102" s="22" t="s">
        <v>209</v>
      </c>
      <c r="O102" s="22" t="s">
        <v>4016</v>
      </c>
      <c r="P102" s="22" t="s">
        <v>3962</v>
      </c>
      <c r="Q102" s="309">
        <f>COUNTIF('Hedef Liste'!A:A,A102)</f>
        <v>0</v>
      </c>
    </row>
    <row r="103" hidden="1">
      <c r="A103" s="22" t="s">
        <v>4017</v>
      </c>
      <c r="B103" s="22" t="s">
        <v>4018</v>
      </c>
      <c r="C103" s="306" t="s">
        <v>3959</v>
      </c>
      <c r="D103" s="22" t="s">
        <v>100</v>
      </c>
      <c r="E103" s="307">
        <v>1009.0</v>
      </c>
      <c r="F103" s="307">
        <v>23.0</v>
      </c>
      <c r="G103" s="307">
        <v>63.0</v>
      </c>
      <c r="H103" s="307">
        <v>8.0</v>
      </c>
      <c r="I103" s="307">
        <v>71.0</v>
      </c>
      <c r="J103" s="308">
        <v>0.89</v>
      </c>
      <c r="K103" s="22" t="s">
        <v>3967</v>
      </c>
      <c r="L103" s="22">
        <v>5.304681087E9</v>
      </c>
      <c r="M103" s="22" t="s">
        <v>71</v>
      </c>
      <c r="N103" s="22" t="s">
        <v>214</v>
      </c>
      <c r="O103" s="22" t="s">
        <v>4019</v>
      </c>
      <c r="P103" s="22" t="s">
        <v>3962</v>
      </c>
      <c r="Q103" s="309">
        <f>COUNTIF('Hedef Liste'!A:A,A103)</f>
        <v>0</v>
      </c>
    </row>
    <row r="104" hidden="1">
      <c r="A104" s="22" t="s">
        <v>4020</v>
      </c>
      <c r="B104" s="22" t="s">
        <v>4021</v>
      </c>
      <c r="C104" s="306" t="s">
        <v>3959</v>
      </c>
      <c r="D104" s="22" t="s">
        <v>100</v>
      </c>
      <c r="E104" s="307">
        <v>845.0</v>
      </c>
      <c r="F104" s="307">
        <v>19.0</v>
      </c>
      <c r="G104" s="307">
        <v>91.0</v>
      </c>
      <c r="H104" s="307">
        <v>4.0</v>
      </c>
      <c r="I104" s="307">
        <v>95.0</v>
      </c>
      <c r="J104" s="308">
        <v>0.96</v>
      </c>
      <c r="K104" s="22" t="s">
        <v>3967</v>
      </c>
      <c r="L104" s="22">
        <v>5.058087007E9</v>
      </c>
      <c r="M104" s="22" t="s">
        <v>47</v>
      </c>
      <c r="N104" s="22" t="s">
        <v>536</v>
      </c>
      <c r="O104" s="22" t="s">
        <v>4022</v>
      </c>
      <c r="P104" s="22" t="s">
        <v>3962</v>
      </c>
      <c r="Q104" s="309">
        <f>COUNTIF('Hedef Liste'!A:A,A104)</f>
        <v>0</v>
      </c>
    </row>
    <row r="105" hidden="1">
      <c r="A105" s="22" t="s">
        <v>4023</v>
      </c>
      <c r="B105" s="22" t="s">
        <v>4024</v>
      </c>
      <c r="C105" s="306" t="s">
        <v>3959</v>
      </c>
      <c r="D105" s="22" t="s">
        <v>100</v>
      </c>
      <c r="E105" s="307">
        <v>1493.0</v>
      </c>
      <c r="F105" s="307">
        <v>49.0</v>
      </c>
      <c r="G105" s="307">
        <v>82.0</v>
      </c>
      <c r="H105" s="307">
        <v>8.0</v>
      </c>
      <c r="I105" s="307">
        <v>90.0</v>
      </c>
      <c r="J105" s="308">
        <v>0.91</v>
      </c>
      <c r="K105" s="22" t="s">
        <v>3967</v>
      </c>
      <c r="L105" s="22">
        <v>3.523391E9</v>
      </c>
      <c r="M105" s="22" t="s">
        <v>71</v>
      </c>
      <c r="N105" s="22" t="s">
        <v>204</v>
      </c>
      <c r="O105" s="22" t="s">
        <v>4025</v>
      </c>
      <c r="P105" s="22" t="s">
        <v>3962</v>
      </c>
      <c r="Q105" s="309">
        <f>COUNTIF('Hedef Liste'!A:A,A105)</f>
        <v>0</v>
      </c>
    </row>
    <row r="106" hidden="1">
      <c r="A106" s="22" t="s">
        <v>4026</v>
      </c>
      <c r="B106" s="22" t="s">
        <v>4027</v>
      </c>
      <c r="C106" s="306" t="s">
        <v>3959</v>
      </c>
      <c r="D106" s="22" t="s">
        <v>100</v>
      </c>
      <c r="E106" s="307">
        <v>2095.0</v>
      </c>
      <c r="F106" s="307">
        <v>40.0</v>
      </c>
      <c r="G106" s="307">
        <v>42.0</v>
      </c>
      <c r="H106" s="307">
        <v>6.0</v>
      </c>
      <c r="I106" s="307">
        <v>48.0</v>
      </c>
      <c r="J106" s="308">
        <v>0.88</v>
      </c>
      <c r="K106" s="22" t="s">
        <v>3967</v>
      </c>
      <c r="L106" s="22">
        <v>5.533980322E9</v>
      </c>
      <c r="M106" s="22" t="s">
        <v>47</v>
      </c>
      <c r="N106" s="22" t="s">
        <v>138</v>
      </c>
      <c r="O106" s="22" t="s">
        <v>4028</v>
      </c>
      <c r="P106" s="22" t="s">
        <v>3962</v>
      </c>
      <c r="Q106" s="309">
        <f>COUNTIF('Hedef Liste'!A:A,A106)</f>
        <v>0</v>
      </c>
    </row>
    <row r="107" hidden="1">
      <c r="A107" s="22" t="s">
        <v>4029</v>
      </c>
      <c r="B107" s="22" t="s">
        <v>4030</v>
      </c>
      <c r="C107" s="306" t="s">
        <v>3959</v>
      </c>
      <c r="D107" s="22" t="s">
        <v>100</v>
      </c>
      <c r="E107" s="307">
        <v>825.0</v>
      </c>
      <c r="F107" s="307">
        <v>13.0</v>
      </c>
      <c r="G107" s="307">
        <v>53.0</v>
      </c>
      <c r="H107" s="307">
        <v>4.0</v>
      </c>
      <c r="I107" s="307">
        <v>57.0</v>
      </c>
      <c r="J107" s="308">
        <v>0.93</v>
      </c>
      <c r="K107" s="22" t="s">
        <v>3967</v>
      </c>
      <c r="L107" s="22">
        <v>5.452404024E9</v>
      </c>
      <c r="M107" s="22" t="s">
        <v>71</v>
      </c>
      <c r="N107" s="22" t="s">
        <v>684</v>
      </c>
      <c r="O107" s="22" t="s">
        <v>4031</v>
      </c>
      <c r="P107" s="22" t="s">
        <v>3962</v>
      </c>
      <c r="Q107" s="309">
        <f>COUNTIF('Hedef Liste'!A:A,A107)</f>
        <v>0</v>
      </c>
    </row>
    <row r="108" hidden="1">
      <c r="A108" s="22" t="s">
        <v>4032</v>
      </c>
      <c r="B108" s="22" t="s">
        <v>4033</v>
      </c>
      <c r="C108" s="306" t="s">
        <v>3959</v>
      </c>
      <c r="D108" s="22" t="s">
        <v>100</v>
      </c>
      <c r="E108" s="307">
        <v>882.0</v>
      </c>
      <c r="F108" s="307">
        <v>22.0</v>
      </c>
      <c r="G108" s="307">
        <v>61.0</v>
      </c>
      <c r="H108" s="307">
        <v>7.0</v>
      </c>
      <c r="I108" s="307">
        <v>68.0</v>
      </c>
      <c r="J108" s="308">
        <v>0.9</v>
      </c>
      <c r="K108" s="22" t="s">
        <v>3967</v>
      </c>
      <c r="L108" s="22">
        <v>5.442325889E9</v>
      </c>
      <c r="M108" s="22" t="s">
        <v>47</v>
      </c>
      <c r="N108" s="22" t="s">
        <v>448</v>
      </c>
      <c r="O108" s="22" t="s">
        <v>4034</v>
      </c>
      <c r="P108" s="22" t="s">
        <v>3962</v>
      </c>
      <c r="Q108" s="309">
        <f>COUNTIF('Hedef Liste'!A:A,A108)</f>
        <v>0</v>
      </c>
    </row>
    <row r="109" hidden="1">
      <c r="A109" s="22" t="s">
        <v>4035</v>
      </c>
      <c r="B109" s="22" t="s">
        <v>4036</v>
      </c>
      <c r="C109" s="306" t="s">
        <v>3959</v>
      </c>
      <c r="D109" s="22" t="s">
        <v>100</v>
      </c>
      <c r="E109" s="307">
        <v>593.0</v>
      </c>
      <c r="F109" s="307">
        <v>1.0</v>
      </c>
      <c r="G109" s="307">
        <v>97.0</v>
      </c>
      <c r="H109" s="307">
        <v>7.0</v>
      </c>
      <c r="I109" s="307">
        <v>104.0</v>
      </c>
      <c r="J109" s="308">
        <v>0.93</v>
      </c>
      <c r="K109" s="22" t="s">
        <v>3967</v>
      </c>
      <c r="L109" s="22">
        <v>5.358750446E9</v>
      </c>
      <c r="M109" s="22" t="s">
        <v>71</v>
      </c>
      <c r="N109" s="22" t="s">
        <v>385</v>
      </c>
      <c r="O109" s="22" t="s">
        <v>4037</v>
      </c>
      <c r="P109" s="22" t="s">
        <v>3962</v>
      </c>
      <c r="Q109" s="309">
        <f>COUNTIF('Hedef Liste'!A:A,A109)</f>
        <v>0</v>
      </c>
    </row>
    <row r="110" hidden="1">
      <c r="A110" s="22" t="s">
        <v>4038</v>
      </c>
      <c r="B110" s="22" t="s">
        <v>4039</v>
      </c>
      <c r="C110" s="306" t="s">
        <v>3959</v>
      </c>
      <c r="D110" s="22" t="s">
        <v>100</v>
      </c>
      <c r="E110" s="307">
        <v>4132.0</v>
      </c>
      <c r="F110" s="307">
        <v>91.0</v>
      </c>
      <c r="G110" s="307">
        <v>85.0</v>
      </c>
      <c r="H110" s="307">
        <v>7.0</v>
      </c>
      <c r="I110" s="307">
        <v>92.0</v>
      </c>
      <c r="J110" s="308">
        <v>0.92</v>
      </c>
      <c r="K110" s="22" t="s">
        <v>3967</v>
      </c>
      <c r="L110" s="22">
        <v>5.336940952E9</v>
      </c>
      <c r="M110" s="22" t="s">
        <v>71</v>
      </c>
      <c r="N110" s="22" t="s">
        <v>4040</v>
      </c>
      <c r="O110" s="22" t="s">
        <v>4041</v>
      </c>
      <c r="P110" s="22" t="s">
        <v>3962</v>
      </c>
      <c r="Q110" s="309">
        <f>COUNTIF('Hedef Liste'!A:A,A110)</f>
        <v>0</v>
      </c>
    </row>
    <row r="111" hidden="1">
      <c r="A111" s="22" t="s">
        <v>4042</v>
      </c>
      <c r="B111" s="22" t="s">
        <v>4043</v>
      </c>
      <c r="C111" s="306" t="s">
        <v>3959</v>
      </c>
      <c r="D111" s="22" t="s">
        <v>100</v>
      </c>
      <c r="E111" s="307">
        <v>218.0</v>
      </c>
      <c r="F111" s="307">
        <v>5.0</v>
      </c>
      <c r="G111" s="307">
        <v>56.0</v>
      </c>
      <c r="H111" s="307">
        <v>4.0</v>
      </c>
      <c r="I111" s="307">
        <v>60.0</v>
      </c>
      <c r="J111" s="308">
        <v>0.93</v>
      </c>
      <c r="K111" s="22" t="s">
        <v>3967</v>
      </c>
      <c r="L111" s="22">
        <v>5.389249191E9</v>
      </c>
      <c r="M111" s="22" t="s">
        <v>47</v>
      </c>
      <c r="N111" s="22" t="s">
        <v>884</v>
      </c>
      <c r="O111" s="22" t="s">
        <v>4044</v>
      </c>
      <c r="P111" s="22" t="s">
        <v>3962</v>
      </c>
      <c r="Q111" s="309">
        <f>COUNTIF('Hedef Liste'!A:A,A111)</f>
        <v>0</v>
      </c>
    </row>
    <row r="112" hidden="1">
      <c r="A112" s="22" t="s">
        <v>4045</v>
      </c>
      <c r="B112" s="22" t="s">
        <v>4046</v>
      </c>
      <c r="C112" s="306" t="s">
        <v>3959</v>
      </c>
      <c r="D112" s="22" t="s">
        <v>100</v>
      </c>
      <c r="E112" s="307">
        <v>87.0</v>
      </c>
      <c r="F112" s="307">
        <v>21.0</v>
      </c>
      <c r="G112" s="307">
        <v>89.0</v>
      </c>
      <c r="H112" s="307">
        <v>3.0</v>
      </c>
      <c r="I112" s="307">
        <v>92.0</v>
      </c>
      <c r="J112" s="308">
        <v>0.97</v>
      </c>
      <c r="K112" s="22" t="s">
        <v>3967</v>
      </c>
      <c r="L112" s="22">
        <v>5.345779722E9</v>
      </c>
      <c r="M112" s="22" t="s">
        <v>47</v>
      </c>
      <c r="N112" s="22" t="s">
        <v>1085</v>
      </c>
      <c r="O112" s="22" t="s">
        <v>4047</v>
      </c>
      <c r="P112" s="22" t="s">
        <v>3962</v>
      </c>
      <c r="Q112" s="309">
        <f>COUNTIF('Hedef Liste'!A:A,A112)</f>
        <v>0</v>
      </c>
    </row>
    <row r="113" hidden="1">
      <c r="A113" s="22" t="s">
        <v>4048</v>
      </c>
      <c r="B113" s="22" t="s">
        <v>4049</v>
      </c>
      <c r="C113" s="306" t="s">
        <v>3959</v>
      </c>
      <c r="D113" s="22" t="s">
        <v>100</v>
      </c>
      <c r="E113" s="307">
        <v>2279.0</v>
      </c>
      <c r="F113" s="307">
        <v>48.0</v>
      </c>
      <c r="G113" s="307">
        <v>112.0</v>
      </c>
      <c r="H113" s="307">
        <v>4.0</v>
      </c>
      <c r="I113" s="307">
        <v>116.0</v>
      </c>
      <c r="J113" s="308">
        <v>0.97</v>
      </c>
      <c r="K113" s="22" t="s">
        <v>3967</v>
      </c>
      <c r="L113" s="22">
        <v>5.368354438E9</v>
      </c>
      <c r="M113" s="22" t="s">
        <v>47</v>
      </c>
      <c r="N113" s="22" t="s">
        <v>1138</v>
      </c>
      <c r="O113" s="22" t="s">
        <v>4050</v>
      </c>
      <c r="P113" s="22" t="s">
        <v>3962</v>
      </c>
      <c r="Q113" s="309">
        <f>COUNTIF('Hedef Liste'!A:A,A113)</f>
        <v>0</v>
      </c>
    </row>
    <row r="114" hidden="1">
      <c r="A114" s="22" t="s">
        <v>4051</v>
      </c>
      <c r="B114" s="22" t="s">
        <v>4052</v>
      </c>
      <c r="C114" s="306" t="s">
        <v>3959</v>
      </c>
      <c r="D114" s="22" t="s">
        <v>100</v>
      </c>
      <c r="E114" s="307">
        <v>12.0</v>
      </c>
      <c r="F114" s="307">
        <v>9.0</v>
      </c>
      <c r="G114" s="307">
        <v>46.0</v>
      </c>
      <c r="H114" s="307">
        <v>3.0</v>
      </c>
      <c r="I114" s="307">
        <v>49.0</v>
      </c>
      <c r="J114" s="308">
        <v>0.94</v>
      </c>
      <c r="K114" s="22" t="s">
        <v>3967</v>
      </c>
      <c r="L114" s="22">
        <v>5.078662559E9</v>
      </c>
      <c r="M114" s="22" t="s">
        <v>71</v>
      </c>
      <c r="N114" s="22" t="s">
        <v>787</v>
      </c>
      <c r="O114" s="22" t="s">
        <v>4053</v>
      </c>
      <c r="P114" s="22" t="s">
        <v>3962</v>
      </c>
      <c r="Q114" s="309">
        <f>COUNTIF('Hedef Liste'!A:A,A114)</f>
        <v>0</v>
      </c>
    </row>
    <row r="115" hidden="1">
      <c r="A115" s="22" t="s">
        <v>4054</v>
      </c>
      <c r="B115" s="22" t="s">
        <v>4055</v>
      </c>
      <c r="C115" s="306" t="s">
        <v>3959</v>
      </c>
      <c r="D115" s="22" t="s">
        <v>100</v>
      </c>
      <c r="E115" s="307">
        <v>147.0</v>
      </c>
      <c r="F115" s="310"/>
      <c r="G115" s="307">
        <v>86.0</v>
      </c>
      <c r="H115" s="307">
        <v>6.0</v>
      </c>
      <c r="I115" s="307">
        <v>92.0</v>
      </c>
      <c r="J115" s="308">
        <v>0.93</v>
      </c>
      <c r="K115" s="22" t="s">
        <v>3967</v>
      </c>
      <c r="L115" s="22">
        <v>5.315243074E9</v>
      </c>
      <c r="M115" s="22" t="s">
        <v>71</v>
      </c>
      <c r="N115" s="22" t="s">
        <v>1116</v>
      </c>
      <c r="O115" s="22" t="s">
        <v>4056</v>
      </c>
      <c r="P115" s="22" t="s">
        <v>3962</v>
      </c>
      <c r="Q115" s="309">
        <f>COUNTIF('Hedef Liste'!A:A,A115)</f>
        <v>0</v>
      </c>
    </row>
    <row r="116" hidden="1">
      <c r="A116" s="22" t="s">
        <v>2651</v>
      </c>
      <c r="B116" s="22" t="s">
        <v>2652</v>
      </c>
      <c r="C116" s="306" t="s">
        <v>3959</v>
      </c>
      <c r="D116" s="22" t="s">
        <v>406</v>
      </c>
      <c r="E116" s="307">
        <v>1018.0</v>
      </c>
      <c r="F116" s="307">
        <v>10.0</v>
      </c>
      <c r="G116" s="307">
        <v>0.0</v>
      </c>
      <c r="H116" s="307">
        <v>34.0</v>
      </c>
      <c r="I116" s="307">
        <v>34.0</v>
      </c>
      <c r="J116" s="308">
        <v>0.0</v>
      </c>
      <c r="K116" s="22" t="s">
        <v>2653</v>
      </c>
      <c r="L116" s="22">
        <v>3.5250458E9</v>
      </c>
      <c r="M116" s="22" t="s">
        <v>47</v>
      </c>
      <c r="N116" s="22" t="s">
        <v>131</v>
      </c>
      <c r="O116" s="22" t="s">
        <v>2654</v>
      </c>
      <c r="P116" s="22" t="s">
        <v>666</v>
      </c>
      <c r="Q116" s="309">
        <f>COUNTIF('Hedef Liste'!A:A,A116)</f>
        <v>1</v>
      </c>
    </row>
    <row r="117" hidden="1">
      <c r="A117" s="22" t="s">
        <v>4057</v>
      </c>
      <c r="B117" s="22" t="s">
        <v>4058</v>
      </c>
      <c r="C117" s="306" t="s">
        <v>3959</v>
      </c>
      <c r="D117" s="22" t="s">
        <v>100</v>
      </c>
      <c r="E117" s="307">
        <v>2124.0</v>
      </c>
      <c r="F117" s="307">
        <v>99.0</v>
      </c>
      <c r="G117" s="307">
        <v>30.0</v>
      </c>
      <c r="H117" s="307">
        <v>2.0</v>
      </c>
      <c r="I117" s="307">
        <v>32.0</v>
      </c>
      <c r="J117" s="308">
        <v>0.94</v>
      </c>
      <c r="K117" s="22" t="s">
        <v>3967</v>
      </c>
      <c r="L117" s="22">
        <v>5.412530951E9</v>
      </c>
      <c r="M117" s="22" t="s">
        <v>61</v>
      </c>
      <c r="N117" s="22" t="s">
        <v>62</v>
      </c>
      <c r="O117" s="22" t="s">
        <v>4059</v>
      </c>
      <c r="P117" s="22" t="s">
        <v>3962</v>
      </c>
      <c r="Q117" s="309">
        <f>COUNTIF('Hedef Liste'!A:A,A117)</f>
        <v>0</v>
      </c>
    </row>
    <row r="118" hidden="1">
      <c r="A118" s="22" t="s">
        <v>4060</v>
      </c>
      <c r="B118" s="22" t="s">
        <v>4061</v>
      </c>
      <c r="C118" s="306" t="s">
        <v>3959</v>
      </c>
      <c r="D118" s="22" t="s">
        <v>100</v>
      </c>
      <c r="E118" s="307">
        <v>1347.0</v>
      </c>
      <c r="F118" s="307">
        <v>11.0</v>
      </c>
      <c r="G118" s="307">
        <v>71.0</v>
      </c>
      <c r="H118" s="307">
        <v>8.0</v>
      </c>
      <c r="I118" s="307">
        <v>79.0</v>
      </c>
      <c r="J118" s="308">
        <v>0.9</v>
      </c>
      <c r="K118" s="22" t="s">
        <v>3967</v>
      </c>
      <c r="L118" s="22">
        <v>3.524377E9</v>
      </c>
      <c r="M118" s="22" t="s">
        <v>61</v>
      </c>
      <c r="N118" s="22" t="s">
        <v>107</v>
      </c>
      <c r="O118" s="22" t="s">
        <v>4062</v>
      </c>
      <c r="P118" s="22" t="s">
        <v>3962</v>
      </c>
      <c r="Q118" s="309">
        <f>COUNTIF('Hedef Liste'!A:A,A118)</f>
        <v>0</v>
      </c>
    </row>
    <row r="119" hidden="1">
      <c r="A119" s="22" t="s">
        <v>4063</v>
      </c>
      <c r="B119" s="22" t="s">
        <v>4064</v>
      </c>
      <c r="C119" s="306" t="s">
        <v>3959</v>
      </c>
      <c r="D119" s="22" t="s">
        <v>100</v>
      </c>
      <c r="E119" s="307">
        <v>793.0</v>
      </c>
      <c r="F119" s="307">
        <v>10.0</v>
      </c>
      <c r="G119" s="307">
        <v>52.0</v>
      </c>
      <c r="H119" s="307">
        <v>2.0</v>
      </c>
      <c r="I119" s="307">
        <v>54.0</v>
      </c>
      <c r="J119" s="308">
        <v>0.96</v>
      </c>
      <c r="K119" s="22" t="s">
        <v>3967</v>
      </c>
      <c r="L119" s="22">
        <v>3.523473497E9</v>
      </c>
      <c r="M119" s="22" t="s">
        <v>47</v>
      </c>
      <c r="N119" s="22" t="s">
        <v>4065</v>
      </c>
      <c r="O119" s="22" t="s">
        <v>4066</v>
      </c>
      <c r="P119" s="22" t="s">
        <v>3962</v>
      </c>
      <c r="Q119" s="309">
        <f>COUNTIF('Hedef Liste'!A:A,A119)</f>
        <v>0</v>
      </c>
    </row>
    <row r="120" hidden="1">
      <c r="A120" s="22" t="s">
        <v>4067</v>
      </c>
      <c r="B120" s="22" t="s">
        <v>4068</v>
      </c>
      <c r="C120" s="306" t="s">
        <v>3959</v>
      </c>
      <c r="D120" s="22" t="s">
        <v>100</v>
      </c>
      <c r="E120" s="307">
        <v>69.0</v>
      </c>
      <c r="F120" s="307">
        <v>4.0</v>
      </c>
      <c r="G120" s="307">
        <v>59.0</v>
      </c>
      <c r="H120" s="307">
        <v>7.0</v>
      </c>
      <c r="I120" s="307">
        <v>66.0</v>
      </c>
      <c r="J120" s="308">
        <v>0.89</v>
      </c>
      <c r="K120" s="22" t="s">
        <v>3967</v>
      </c>
      <c r="L120" s="22">
        <v>5.057139015E9</v>
      </c>
      <c r="M120" s="22" t="s">
        <v>47</v>
      </c>
      <c r="N120" s="22" t="s">
        <v>525</v>
      </c>
      <c r="O120" s="22" t="s">
        <v>4069</v>
      </c>
      <c r="P120" s="22" t="s">
        <v>3962</v>
      </c>
      <c r="Q120" s="309">
        <f>COUNTIF('Hedef Liste'!A:A,A120)</f>
        <v>0</v>
      </c>
    </row>
    <row r="121" hidden="1">
      <c r="A121" s="22" t="s">
        <v>4070</v>
      </c>
      <c r="B121" s="22" t="s">
        <v>4071</v>
      </c>
      <c r="C121" s="306" t="s">
        <v>3959</v>
      </c>
      <c r="D121" s="22" t="s">
        <v>100</v>
      </c>
      <c r="E121" s="307">
        <v>1292.0</v>
      </c>
      <c r="F121" s="307">
        <v>57.0</v>
      </c>
      <c r="G121" s="307">
        <v>96.0</v>
      </c>
      <c r="H121" s="307">
        <v>9.0</v>
      </c>
      <c r="I121" s="307">
        <v>105.0</v>
      </c>
      <c r="J121" s="308">
        <v>0.91</v>
      </c>
      <c r="K121" s="22" t="s">
        <v>3967</v>
      </c>
      <c r="L121" s="22">
        <v>5.548646681E9</v>
      </c>
      <c r="M121" s="22" t="s">
        <v>71</v>
      </c>
      <c r="N121" s="22" t="s">
        <v>588</v>
      </c>
      <c r="O121" s="22" t="s">
        <v>4072</v>
      </c>
      <c r="P121" s="22" t="s">
        <v>3962</v>
      </c>
      <c r="Q121" s="309">
        <f>COUNTIF('Hedef Liste'!A:A,A121)</f>
        <v>0</v>
      </c>
    </row>
    <row r="122" hidden="1">
      <c r="A122" s="22" t="s">
        <v>4073</v>
      </c>
      <c r="B122" s="22" t="s">
        <v>4074</v>
      </c>
      <c r="C122" s="306" t="s">
        <v>3959</v>
      </c>
      <c r="D122" s="22" t="s">
        <v>100</v>
      </c>
      <c r="E122" s="307">
        <v>2768.0</v>
      </c>
      <c r="F122" s="307">
        <v>44.0</v>
      </c>
      <c r="G122" s="307">
        <v>60.0</v>
      </c>
      <c r="H122" s="307">
        <v>7.0</v>
      </c>
      <c r="I122" s="307">
        <v>67.0</v>
      </c>
      <c r="J122" s="308">
        <v>0.9</v>
      </c>
      <c r="K122" s="22" t="s">
        <v>3967</v>
      </c>
      <c r="L122" s="22">
        <v>5.355889221E9</v>
      </c>
      <c r="M122" s="22" t="s">
        <v>71</v>
      </c>
      <c r="N122" s="22" t="s">
        <v>1406</v>
      </c>
      <c r="O122" s="22" t="s">
        <v>4075</v>
      </c>
      <c r="P122" s="22" t="s">
        <v>3962</v>
      </c>
      <c r="Q122" s="309">
        <f>COUNTIF('Hedef Liste'!A:A,A122)</f>
        <v>0</v>
      </c>
    </row>
    <row r="123" hidden="1">
      <c r="A123" s="22" t="s">
        <v>4076</v>
      </c>
      <c r="B123" s="22" t="s">
        <v>4077</v>
      </c>
      <c r="C123" s="306" t="s">
        <v>3959</v>
      </c>
      <c r="D123" s="22" t="s">
        <v>100</v>
      </c>
      <c r="E123" s="307">
        <v>449.0</v>
      </c>
      <c r="F123" s="307">
        <v>14.0</v>
      </c>
      <c r="G123" s="307">
        <v>108.0</v>
      </c>
      <c r="H123" s="307">
        <v>4.0</v>
      </c>
      <c r="I123" s="307">
        <v>112.0</v>
      </c>
      <c r="J123" s="308">
        <v>0.96</v>
      </c>
      <c r="K123" s="22" t="s">
        <v>3967</v>
      </c>
      <c r="L123" s="22">
        <v>5.333798408E9</v>
      </c>
      <c r="M123" s="22" t="s">
        <v>71</v>
      </c>
      <c r="N123" s="22" t="s">
        <v>442</v>
      </c>
      <c r="O123" s="22" t="s">
        <v>4078</v>
      </c>
      <c r="P123" s="22" t="s">
        <v>3962</v>
      </c>
      <c r="Q123" s="309">
        <f>COUNTIF('Hedef Liste'!A:A,A123)</f>
        <v>0</v>
      </c>
    </row>
    <row r="124" hidden="1">
      <c r="A124" s="22" t="s">
        <v>4079</v>
      </c>
      <c r="B124" s="22" t="s">
        <v>4080</v>
      </c>
      <c r="C124" s="306" t="s">
        <v>3959</v>
      </c>
      <c r="D124" s="22" t="s">
        <v>100</v>
      </c>
      <c r="E124" s="307">
        <v>605.0</v>
      </c>
      <c r="F124" s="307">
        <v>37.0</v>
      </c>
      <c r="G124" s="307">
        <v>39.0</v>
      </c>
      <c r="H124" s="307">
        <v>3.0</v>
      </c>
      <c r="I124" s="307">
        <v>42.0</v>
      </c>
      <c r="J124" s="308">
        <v>0.93</v>
      </c>
      <c r="K124" s="22" t="s">
        <v>3967</v>
      </c>
      <c r="L124" s="22">
        <v>5.366611349E9</v>
      </c>
      <c r="M124" s="22" t="s">
        <v>47</v>
      </c>
      <c r="N124" s="22" t="s">
        <v>496</v>
      </c>
      <c r="O124" s="22" t="s">
        <v>4081</v>
      </c>
      <c r="P124" s="22" t="s">
        <v>3962</v>
      </c>
      <c r="Q124" s="309">
        <f>COUNTIF('Hedef Liste'!A:A,A124)</f>
        <v>0</v>
      </c>
    </row>
    <row r="125" hidden="1">
      <c r="A125" s="22" t="s">
        <v>4082</v>
      </c>
      <c r="B125" s="22" t="s">
        <v>4083</v>
      </c>
      <c r="C125" s="306" t="s">
        <v>3959</v>
      </c>
      <c r="D125" s="22" t="s">
        <v>100</v>
      </c>
      <c r="E125" s="307">
        <v>1030.0</v>
      </c>
      <c r="F125" s="307">
        <v>33.0</v>
      </c>
      <c r="G125" s="307">
        <v>92.0</v>
      </c>
      <c r="H125" s="307">
        <v>5.0</v>
      </c>
      <c r="I125" s="307">
        <v>97.0</v>
      </c>
      <c r="J125" s="308">
        <v>0.95</v>
      </c>
      <c r="K125" s="22" t="s">
        <v>3967</v>
      </c>
      <c r="L125" s="22">
        <v>3.523200112E9</v>
      </c>
      <c r="M125" s="22" t="s">
        <v>47</v>
      </c>
      <c r="N125" s="22" t="s">
        <v>874</v>
      </c>
      <c r="O125" s="22" t="s">
        <v>4084</v>
      </c>
      <c r="P125" s="22" t="s">
        <v>3962</v>
      </c>
      <c r="Q125" s="309">
        <f>COUNTIF('Hedef Liste'!A:A,A125)</f>
        <v>0</v>
      </c>
    </row>
    <row r="126" hidden="1">
      <c r="A126" s="22" t="s">
        <v>4085</v>
      </c>
      <c r="B126" s="22" t="s">
        <v>4086</v>
      </c>
      <c r="C126" s="306" t="s">
        <v>3959</v>
      </c>
      <c r="D126" s="22" t="s">
        <v>100</v>
      </c>
      <c r="E126" s="307">
        <v>1272.0</v>
      </c>
      <c r="F126" s="307">
        <v>57.0</v>
      </c>
      <c r="G126" s="307">
        <v>102.0</v>
      </c>
      <c r="H126" s="307">
        <v>9.0</v>
      </c>
      <c r="I126" s="307">
        <v>111.0</v>
      </c>
      <c r="J126" s="308">
        <v>0.92</v>
      </c>
      <c r="K126" s="22" t="s">
        <v>3967</v>
      </c>
      <c r="L126" s="22">
        <v>5.076755932E9</v>
      </c>
      <c r="M126" s="22" t="s">
        <v>47</v>
      </c>
      <c r="N126" s="22" t="s">
        <v>131</v>
      </c>
      <c r="O126" s="22" t="s">
        <v>4087</v>
      </c>
      <c r="P126" s="22" t="s">
        <v>3962</v>
      </c>
      <c r="Q126" s="309">
        <f>COUNTIF('Hedef Liste'!A:A,A126)</f>
        <v>0</v>
      </c>
    </row>
    <row r="127" hidden="1">
      <c r="A127" s="22" t="s">
        <v>4088</v>
      </c>
      <c r="B127" s="22" t="s">
        <v>4089</v>
      </c>
      <c r="C127" s="306" t="s">
        <v>3959</v>
      </c>
      <c r="D127" s="22" t="s">
        <v>100</v>
      </c>
      <c r="E127" s="307">
        <v>3374.0</v>
      </c>
      <c r="F127" s="307">
        <v>117.0</v>
      </c>
      <c r="G127" s="307">
        <v>83.0</v>
      </c>
      <c r="H127" s="307">
        <v>7.0</v>
      </c>
      <c r="I127" s="307">
        <v>90.0</v>
      </c>
      <c r="J127" s="308">
        <v>0.92</v>
      </c>
      <c r="K127" s="22" t="s">
        <v>3967</v>
      </c>
      <c r="L127" s="22">
        <v>5.417763416E9</v>
      </c>
      <c r="M127" s="22" t="s">
        <v>71</v>
      </c>
      <c r="N127" s="22" t="s">
        <v>62</v>
      </c>
      <c r="O127" s="22" t="s">
        <v>4090</v>
      </c>
      <c r="P127" s="22" t="s">
        <v>3962</v>
      </c>
      <c r="Q127" s="309">
        <f>COUNTIF('Hedef Liste'!A:A,A127)</f>
        <v>0</v>
      </c>
    </row>
    <row r="128" hidden="1">
      <c r="A128" s="22" t="s">
        <v>4091</v>
      </c>
      <c r="B128" s="22" t="s">
        <v>4092</v>
      </c>
      <c r="C128" s="306" t="s">
        <v>3959</v>
      </c>
      <c r="D128" s="22" t="s">
        <v>100</v>
      </c>
      <c r="E128" s="307">
        <v>259.0</v>
      </c>
      <c r="F128" s="307">
        <v>7.0</v>
      </c>
      <c r="G128" s="307">
        <v>51.0</v>
      </c>
      <c r="H128" s="307">
        <v>4.0</v>
      </c>
      <c r="I128" s="307">
        <v>55.0</v>
      </c>
      <c r="J128" s="308">
        <v>0.93</v>
      </c>
      <c r="K128" s="22" t="s">
        <v>3967</v>
      </c>
      <c r="L128" s="22">
        <v>5.345779722E9</v>
      </c>
      <c r="M128" s="22" t="s">
        <v>47</v>
      </c>
      <c r="N128" s="22" t="s">
        <v>1085</v>
      </c>
      <c r="O128" s="22" t="s">
        <v>4093</v>
      </c>
      <c r="P128" s="22" t="s">
        <v>3962</v>
      </c>
      <c r="Q128" s="309">
        <f>COUNTIF('Hedef Liste'!A:A,A128)</f>
        <v>0</v>
      </c>
    </row>
    <row r="129" hidden="1">
      <c r="A129" s="22" t="s">
        <v>4094</v>
      </c>
      <c r="B129" s="22" t="s">
        <v>4095</v>
      </c>
      <c r="C129" s="306" t="s">
        <v>3963</v>
      </c>
      <c r="D129" s="22" t="s">
        <v>100</v>
      </c>
      <c r="E129" s="307">
        <v>192.0</v>
      </c>
      <c r="F129" s="310"/>
      <c r="G129" s="307">
        <v>61.0</v>
      </c>
      <c r="H129" s="307">
        <v>4.0</v>
      </c>
      <c r="I129" s="307">
        <v>65.0</v>
      </c>
      <c r="J129" s="308">
        <v>0.94</v>
      </c>
      <c r="K129" s="22" t="s">
        <v>3967</v>
      </c>
      <c r="L129" s="22">
        <v>5.453775885E9</v>
      </c>
      <c r="M129" s="22" t="s">
        <v>47</v>
      </c>
      <c r="N129" s="22" t="s">
        <v>1552</v>
      </c>
      <c r="O129" s="22" t="s">
        <v>4096</v>
      </c>
      <c r="P129" s="22" t="s">
        <v>3962</v>
      </c>
      <c r="Q129" s="309">
        <f>COUNTIF('Hedef Liste'!A:A,A129)</f>
        <v>0</v>
      </c>
    </row>
    <row r="130" hidden="1">
      <c r="A130" s="22" t="s">
        <v>4097</v>
      </c>
      <c r="B130" s="22" t="s">
        <v>4098</v>
      </c>
      <c r="C130" s="306" t="s">
        <v>3959</v>
      </c>
      <c r="D130" s="22" t="s">
        <v>100</v>
      </c>
      <c r="E130" s="307">
        <v>1200.0</v>
      </c>
      <c r="F130" s="307">
        <v>17.0</v>
      </c>
      <c r="G130" s="307">
        <v>77.0</v>
      </c>
      <c r="H130" s="307">
        <v>7.0</v>
      </c>
      <c r="I130" s="307">
        <v>84.0</v>
      </c>
      <c r="J130" s="308">
        <v>0.92</v>
      </c>
      <c r="K130" s="22" t="s">
        <v>3967</v>
      </c>
      <c r="L130" s="22">
        <v>5.054574551E9</v>
      </c>
      <c r="M130" s="22" t="s">
        <v>71</v>
      </c>
      <c r="N130" s="22" t="s">
        <v>679</v>
      </c>
      <c r="O130" s="22" t="s">
        <v>4099</v>
      </c>
      <c r="P130" s="22" t="s">
        <v>3962</v>
      </c>
      <c r="Q130" s="309">
        <f>COUNTIF('Hedef Liste'!A:A,A130)</f>
        <v>0</v>
      </c>
    </row>
    <row r="131" hidden="1">
      <c r="A131" s="22" t="s">
        <v>691</v>
      </c>
      <c r="B131" s="22" t="s">
        <v>692</v>
      </c>
      <c r="C131" s="306" t="s">
        <v>3959</v>
      </c>
      <c r="D131" s="22" t="s">
        <v>69</v>
      </c>
      <c r="E131" s="307">
        <v>1712.0</v>
      </c>
      <c r="F131" s="307">
        <v>11.0</v>
      </c>
      <c r="G131" s="307">
        <v>0.0</v>
      </c>
      <c r="H131" s="307">
        <v>9.0</v>
      </c>
      <c r="I131" s="307">
        <v>9.0</v>
      </c>
      <c r="J131" s="308">
        <v>0.0</v>
      </c>
      <c r="K131" s="22" t="s">
        <v>693</v>
      </c>
      <c r="L131" s="22">
        <v>3.523331501E9</v>
      </c>
      <c r="M131" s="22" t="s">
        <v>47</v>
      </c>
      <c r="N131" s="22" t="s">
        <v>125</v>
      </c>
      <c r="O131" s="22" t="s">
        <v>694</v>
      </c>
      <c r="P131" s="22" t="s">
        <v>666</v>
      </c>
      <c r="Q131" s="309">
        <f>COUNTIF('Hedef Liste'!A:A,A131)</f>
        <v>1</v>
      </c>
    </row>
    <row r="132" hidden="1">
      <c r="A132" s="22" t="s">
        <v>1854</v>
      </c>
      <c r="B132" s="22" t="s">
        <v>4100</v>
      </c>
      <c r="C132" s="306" t="s">
        <v>3959</v>
      </c>
      <c r="D132" s="22" t="s">
        <v>165</v>
      </c>
      <c r="E132" s="307">
        <v>604.0</v>
      </c>
      <c r="F132" s="307">
        <v>19.0</v>
      </c>
      <c r="G132" s="307">
        <v>7.0</v>
      </c>
      <c r="H132" s="307">
        <v>7.0</v>
      </c>
      <c r="I132" s="307">
        <v>14.0</v>
      </c>
      <c r="J132" s="308">
        <v>0.5</v>
      </c>
      <c r="K132" s="22" t="s">
        <v>1856</v>
      </c>
      <c r="L132" s="22">
        <v>5.367764858E9</v>
      </c>
      <c r="M132" s="22" t="s">
        <v>71</v>
      </c>
      <c r="N132" s="22" t="s">
        <v>684</v>
      </c>
      <c r="O132" s="22" t="s">
        <v>1857</v>
      </c>
      <c r="P132" s="22" t="s">
        <v>666</v>
      </c>
      <c r="Q132" s="309">
        <f>COUNTIF('Hedef Liste'!A:A,A132)</f>
        <v>1</v>
      </c>
    </row>
    <row r="133" hidden="1">
      <c r="A133" s="22" t="s">
        <v>4101</v>
      </c>
      <c r="B133" s="22" t="s">
        <v>4102</v>
      </c>
      <c r="C133" s="306" t="s">
        <v>3959</v>
      </c>
      <c r="D133" s="22" t="s">
        <v>100</v>
      </c>
      <c r="E133" s="307">
        <v>4535.0</v>
      </c>
      <c r="F133" s="307">
        <v>83.0</v>
      </c>
      <c r="G133" s="307">
        <v>75.0</v>
      </c>
      <c r="H133" s="307">
        <v>5.0</v>
      </c>
      <c r="I133" s="307">
        <v>80.0</v>
      </c>
      <c r="J133" s="308">
        <v>0.94</v>
      </c>
      <c r="K133" s="22" t="s">
        <v>3967</v>
      </c>
      <c r="L133" s="22">
        <v>5.52662101E9</v>
      </c>
      <c r="M133" s="22" t="s">
        <v>61</v>
      </c>
      <c r="N133" s="22" t="s">
        <v>250</v>
      </c>
      <c r="O133" s="22" t="s">
        <v>4103</v>
      </c>
      <c r="P133" s="22" t="s">
        <v>3962</v>
      </c>
      <c r="Q133" s="309">
        <f>COUNTIF('Hedef Liste'!A:A,A133)</f>
        <v>0</v>
      </c>
    </row>
    <row r="134" hidden="1">
      <c r="A134" s="22" t="s">
        <v>4104</v>
      </c>
      <c r="B134" s="22" t="s">
        <v>4105</v>
      </c>
      <c r="C134" s="306" t="s">
        <v>3959</v>
      </c>
      <c r="D134" s="22" t="s">
        <v>100</v>
      </c>
      <c r="E134" s="307">
        <v>1963.0</v>
      </c>
      <c r="F134" s="307">
        <v>127.0</v>
      </c>
      <c r="G134" s="307">
        <v>91.0</v>
      </c>
      <c r="H134" s="307">
        <v>8.0</v>
      </c>
      <c r="I134" s="307">
        <v>99.0</v>
      </c>
      <c r="J134" s="308">
        <v>0.92</v>
      </c>
      <c r="K134" s="22" t="s">
        <v>3967</v>
      </c>
      <c r="L134" s="22">
        <v>5.550018959E9</v>
      </c>
      <c r="M134" s="22" t="s">
        <v>71</v>
      </c>
      <c r="N134" s="22" t="s">
        <v>224</v>
      </c>
      <c r="O134" s="22" t="s">
        <v>4106</v>
      </c>
      <c r="P134" s="22" t="s">
        <v>3962</v>
      </c>
      <c r="Q134" s="309">
        <f>COUNTIF('Hedef Liste'!A:A,A134)</f>
        <v>0</v>
      </c>
    </row>
    <row r="135" hidden="1">
      <c r="A135" s="22" t="s">
        <v>4107</v>
      </c>
      <c r="B135" s="22" t="s">
        <v>4108</v>
      </c>
      <c r="C135" s="306" t="s">
        <v>3959</v>
      </c>
      <c r="D135" s="22" t="s">
        <v>100</v>
      </c>
      <c r="E135" s="307">
        <v>2677.0</v>
      </c>
      <c r="F135" s="307">
        <v>75.0</v>
      </c>
      <c r="G135" s="307">
        <v>134.0</v>
      </c>
      <c r="H135" s="307">
        <v>6.0</v>
      </c>
      <c r="I135" s="307">
        <v>140.0</v>
      </c>
      <c r="J135" s="308">
        <v>0.96</v>
      </c>
      <c r="K135" s="22" t="s">
        <v>3967</v>
      </c>
      <c r="L135" s="22">
        <v>5.345130096E9</v>
      </c>
      <c r="M135" s="22" t="s">
        <v>47</v>
      </c>
      <c r="N135" s="22" t="s">
        <v>125</v>
      </c>
      <c r="O135" s="22" t="s">
        <v>4109</v>
      </c>
      <c r="P135" s="22" t="s">
        <v>3962</v>
      </c>
      <c r="Q135" s="309">
        <f>COUNTIF('Hedef Liste'!A:A,A135)</f>
        <v>0</v>
      </c>
    </row>
    <row r="136" hidden="1">
      <c r="A136" s="22" t="s">
        <v>4110</v>
      </c>
      <c r="B136" s="22" t="s">
        <v>4111</v>
      </c>
      <c r="C136" s="306" t="s">
        <v>3959</v>
      </c>
      <c r="D136" s="22" t="s">
        <v>100</v>
      </c>
      <c r="E136" s="307">
        <v>1336.0</v>
      </c>
      <c r="F136" s="307">
        <v>41.0</v>
      </c>
      <c r="G136" s="307">
        <v>97.0</v>
      </c>
      <c r="H136" s="307">
        <v>7.0</v>
      </c>
      <c r="I136" s="307">
        <v>104.0</v>
      </c>
      <c r="J136" s="308">
        <v>0.93</v>
      </c>
      <c r="K136" s="22" t="s">
        <v>3967</v>
      </c>
      <c r="L136" s="22">
        <v>5.073994869E9</v>
      </c>
      <c r="M136" s="22" t="s">
        <v>47</v>
      </c>
      <c r="N136" s="22" t="s">
        <v>2719</v>
      </c>
      <c r="O136" s="22" t="s">
        <v>4112</v>
      </c>
      <c r="P136" s="22" t="s">
        <v>3962</v>
      </c>
      <c r="Q136" s="309">
        <f>COUNTIF('Hedef Liste'!A:A,A136)</f>
        <v>0</v>
      </c>
    </row>
    <row r="137" hidden="1">
      <c r="A137" s="22" t="s">
        <v>4113</v>
      </c>
      <c r="B137" s="22" t="s">
        <v>4114</v>
      </c>
      <c r="C137" s="306" t="s">
        <v>3959</v>
      </c>
      <c r="D137" s="22" t="s">
        <v>100</v>
      </c>
      <c r="E137" s="307">
        <v>861.0</v>
      </c>
      <c r="F137" s="307">
        <v>12.0</v>
      </c>
      <c r="G137" s="307">
        <v>119.0</v>
      </c>
      <c r="H137" s="307">
        <v>4.0</v>
      </c>
      <c r="I137" s="307">
        <v>123.0</v>
      </c>
      <c r="J137" s="308">
        <v>0.97</v>
      </c>
      <c r="K137" s="22" t="s">
        <v>3967</v>
      </c>
      <c r="L137" s="22">
        <v>3.523302505E9</v>
      </c>
      <c r="M137" s="22" t="s">
        <v>47</v>
      </c>
      <c r="N137" s="22" t="s">
        <v>401</v>
      </c>
      <c r="O137" s="22" t="s">
        <v>4115</v>
      </c>
      <c r="P137" s="22" t="s">
        <v>3962</v>
      </c>
      <c r="Q137" s="309">
        <f>COUNTIF('Hedef Liste'!A:A,A137)</f>
        <v>0</v>
      </c>
    </row>
    <row r="138" hidden="1">
      <c r="A138" s="22" t="s">
        <v>4116</v>
      </c>
      <c r="B138" s="22" t="s">
        <v>4117</v>
      </c>
      <c r="C138" s="306" t="s">
        <v>3959</v>
      </c>
      <c r="D138" s="22" t="s">
        <v>100</v>
      </c>
      <c r="E138" s="307">
        <v>1160.0</v>
      </c>
      <c r="F138" s="307">
        <v>36.0</v>
      </c>
      <c r="G138" s="307">
        <v>53.0</v>
      </c>
      <c r="H138" s="307">
        <v>4.0</v>
      </c>
      <c r="I138" s="307">
        <v>57.0</v>
      </c>
      <c r="J138" s="308">
        <v>0.93</v>
      </c>
      <c r="K138" s="22" t="s">
        <v>3967</v>
      </c>
      <c r="L138" s="22">
        <v>5.43665582E9</v>
      </c>
      <c r="M138" s="22" t="s">
        <v>47</v>
      </c>
      <c r="N138" s="22" t="s">
        <v>728</v>
      </c>
      <c r="O138" s="22" t="s">
        <v>4118</v>
      </c>
      <c r="P138" s="22" t="s">
        <v>3962</v>
      </c>
      <c r="Q138" s="309">
        <f>COUNTIF('Hedef Liste'!A:A,A138)</f>
        <v>0</v>
      </c>
    </row>
    <row r="139" hidden="1">
      <c r="A139" s="22" t="s">
        <v>4119</v>
      </c>
      <c r="B139" s="22" t="s">
        <v>4120</v>
      </c>
      <c r="C139" s="306" t="s">
        <v>3959</v>
      </c>
      <c r="D139" s="22" t="s">
        <v>100</v>
      </c>
      <c r="E139" s="307">
        <v>524.0</v>
      </c>
      <c r="F139" s="307">
        <v>8.0</v>
      </c>
      <c r="G139" s="307">
        <v>62.0</v>
      </c>
      <c r="H139" s="307">
        <v>3.0</v>
      </c>
      <c r="I139" s="307">
        <v>65.0</v>
      </c>
      <c r="J139" s="308">
        <v>0.95</v>
      </c>
      <c r="K139" s="22" t="s">
        <v>3967</v>
      </c>
      <c r="L139" s="22">
        <v>5.359362789E9</v>
      </c>
      <c r="M139" s="22" t="s">
        <v>47</v>
      </c>
      <c r="N139" s="22" t="s">
        <v>4121</v>
      </c>
      <c r="O139" s="22" t="s">
        <v>4122</v>
      </c>
      <c r="P139" s="22" t="s">
        <v>3962</v>
      </c>
      <c r="Q139" s="309">
        <f>COUNTIF('Hedef Liste'!A:A,A139)</f>
        <v>0</v>
      </c>
    </row>
    <row r="140" hidden="1">
      <c r="A140" s="22" t="s">
        <v>4123</v>
      </c>
      <c r="B140" s="22" t="s">
        <v>4124</v>
      </c>
      <c r="C140" s="306" t="s">
        <v>3959</v>
      </c>
      <c r="D140" s="22" t="s">
        <v>100</v>
      </c>
      <c r="E140" s="307">
        <v>360.0</v>
      </c>
      <c r="F140" s="307">
        <v>13.0</v>
      </c>
      <c r="G140" s="307">
        <v>61.0</v>
      </c>
      <c r="H140" s="307">
        <v>4.0</v>
      </c>
      <c r="I140" s="307">
        <v>65.0</v>
      </c>
      <c r="J140" s="308">
        <v>0.94</v>
      </c>
      <c r="K140" s="22" t="s">
        <v>3967</v>
      </c>
      <c r="L140" s="22">
        <v>5.526370729E9</v>
      </c>
      <c r="M140" s="22" t="s">
        <v>47</v>
      </c>
      <c r="N140" s="22" t="s">
        <v>1524</v>
      </c>
      <c r="O140" s="22" t="s">
        <v>4125</v>
      </c>
      <c r="P140" s="22" t="s">
        <v>3962</v>
      </c>
      <c r="Q140" s="309">
        <f>COUNTIF('Hedef Liste'!A:A,A140)</f>
        <v>0</v>
      </c>
    </row>
    <row r="141" hidden="1">
      <c r="A141" s="22" t="s">
        <v>4126</v>
      </c>
      <c r="B141" s="22" t="s">
        <v>4127</v>
      </c>
      <c r="C141" s="306" t="s">
        <v>3959</v>
      </c>
      <c r="D141" s="22" t="s">
        <v>100</v>
      </c>
      <c r="E141" s="307">
        <v>151.0</v>
      </c>
      <c r="F141" s="310"/>
      <c r="G141" s="307">
        <v>69.0</v>
      </c>
      <c r="H141" s="307">
        <v>5.0</v>
      </c>
      <c r="I141" s="307">
        <v>74.0</v>
      </c>
      <c r="J141" s="308">
        <v>0.93</v>
      </c>
      <c r="K141" s="22" t="s">
        <v>3967</v>
      </c>
      <c r="L141" s="22">
        <v>5.435551009E9</v>
      </c>
      <c r="M141" s="22" t="s">
        <v>47</v>
      </c>
      <c r="N141" s="22" t="s">
        <v>107</v>
      </c>
      <c r="O141" s="22" t="s">
        <v>4128</v>
      </c>
      <c r="P141" s="22" t="s">
        <v>3962</v>
      </c>
      <c r="Q141" s="309">
        <f>COUNTIF('Hedef Liste'!A:A,A141)</f>
        <v>0</v>
      </c>
    </row>
    <row r="142" hidden="1">
      <c r="A142" s="22" t="s">
        <v>2269</v>
      </c>
      <c r="B142" s="22" t="s">
        <v>2270</v>
      </c>
      <c r="C142" s="306" t="s">
        <v>3959</v>
      </c>
      <c r="D142" s="22" t="s">
        <v>91</v>
      </c>
      <c r="E142" s="307">
        <v>2353.0</v>
      </c>
      <c r="F142" s="307">
        <v>52.0</v>
      </c>
      <c r="G142" s="307">
        <v>0.0</v>
      </c>
      <c r="H142" s="307">
        <v>86.0</v>
      </c>
      <c r="I142" s="307">
        <v>86.0</v>
      </c>
      <c r="J142" s="308">
        <v>0.0</v>
      </c>
      <c r="K142" s="22" t="s">
        <v>2271</v>
      </c>
      <c r="L142" s="22">
        <v>3.522223443E9</v>
      </c>
      <c r="M142" s="22" t="s">
        <v>71</v>
      </c>
      <c r="N142" s="22" t="s">
        <v>684</v>
      </c>
      <c r="O142" s="22" t="s">
        <v>2272</v>
      </c>
      <c r="P142" s="22" t="s">
        <v>666</v>
      </c>
      <c r="Q142" s="309">
        <f>COUNTIF('Hedef Liste'!A:A,A142)</f>
        <v>1</v>
      </c>
    </row>
    <row r="143" hidden="1">
      <c r="A143" s="22" t="s">
        <v>2264</v>
      </c>
      <c r="B143" s="22" t="s">
        <v>4129</v>
      </c>
      <c r="C143" s="306" t="s">
        <v>3959</v>
      </c>
      <c r="D143" s="22" t="s">
        <v>91</v>
      </c>
      <c r="E143" s="307">
        <v>1564.0</v>
      </c>
      <c r="F143" s="307">
        <v>46.0</v>
      </c>
      <c r="G143" s="307">
        <v>0.0</v>
      </c>
      <c r="H143" s="307">
        <v>86.0</v>
      </c>
      <c r="I143" s="307">
        <v>86.0</v>
      </c>
      <c r="J143" s="308">
        <v>0.0</v>
      </c>
      <c r="K143" s="22" t="s">
        <v>2266</v>
      </c>
      <c r="L143" s="22">
        <v>3.522233434E9</v>
      </c>
      <c r="M143" s="22" t="s">
        <v>47</v>
      </c>
      <c r="N143" s="22" t="s">
        <v>271</v>
      </c>
      <c r="O143" s="22" t="s">
        <v>2267</v>
      </c>
      <c r="P143" s="22" t="s">
        <v>666</v>
      </c>
      <c r="Q143" s="309">
        <f>COUNTIF('Hedef Liste'!A:A,A143)</f>
        <v>1</v>
      </c>
    </row>
    <row r="144" hidden="1">
      <c r="A144" s="22" t="s">
        <v>2734</v>
      </c>
      <c r="B144" s="22" t="s">
        <v>2735</v>
      </c>
      <c r="C144" s="306" t="s">
        <v>3959</v>
      </c>
      <c r="D144" s="22" t="s">
        <v>59</v>
      </c>
      <c r="E144" s="307">
        <v>3311.0</v>
      </c>
      <c r="F144" s="310"/>
      <c r="G144" s="307">
        <v>0.0</v>
      </c>
      <c r="H144" s="307">
        <v>30.0</v>
      </c>
      <c r="I144" s="307">
        <v>30.0</v>
      </c>
      <c r="J144" s="308">
        <v>0.0</v>
      </c>
      <c r="K144" s="22" t="s">
        <v>2736</v>
      </c>
      <c r="L144" s="22">
        <v>3.523366267E9</v>
      </c>
      <c r="M144" s="22" t="s">
        <v>47</v>
      </c>
      <c r="N144" s="22" t="s">
        <v>401</v>
      </c>
      <c r="O144" s="22" t="s">
        <v>2737</v>
      </c>
      <c r="P144" s="22" t="s">
        <v>666</v>
      </c>
      <c r="Q144" s="309">
        <f>COUNTIF('Hedef Liste'!A:A,A144)</f>
        <v>1</v>
      </c>
    </row>
    <row r="145" hidden="1">
      <c r="A145" s="22" t="s">
        <v>760</v>
      </c>
      <c r="B145" s="22" t="s">
        <v>761</v>
      </c>
      <c r="C145" s="306" t="s">
        <v>3959</v>
      </c>
      <c r="D145" s="22" t="s">
        <v>69</v>
      </c>
      <c r="E145" s="307">
        <v>2054.0</v>
      </c>
      <c r="F145" s="307">
        <v>42.0</v>
      </c>
      <c r="G145" s="307">
        <v>0.0</v>
      </c>
      <c r="H145" s="307">
        <v>14.0</v>
      </c>
      <c r="I145" s="307">
        <v>14.0</v>
      </c>
      <c r="J145" s="308">
        <v>0.0</v>
      </c>
      <c r="K145" s="22" t="s">
        <v>762</v>
      </c>
      <c r="L145" s="22">
        <v>5.53045124E9</v>
      </c>
      <c r="M145" s="22" t="s">
        <v>47</v>
      </c>
      <c r="N145" s="22" t="s">
        <v>48</v>
      </c>
      <c r="O145" s="22" t="s">
        <v>763</v>
      </c>
      <c r="P145" s="22" t="s">
        <v>666</v>
      </c>
      <c r="Q145" s="309">
        <f>COUNTIF('Hedef Liste'!A:A,A145)</f>
        <v>1</v>
      </c>
    </row>
    <row r="146" hidden="1">
      <c r="A146" s="22" t="s">
        <v>676</v>
      </c>
      <c r="B146" s="22" t="s">
        <v>677</v>
      </c>
      <c r="C146" s="306" t="s">
        <v>3959</v>
      </c>
      <c r="D146" s="22" t="s">
        <v>406</v>
      </c>
      <c r="E146" s="307">
        <v>1072.0</v>
      </c>
      <c r="F146" s="307">
        <v>22.0</v>
      </c>
      <c r="G146" s="307">
        <v>0.0</v>
      </c>
      <c r="H146" s="307">
        <v>31.0</v>
      </c>
      <c r="I146" s="307">
        <v>31.0</v>
      </c>
      <c r="J146" s="308">
        <v>0.0</v>
      </c>
      <c r="K146" s="22" t="s">
        <v>678</v>
      </c>
      <c r="L146" s="22">
        <v>3.522242428E9</v>
      </c>
      <c r="M146" s="22" t="s">
        <v>47</v>
      </c>
      <c r="N146" s="22" t="s">
        <v>728</v>
      </c>
      <c r="O146" s="22" t="s">
        <v>680</v>
      </c>
      <c r="P146" s="22" t="s">
        <v>666</v>
      </c>
      <c r="Q146" s="309">
        <f>COUNTIF('Hedef Liste'!A:A,A146)</f>
        <v>1</v>
      </c>
    </row>
    <row r="147" hidden="1">
      <c r="A147" s="22" t="s">
        <v>2690</v>
      </c>
      <c r="B147" s="22" t="s">
        <v>2691</v>
      </c>
      <c r="C147" s="306" t="s">
        <v>3963</v>
      </c>
      <c r="D147" s="22" t="s">
        <v>653</v>
      </c>
      <c r="E147" s="307">
        <v>62.0</v>
      </c>
      <c r="F147" s="310"/>
      <c r="G147" s="307">
        <v>0.0</v>
      </c>
      <c r="H147" s="307">
        <v>45.0</v>
      </c>
      <c r="I147" s="307">
        <v>45.0</v>
      </c>
      <c r="J147" s="308">
        <v>0.0</v>
      </c>
      <c r="K147" s="22" t="s">
        <v>2561</v>
      </c>
      <c r="L147" s="22">
        <v>3.523269326E9</v>
      </c>
      <c r="M147" s="22" t="s">
        <v>71</v>
      </c>
      <c r="N147" s="22" t="s">
        <v>787</v>
      </c>
      <c r="O147" s="22" t="s">
        <v>2692</v>
      </c>
      <c r="P147" s="22" t="s">
        <v>666</v>
      </c>
      <c r="Q147" s="309">
        <f>COUNTIF('Hedef Liste'!A:A,A147)</f>
        <v>1</v>
      </c>
    </row>
    <row r="148" hidden="1">
      <c r="A148" s="22" t="s">
        <v>1409</v>
      </c>
      <c r="B148" s="22" t="s">
        <v>1410</v>
      </c>
      <c r="C148" s="306" t="s">
        <v>3959</v>
      </c>
      <c r="D148" s="22" t="s">
        <v>100</v>
      </c>
      <c r="E148" s="307">
        <v>679.0</v>
      </c>
      <c r="F148" s="307">
        <v>7.0</v>
      </c>
      <c r="G148" s="307">
        <v>5.0</v>
      </c>
      <c r="H148" s="307">
        <v>14.0</v>
      </c>
      <c r="I148" s="307">
        <v>19.0</v>
      </c>
      <c r="J148" s="308">
        <v>0.26</v>
      </c>
      <c r="K148" s="22" t="s">
        <v>1411</v>
      </c>
      <c r="L148" s="22">
        <v>5.524500138E9</v>
      </c>
      <c r="M148" s="22" t="s">
        <v>47</v>
      </c>
      <c r="N148" s="22" t="s">
        <v>640</v>
      </c>
      <c r="O148" s="22" t="s">
        <v>1412</v>
      </c>
      <c r="P148" s="22" t="s">
        <v>666</v>
      </c>
      <c r="Q148" s="309">
        <f>COUNTIF('Hedef Liste'!A:A,A148)</f>
        <v>1</v>
      </c>
    </row>
    <row r="149" hidden="1">
      <c r="A149" s="22" t="s">
        <v>904</v>
      </c>
      <c r="B149" s="22" t="s">
        <v>4130</v>
      </c>
      <c r="C149" s="306" t="s">
        <v>3959</v>
      </c>
      <c r="D149" s="22" t="s">
        <v>69</v>
      </c>
      <c r="E149" s="307">
        <v>2904.0</v>
      </c>
      <c r="F149" s="307">
        <v>134.0</v>
      </c>
      <c r="G149" s="307">
        <v>0.0</v>
      </c>
      <c r="H149" s="307">
        <v>69.0</v>
      </c>
      <c r="I149" s="307">
        <v>69.0</v>
      </c>
      <c r="J149" s="308">
        <v>0.0</v>
      </c>
      <c r="K149" s="22" t="s">
        <v>906</v>
      </c>
      <c r="L149" s="22">
        <v>3.525048887E9</v>
      </c>
      <c r="M149" s="22" t="s">
        <v>61</v>
      </c>
      <c r="N149" s="22" t="s">
        <v>62</v>
      </c>
      <c r="O149" s="22" t="s">
        <v>4131</v>
      </c>
      <c r="P149" s="22" t="s">
        <v>666</v>
      </c>
      <c r="Q149" s="309">
        <f>COUNTIF('Hedef Liste'!A:A,A149)</f>
        <v>1</v>
      </c>
    </row>
    <row r="150" hidden="1">
      <c r="A150" s="22" t="s">
        <v>2197</v>
      </c>
      <c r="B150" s="22" t="s">
        <v>2198</v>
      </c>
      <c r="C150" s="306" t="s">
        <v>3959</v>
      </c>
      <c r="D150" s="22" t="s">
        <v>165</v>
      </c>
      <c r="E150" s="307">
        <v>2608.0</v>
      </c>
      <c r="F150" s="307">
        <v>85.0</v>
      </c>
      <c r="G150" s="307">
        <v>11.0</v>
      </c>
      <c r="H150" s="307">
        <v>9.0</v>
      </c>
      <c r="I150" s="307">
        <v>20.0</v>
      </c>
      <c r="J150" s="308">
        <v>0.55</v>
      </c>
      <c r="K150" s="22" t="s">
        <v>2200</v>
      </c>
      <c r="L150" s="22">
        <v>5.061401513E9</v>
      </c>
      <c r="M150" s="22" t="s">
        <v>47</v>
      </c>
      <c r="N150" s="22" t="s">
        <v>48</v>
      </c>
      <c r="O150" s="22" t="s">
        <v>2201</v>
      </c>
      <c r="P150" s="22" t="s">
        <v>666</v>
      </c>
      <c r="Q150" s="309">
        <f>COUNTIF('Hedef Liste'!A:A,A150)</f>
        <v>1</v>
      </c>
    </row>
    <row r="151" hidden="1">
      <c r="A151" s="22" t="s">
        <v>2442</v>
      </c>
      <c r="B151" s="22" t="s">
        <v>2443</v>
      </c>
      <c r="C151" s="306" t="s">
        <v>3959</v>
      </c>
      <c r="D151" s="22" t="s">
        <v>100</v>
      </c>
      <c r="E151" s="307">
        <v>3045.0</v>
      </c>
      <c r="F151" s="307">
        <v>138.0</v>
      </c>
      <c r="G151" s="307">
        <v>0.0</v>
      </c>
      <c r="H151" s="307">
        <v>22.0</v>
      </c>
      <c r="I151" s="307">
        <v>22.0</v>
      </c>
      <c r="J151" s="308">
        <v>0.0</v>
      </c>
      <c r="K151" s="22" t="s">
        <v>2444</v>
      </c>
      <c r="L151" s="22">
        <v>3.525038988E9</v>
      </c>
      <c r="M151" s="22" t="s">
        <v>61</v>
      </c>
      <c r="N151" s="22" t="s">
        <v>62</v>
      </c>
      <c r="O151" s="22" t="s">
        <v>2445</v>
      </c>
      <c r="P151" s="22" t="s">
        <v>666</v>
      </c>
      <c r="Q151" s="309">
        <f>COUNTIF('Hedef Liste'!A:A,A151)</f>
        <v>1</v>
      </c>
    </row>
    <row r="152" hidden="1">
      <c r="A152" s="22" t="s">
        <v>1465</v>
      </c>
      <c r="B152" s="22" t="s">
        <v>1466</v>
      </c>
      <c r="C152" s="306" t="s">
        <v>3959</v>
      </c>
      <c r="D152" s="22" t="s">
        <v>100</v>
      </c>
      <c r="E152" s="307">
        <v>4389.0</v>
      </c>
      <c r="F152" s="307">
        <v>54.0</v>
      </c>
      <c r="G152" s="307">
        <v>4.0</v>
      </c>
      <c r="H152" s="307">
        <v>17.0</v>
      </c>
      <c r="I152" s="307">
        <v>21.0</v>
      </c>
      <c r="J152" s="308">
        <v>0.19</v>
      </c>
      <c r="K152" s="22" t="s">
        <v>1467</v>
      </c>
      <c r="L152" s="22">
        <v>5.418563438E9</v>
      </c>
      <c r="M152" s="22" t="s">
        <v>61</v>
      </c>
      <c r="N152" s="22" t="s">
        <v>62</v>
      </c>
      <c r="O152" s="22" t="s">
        <v>1468</v>
      </c>
      <c r="P152" s="22" t="s">
        <v>666</v>
      </c>
      <c r="Q152" s="309">
        <f>COUNTIF('Hedef Liste'!A:A,A152)</f>
        <v>1</v>
      </c>
    </row>
    <row r="153" hidden="1">
      <c r="A153" s="22" t="s">
        <v>484</v>
      </c>
      <c r="B153" s="22" t="s">
        <v>485</v>
      </c>
      <c r="C153" s="306" t="s">
        <v>3959</v>
      </c>
      <c r="D153" s="22" t="s">
        <v>69</v>
      </c>
      <c r="E153" s="307">
        <v>997.0</v>
      </c>
      <c r="F153" s="307">
        <v>65.0</v>
      </c>
      <c r="G153" s="307">
        <v>14.0</v>
      </c>
      <c r="H153" s="307">
        <v>54.0</v>
      </c>
      <c r="I153" s="307">
        <v>68.0</v>
      </c>
      <c r="J153" s="308">
        <v>0.21</v>
      </c>
      <c r="K153" s="22" t="s">
        <v>486</v>
      </c>
      <c r="L153" s="22">
        <v>3.523323221E9</v>
      </c>
      <c r="M153" s="22" t="s">
        <v>47</v>
      </c>
      <c r="N153" s="22" t="s">
        <v>448</v>
      </c>
      <c r="O153" s="22" t="s">
        <v>487</v>
      </c>
      <c r="P153" s="22" t="s">
        <v>666</v>
      </c>
      <c r="Q153" s="309">
        <f>COUNTIF('Hedef Liste'!A:A,A153)</f>
        <v>1</v>
      </c>
    </row>
    <row r="154" hidden="1">
      <c r="A154" s="22" t="s">
        <v>2554</v>
      </c>
      <c r="B154" s="22" t="s">
        <v>2555</v>
      </c>
      <c r="C154" s="306" t="s">
        <v>3959</v>
      </c>
      <c r="D154" s="22" t="s">
        <v>45</v>
      </c>
      <c r="E154" s="307">
        <v>3113.0</v>
      </c>
      <c r="F154" s="307">
        <v>251.0</v>
      </c>
      <c r="G154" s="307">
        <v>0.0</v>
      </c>
      <c r="H154" s="307">
        <v>18.0</v>
      </c>
      <c r="I154" s="307">
        <v>18.0</v>
      </c>
      <c r="J154" s="308">
        <v>0.0</v>
      </c>
      <c r="K154" s="22" t="s">
        <v>2556</v>
      </c>
      <c r="L154" s="22">
        <v>3.52431144E9</v>
      </c>
      <c r="M154" s="22" t="s">
        <v>61</v>
      </c>
      <c r="N154" s="22" t="s">
        <v>62</v>
      </c>
      <c r="O154" s="22" t="s">
        <v>2557</v>
      </c>
      <c r="P154" s="22" t="s">
        <v>666</v>
      </c>
      <c r="Q154" s="309">
        <f>COUNTIF('Hedef Liste'!A:A,A154)</f>
        <v>1</v>
      </c>
    </row>
    <row r="155" hidden="1">
      <c r="A155" s="22" t="s">
        <v>1491</v>
      </c>
      <c r="B155" s="22" t="s">
        <v>1492</v>
      </c>
      <c r="C155" s="306" t="s">
        <v>3959</v>
      </c>
      <c r="D155" s="22" t="s">
        <v>59</v>
      </c>
      <c r="E155" s="307">
        <v>676.0</v>
      </c>
      <c r="F155" s="307">
        <v>7.0</v>
      </c>
      <c r="G155" s="307">
        <v>0.0</v>
      </c>
      <c r="H155" s="307">
        <v>16.0</v>
      </c>
      <c r="I155" s="307">
        <v>16.0</v>
      </c>
      <c r="J155" s="308">
        <v>0.0</v>
      </c>
      <c r="K155" s="22" t="s">
        <v>1493</v>
      </c>
      <c r="L155" s="22">
        <v>5.533629482E9</v>
      </c>
      <c r="M155" s="22" t="s">
        <v>71</v>
      </c>
      <c r="N155" s="22" t="s">
        <v>214</v>
      </c>
      <c r="O155" s="22" t="s">
        <v>1495</v>
      </c>
      <c r="P155" s="22" t="s">
        <v>666</v>
      </c>
      <c r="Q155" s="309">
        <f>COUNTIF('Hedef Liste'!A:A,A155)</f>
        <v>1</v>
      </c>
    </row>
    <row r="156" hidden="1">
      <c r="A156" s="22" t="s">
        <v>2126</v>
      </c>
      <c r="B156" s="22" t="s">
        <v>2127</v>
      </c>
      <c r="C156" s="306" t="s">
        <v>3959</v>
      </c>
      <c r="D156" s="22" t="s">
        <v>406</v>
      </c>
      <c r="E156" s="307">
        <v>988.0</v>
      </c>
      <c r="F156" s="310"/>
      <c r="G156" s="307">
        <v>0.0</v>
      </c>
      <c r="H156" s="307">
        <v>12.0</v>
      </c>
      <c r="I156" s="307">
        <v>12.0</v>
      </c>
      <c r="J156" s="308">
        <v>0.0</v>
      </c>
      <c r="K156" s="22" t="s">
        <v>2128</v>
      </c>
      <c r="L156" s="22">
        <v>5.52721752E9</v>
      </c>
      <c r="M156" s="22" t="s">
        <v>47</v>
      </c>
      <c r="N156" s="22" t="s">
        <v>884</v>
      </c>
      <c r="O156" s="22" t="s">
        <v>2129</v>
      </c>
      <c r="P156" s="22" t="s">
        <v>666</v>
      </c>
      <c r="Q156" s="309">
        <f>COUNTIF('Hedef Liste'!A:A,A156)</f>
        <v>1</v>
      </c>
    </row>
    <row r="157" hidden="1">
      <c r="A157" s="22" t="s">
        <v>2789</v>
      </c>
      <c r="B157" s="22" t="s">
        <v>2790</v>
      </c>
      <c r="C157" s="306" t="s">
        <v>3963</v>
      </c>
      <c r="D157" s="22" t="s">
        <v>2791</v>
      </c>
      <c r="E157" s="307">
        <v>58.0</v>
      </c>
      <c r="F157" s="310"/>
      <c r="G157" s="307">
        <v>41.0</v>
      </c>
      <c r="H157" s="307">
        <v>20.0</v>
      </c>
      <c r="I157" s="307">
        <v>61.0</v>
      </c>
      <c r="J157" s="308">
        <v>0.67</v>
      </c>
      <c r="K157" s="22" t="s">
        <v>2792</v>
      </c>
      <c r="L157" s="22">
        <v>5.360340696E9</v>
      </c>
      <c r="M157" s="22" t="s">
        <v>47</v>
      </c>
      <c r="N157" s="22" t="s">
        <v>48</v>
      </c>
      <c r="O157" s="22" t="s">
        <v>2793</v>
      </c>
      <c r="P157" s="22" t="s">
        <v>666</v>
      </c>
      <c r="Q157" s="309">
        <f>COUNTIF('Hedef Liste'!A:A,A157)</f>
        <v>1</v>
      </c>
    </row>
    <row r="158" hidden="1">
      <c r="A158" s="22" t="s">
        <v>1740</v>
      </c>
      <c r="B158" s="22" t="s">
        <v>1741</v>
      </c>
      <c r="C158" s="306" t="s">
        <v>3959</v>
      </c>
      <c r="D158" s="22" t="s">
        <v>69</v>
      </c>
      <c r="E158" s="307">
        <v>85.0</v>
      </c>
      <c r="F158" s="307">
        <v>13.0</v>
      </c>
      <c r="G158" s="307">
        <v>4.0</v>
      </c>
      <c r="H158" s="307">
        <v>7.0</v>
      </c>
      <c r="I158" s="307">
        <v>11.0</v>
      </c>
      <c r="J158" s="308">
        <v>0.36</v>
      </c>
      <c r="K158" s="22" t="s">
        <v>1742</v>
      </c>
      <c r="L158" s="22">
        <v>5.383447468E9</v>
      </c>
      <c r="M158" s="22" t="s">
        <v>47</v>
      </c>
      <c r="N158" s="22" t="s">
        <v>48</v>
      </c>
      <c r="O158" s="22" t="s">
        <v>1743</v>
      </c>
      <c r="P158" s="22" t="s">
        <v>666</v>
      </c>
      <c r="Q158" s="309">
        <f>COUNTIF('Hedef Liste'!A:A,A158)</f>
        <v>1</v>
      </c>
    </row>
    <row r="159" hidden="1">
      <c r="A159" s="22" t="s">
        <v>681</v>
      </c>
      <c r="B159" s="22" t="s">
        <v>682</v>
      </c>
      <c r="C159" s="306" t="s">
        <v>3959</v>
      </c>
      <c r="D159" s="22" t="s">
        <v>91</v>
      </c>
      <c r="E159" s="307">
        <v>697.0</v>
      </c>
      <c r="F159" s="310"/>
      <c r="G159" s="307">
        <v>8.0</v>
      </c>
      <c r="H159" s="307">
        <v>33.0</v>
      </c>
      <c r="I159" s="307">
        <v>41.0</v>
      </c>
      <c r="J159" s="308">
        <v>0.2</v>
      </c>
      <c r="K159" s="22" t="s">
        <v>683</v>
      </c>
      <c r="L159" s="22">
        <v>3.522200909E9</v>
      </c>
      <c r="M159" s="22" t="s">
        <v>71</v>
      </c>
      <c r="N159" s="22" t="s">
        <v>102</v>
      </c>
      <c r="O159" s="22" t="s">
        <v>685</v>
      </c>
      <c r="P159" s="22" t="s">
        <v>666</v>
      </c>
      <c r="Q159" s="309">
        <f>COUNTIF('Hedef Liste'!A:A,A159)</f>
        <v>1</v>
      </c>
    </row>
    <row r="160" hidden="1">
      <c r="A160" s="22" t="s">
        <v>1423</v>
      </c>
      <c r="B160" s="22" t="s">
        <v>1424</v>
      </c>
      <c r="C160" s="306" t="s">
        <v>3959</v>
      </c>
      <c r="D160" s="22" t="s">
        <v>100</v>
      </c>
      <c r="E160" s="307">
        <v>2532.0</v>
      </c>
      <c r="F160" s="307">
        <v>19.0</v>
      </c>
      <c r="G160" s="307">
        <v>0.0</v>
      </c>
      <c r="H160" s="307">
        <v>11.0</v>
      </c>
      <c r="I160" s="307">
        <v>11.0</v>
      </c>
      <c r="J160" s="308">
        <v>0.0</v>
      </c>
      <c r="K160" s="22" t="s">
        <v>1425</v>
      </c>
      <c r="L160" s="22">
        <v>3.525047273E9</v>
      </c>
      <c r="M160" s="22" t="s">
        <v>47</v>
      </c>
      <c r="N160" s="22" t="s">
        <v>1426</v>
      </c>
      <c r="O160" s="22" t="s">
        <v>1427</v>
      </c>
      <c r="P160" s="22" t="s">
        <v>666</v>
      </c>
      <c r="Q160" s="309">
        <f>COUNTIF('Hedef Liste'!A:A,A160)</f>
        <v>1</v>
      </c>
    </row>
    <row r="161" hidden="1">
      <c r="A161" s="22" t="s">
        <v>2729</v>
      </c>
      <c r="B161" s="22" t="s">
        <v>2730</v>
      </c>
      <c r="C161" s="306" t="s">
        <v>3959</v>
      </c>
      <c r="D161" s="22" t="s">
        <v>59</v>
      </c>
      <c r="E161" s="307">
        <v>3165.0</v>
      </c>
      <c r="F161" s="307">
        <v>23.0</v>
      </c>
      <c r="G161" s="307">
        <v>0.0</v>
      </c>
      <c r="H161" s="307">
        <v>37.0</v>
      </c>
      <c r="I161" s="307">
        <v>37.0</v>
      </c>
      <c r="J161" s="308">
        <v>0.0</v>
      </c>
      <c r="K161" s="22" t="s">
        <v>2731</v>
      </c>
      <c r="L161" s="22">
        <v>3.523311177E9</v>
      </c>
      <c r="M161" s="22" t="s">
        <v>47</v>
      </c>
      <c r="N161" s="22" t="s">
        <v>277</v>
      </c>
      <c r="O161" s="22" t="s">
        <v>2732</v>
      </c>
      <c r="P161" s="22" t="s">
        <v>666</v>
      </c>
      <c r="Q161" s="309">
        <f>COUNTIF('Hedef Liste'!A:A,A161)</f>
        <v>1</v>
      </c>
    </row>
    <row r="162" hidden="1">
      <c r="A162" s="22" t="s">
        <v>2307</v>
      </c>
      <c r="B162" s="22" t="s">
        <v>2308</v>
      </c>
      <c r="C162" s="306" t="s">
        <v>3959</v>
      </c>
      <c r="D162" s="22" t="s">
        <v>172</v>
      </c>
      <c r="E162" s="307">
        <v>4195.0</v>
      </c>
      <c r="F162" s="307">
        <v>64.0</v>
      </c>
      <c r="G162" s="307">
        <v>0.0</v>
      </c>
      <c r="H162" s="307">
        <v>50.0</v>
      </c>
      <c r="I162" s="307">
        <v>50.0</v>
      </c>
      <c r="J162" s="308">
        <v>0.0</v>
      </c>
      <c r="K162" s="22" t="s">
        <v>2309</v>
      </c>
      <c r="L162" s="22">
        <v>3.525033886E9</v>
      </c>
      <c r="M162" s="22" t="s">
        <v>61</v>
      </c>
      <c r="N162" s="22" t="s">
        <v>62</v>
      </c>
      <c r="O162" s="22" t="s">
        <v>2310</v>
      </c>
      <c r="P162" s="22" t="s">
        <v>666</v>
      </c>
      <c r="Q162" s="309">
        <f>COUNTIF('Hedef Liste'!A:A,A162)</f>
        <v>1</v>
      </c>
    </row>
    <row r="163" hidden="1">
      <c r="A163" s="22" t="s">
        <v>623</v>
      </c>
      <c r="B163" s="22" t="s">
        <v>624</v>
      </c>
      <c r="C163" s="306" t="s">
        <v>3959</v>
      </c>
      <c r="D163" s="22" t="s">
        <v>100</v>
      </c>
      <c r="E163" s="307">
        <v>3692.0</v>
      </c>
      <c r="F163" s="307">
        <v>171.0</v>
      </c>
      <c r="G163" s="307">
        <v>37.0</v>
      </c>
      <c r="H163" s="307">
        <v>21.0</v>
      </c>
      <c r="I163" s="307">
        <v>58.0</v>
      </c>
      <c r="J163" s="308">
        <v>0.64</v>
      </c>
      <c r="K163" s="22" t="s">
        <v>625</v>
      </c>
      <c r="L163" s="22">
        <v>5.5265243E9</v>
      </c>
      <c r="M163" s="22" t="s">
        <v>71</v>
      </c>
      <c r="N163" s="22" t="s">
        <v>224</v>
      </c>
      <c r="O163" s="22" t="s">
        <v>626</v>
      </c>
      <c r="P163" s="22" t="s">
        <v>666</v>
      </c>
      <c r="Q163" s="309">
        <f>COUNTIF('Hedef Liste'!A:A,A163)</f>
        <v>1</v>
      </c>
    </row>
    <row r="164" hidden="1">
      <c r="A164" s="22" t="s">
        <v>4132</v>
      </c>
      <c r="B164" s="22" t="s">
        <v>4133</v>
      </c>
      <c r="C164" s="306" t="s">
        <v>3959</v>
      </c>
      <c r="D164" s="22" t="s">
        <v>100</v>
      </c>
      <c r="E164" s="307">
        <v>1181.0</v>
      </c>
      <c r="F164" s="307">
        <v>27.0</v>
      </c>
      <c r="G164" s="307">
        <v>118.0</v>
      </c>
      <c r="H164" s="307">
        <v>10.0</v>
      </c>
      <c r="I164" s="307">
        <v>128.0</v>
      </c>
      <c r="J164" s="308">
        <v>0.92</v>
      </c>
      <c r="K164" s="22" t="s">
        <v>3967</v>
      </c>
      <c r="L164" s="22">
        <v>5.345130096E9</v>
      </c>
      <c r="M164" s="22" t="s">
        <v>47</v>
      </c>
      <c r="N164" s="22" t="s">
        <v>125</v>
      </c>
      <c r="O164" s="22" t="s">
        <v>4134</v>
      </c>
      <c r="P164" s="22" t="s">
        <v>3962</v>
      </c>
      <c r="Q164" s="309">
        <f>COUNTIF('Hedef Liste'!A:A,A164)</f>
        <v>0</v>
      </c>
    </row>
    <row r="165" hidden="1">
      <c r="A165" s="22" t="s">
        <v>1357</v>
      </c>
      <c r="B165" s="22" t="s">
        <v>1358</v>
      </c>
      <c r="C165" s="306" t="s">
        <v>3959</v>
      </c>
      <c r="D165" s="22" t="s">
        <v>172</v>
      </c>
      <c r="E165" s="307">
        <v>2075.0</v>
      </c>
      <c r="F165" s="310"/>
      <c r="G165" s="307">
        <v>14.0</v>
      </c>
      <c r="H165" s="307">
        <v>1.0</v>
      </c>
      <c r="I165" s="307">
        <v>15.0</v>
      </c>
      <c r="J165" s="308">
        <v>0.93</v>
      </c>
      <c r="K165" s="22" t="s">
        <v>1359</v>
      </c>
      <c r="L165" s="22">
        <v>3.524310505E9</v>
      </c>
      <c r="M165" s="22" t="s">
        <v>61</v>
      </c>
      <c r="N165" s="22" t="s">
        <v>62</v>
      </c>
      <c r="O165" s="22" t="s">
        <v>1360</v>
      </c>
      <c r="P165" s="22" t="s">
        <v>666</v>
      </c>
      <c r="Q165" s="309">
        <f>COUNTIF('Hedef Liste'!A:A,A165)</f>
        <v>1</v>
      </c>
    </row>
    <row r="166" hidden="1">
      <c r="A166" s="22" t="s">
        <v>57</v>
      </c>
      <c r="B166" s="22" t="s">
        <v>58</v>
      </c>
      <c r="C166" s="306" t="s">
        <v>3963</v>
      </c>
      <c r="D166" s="22" t="s">
        <v>59</v>
      </c>
      <c r="E166" s="307">
        <v>919.0</v>
      </c>
      <c r="F166" s="310"/>
      <c r="G166" s="307">
        <v>0.0</v>
      </c>
      <c r="H166" s="307">
        <v>11.0</v>
      </c>
      <c r="I166" s="307">
        <v>11.0</v>
      </c>
      <c r="J166" s="308">
        <v>0.0</v>
      </c>
      <c r="K166" s="22" t="s">
        <v>60</v>
      </c>
      <c r="L166" s="22">
        <v>3.525045202E9</v>
      </c>
      <c r="M166" s="22" t="s">
        <v>61</v>
      </c>
      <c r="N166" s="22" t="s">
        <v>4135</v>
      </c>
      <c r="O166" s="22" t="s">
        <v>63</v>
      </c>
      <c r="P166" s="22" t="s">
        <v>666</v>
      </c>
      <c r="Q166" s="309">
        <f>COUNTIF('Hedef Liste'!A:A,A166)</f>
        <v>1</v>
      </c>
    </row>
    <row r="167" hidden="1">
      <c r="A167" s="22" t="s">
        <v>227</v>
      </c>
      <c r="B167" s="22" t="s">
        <v>228</v>
      </c>
      <c r="C167" s="306" t="s">
        <v>3959</v>
      </c>
      <c r="D167" s="22" t="s">
        <v>100</v>
      </c>
      <c r="E167" s="307">
        <v>283.0</v>
      </c>
      <c r="F167" s="307">
        <v>4.0</v>
      </c>
      <c r="G167" s="307">
        <v>0.0</v>
      </c>
      <c r="H167" s="307">
        <v>9.0</v>
      </c>
      <c r="I167" s="307">
        <v>9.0</v>
      </c>
      <c r="J167" s="308">
        <v>0.0</v>
      </c>
      <c r="K167" s="22" t="s">
        <v>229</v>
      </c>
      <c r="L167" s="22">
        <v>3.523380233E9</v>
      </c>
      <c r="M167" s="22" t="s">
        <v>71</v>
      </c>
      <c r="N167" s="22" t="s">
        <v>230</v>
      </c>
      <c r="O167" s="22" t="s">
        <v>231</v>
      </c>
      <c r="P167" s="22" t="s">
        <v>666</v>
      </c>
      <c r="Q167" s="309">
        <f>COUNTIF('Hedef Liste'!A:A,A167)</f>
        <v>1</v>
      </c>
    </row>
    <row r="168" hidden="1">
      <c r="A168" s="22" t="s">
        <v>4136</v>
      </c>
      <c r="B168" s="22" t="s">
        <v>4137</v>
      </c>
      <c r="C168" s="306" t="s">
        <v>3959</v>
      </c>
      <c r="D168" s="22" t="s">
        <v>69</v>
      </c>
      <c r="E168" s="307">
        <v>4533.0</v>
      </c>
      <c r="F168" s="307">
        <v>189.0</v>
      </c>
      <c r="G168" s="307">
        <v>17.0</v>
      </c>
      <c r="H168" s="307">
        <v>39.0</v>
      </c>
      <c r="I168" s="307">
        <v>56.0</v>
      </c>
      <c r="J168" s="308">
        <v>0.3</v>
      </c>
      <c r="K168" s="22" t="s">
        <v>4138</v>
      </c>
      <c r="L168" s="22">
        <v>5.377664613E9</v>
      </c>
      <c r="M168" s="22" t="s">
        <v>61</v>
      </c>
      <c r="N168" s="22" t="s">
        <v>62</v>
      </c>
      <c r="O168" s="22" t="s">
        <v>4139</v>
      </c>
      <c r="P168" s="22" t="s">
        <v>666</v>
      </c>
      <c r="Q168" s="309">
        <f>COUNTIF('Hedef Liste'!A:A,A168)</f>
        <v>0</v>
      </c>
    </row>
    <row r="169" hidden="1">
      <c r="A169" s="22" t="s">
        <v>533</v>
      </c>
      <c r="B169" s="22" t="s">
        <v>534</v>
      </c>
      <c r="C169" s="306" t="s">
        <v>3959</v>
      </c>
      <c r="D169" s="22" t="s">
        <v>165</v>
      </c>
      <c r="E169" s="307">
        <v>1822.0</v>
      </c>
      <c r="F169" s="307">
        <v>39.0</v>
      </c>
      <c r="G169" s="307">
        <v>0.0</v>
      </c>
      <c r="H169" s="307">
        <v>6.0</v>
      </c>
      <c r="I169" s="307">
        <v>6.0</v>
      </c>
      <c r="J169" s="308">
        <v>0.0</v>
      </c>
      <c r="K169" s="22" t="s">
        <v>535</v>
      </c>
      <c r="L169" s="22">
        <v>3.5223344E9</v>
      </c>
      <c r="M169" s="22" t="s">
        <v>47</v>
      </c>
      <c r="N169" s="22" t="s">
        <v>536</v>
      </c>
      <c r="O169" s="22" t="s">
        <v>537</v>
      </c>
      <c r="P169" s="22" t="s">
        <v>666</v>
      </c>
      <c r="Q169" s="309">
        <f>COUNTIF('Hedef Liste'!A:A,A169)</f>
        <v>1</v>
      </c>
    </row>
    <row r="170" hidden="1">
      <c r="A170" s="22" t="s">
        <v>4140</v>
      </c>
      <c r="B170" s="22" t="s">
        <v>4141</v>
      </c>
      <c r="C170" s="306" t="s">
        <v>3959</v>
      </c>
      <c r="D170" s="22" t="s">
        <v>100</v>
      </c>
      <c r="E170" s="307">
        <v>755.0</v>
      </c>
      <c r="F170" s="307">
        <v>46.0</v>
      </c>
      <c r="G170" s="307">
        <v>50.0</v>
      </c>
      <c r="H170" s="307">
        <v>6.0</v>
      </c>
      <c r="I170" s="307">
        <v>56.0</v>
      </c>
      <c r="J170" s="308">
        <v>0.89</v>
      </c>
      <c r="K170" s="22" t="s">
        <v>3967</v>
      </c>
      <c r="L170" s="22">
        <v>5.546694359E9</v>
      </c>
      <c r="M170" s="22" t="s">
        <v>71</v>
      </c>
      <c r="N170" s="22" t="s">
        <v>4142</v>
      </c>
      <c r="O170" s="22" t="s">
        <v>4143</v>
      </c>
      <c r="P170" s="22" t="s">
        <v>3962</v>
      </c>
      <c r="Q170" s="309">
        <f>COUNTIF('Hedef Liste'!A:A,A170)</f>
        <v>0</v>
      </c>
    </row>
    <row r="171" hidden="1">
      <c r="A171" s="22" t="s">
        <v>804</v>
      </c>
      <c r="B171" s="22" t="s">
        <v>4144</v>
      </c>
      <c r="C171" s="306" t="s">
        <v>3959</v>
      </c>
      <c r="D171" s="22" t="s">
        <v>653</v>
      </c>
      <c r="E171" s="307">
        <v>1944.0</v>
      </c>
      <c r="F171" s="307">
        <v>40.0</v>
      </c>
      <c r="G171" s="307">
        <v>24.0</v>
      </c>
      <c r="H171" s="307">
        <v>32.0</v>
      </c>
      <c r="I171" s="307">
        <v>56.0</v>
      </c>
      <c r="J171" s="308">
        <v>0.43</v>
      </c>
      <c r="K171" s="22" t="s">
        <v>806</v>
      </c>
      <c r="L171" s="22">
        <v>3.52738018E9</v>
      </c>
      <c r="M171" s="22" t="s">
        <v>47</v>
      </c>
      <c r="N171" s="22" t="s">
        <v>271</v>
      </c>
      <c r="O171" s="22" t="s">
        <v>807</v>
      </c>
      <c r="P171" s="22" t="s">
        <v>666</v>
      </c>
      <c r="Q171" s="309">
        <f>COUNTIF('Hedef Liste'!A:A,A171)</f>
        <v>1</v>
      </c>
    </row>
    <row r="172" hidden="1">
      <c r="A172" s="22" t="s">
        <v>4145</v>
      </c>
      <c r="B172" s="22" t="s">
        <v>4146</v>
      </c>
      <c r="C172" s="306" t="s">
        <v>3959</v>
      </c>
      <c r="D172" s="22" t="s">
        <v>100</v>
      </c>
      <c r="E172" s="307">
        <v>541.0</v>
      </c>
      <c r="F172" s="307">
        <v>28.0</v>
      </c>
      <c r="G172" s="307">
        <v>63.0</v>
      </c>
      <c r="H172" s="307">
        <v>5.0</v>
      </c>
      <c r="I172" s="307">
        <v>68.0</v>
      </c>
      <c r="J172" s="308">
        <v>0.93</v>
      </c>
      <c r="K172" s="22" t="s">
        <v>3967</v>
      </c>
      <c r="L172" s="22">
        <v>5.322021615E9</v>
      </c>
      <c r="M172" s="22" t="s">
        <v>47</v>
      </c>
      <c r="N172" s="22" t="s">
        <v>1552</v>
      </c>
      <c r="O172" s="22" t="s">
        <v>4147</v>
      </c>
      <c r="P172" s="22" t="s">
        <v>3962</v>
      </c>
      <c r="Q172" s="309">
        <f>COUNTIF('Hedef Liste'!A:A,A172)</f>
        <v>0</v>
      </c>
    </row>
    <row r="173" hidden="1">
      <c r="A173" s="22" t="s">
        <v>712</v>
      </c>
      <c r="B173" s="22" t="s">
        <v>713</v>
      </c>
      <c r="C173" s="306" t="s">
        <v>3959</v>
      </c>
      <c r="D173" s="22" t="s">
        <v>165</v>
      </c>
      <c r="E173" s="307">
        <v>444.0</v>
      </c>
      <c r="F173" s="310"/>
      <c r="G173" s="307">
        <v>12.0</v>
      </c>
      <c r="H173" s="307">
        <v>23.0</v>
      </c>
      <c r="I173" s="307">
        <v>35.0</v>
      </c>
      <c r="J173" s="308">
        <v>0.34</v>
      </c>
      <c r="K173" s="22" t="s">
        <v>714</v>
      </c>
      <c r="L173" s="22">
        <v>3.522206166E9</v>
      </c>
      <c r="M173" s="22" t="s">
        <v>47</v>
      </c>
      <c r="N173" s="22" t="s">
        <v>391</v>
      </c>
      <c r="O173" s="22" t="s">
        <v>715</v>
      </c>
      <c r="P173" s="22" t="s">
        <v>666</v>
      </c>
      <c r="Q173" s="309">
        <f>COUNTIF('Hedef Liste'!A:A,A173)</f>
        <v>1</v>
      </c>
    </row>
    <row r="174" hidden="1">
      <c r="A174" s="22" t="s">
        <v>2509</v>
      </c>
      <c r="B174" s="22" t="s">
        <v>2510</v>
      </c>
      <c r="C174" s="306" t="s">
        <v>3959</v>
      </c>
      <c r="D174" s="22" t="s">
        <v>83</v>
      </c>
      <c r="E174" s="307">
        <v>733.0</v>
      </c>
      <c r="F174" s="307">
        <v>17.0</v>
      </c>
      <c r="G174" s="307">
        <v>0.0</v>
      </c>
      <c r="H174" s="307">
        <v>30.0</v>
      </c>
      <c r="I174" s="307">
        <v>30.0</v>
      </c>
      <c r="J174" s="308">
        <v>0.0</v>
      </c>
      <c r="K174" s="22" t="s">
        <v>270</v>
      </c>
      <c r="L174" s="22">
        <v>5.300651695E9</v>
      </c>
      <c r="M174" s="22" t="s">
        <v>47</v>
      </c>
      <c r="N174" s="22" t="s">
        <v>271</v>
      </c>
      <c r="O174" s="22" t="s">
        <v>2511</v>
      </c>
      <c r="P174" s="22" t="s">
        <v>666</v>
      </c>
      <c r="Q174" s="309">
        <f>COUNTIF('Hedef Liste'!A:A,A174)</f>
        <v>1</v>
      </c>
    </row>
    <row r="175" hidden="1">
      <c r="A175" s="22" t="s">
        <v>4148</v>
      </c>
      <c r="B175" s="22" t="s">
        <v>4149</v>
      </c>
      <c r="C175" s="306" t="s">
        <v>3959</v>
      </c>
      <c r="D175" s="22" t="s">
        <v>653</v>
      </c>
      <c r="E175" s="307">
        <v>4466.0</v>
      </c>
      <c r="F175" s="307">
        <v>85.0</v>
      </c>
      <c r="G175" s="307">
        <v>114.0</v>
      </c>
      <c r="H175" s="307">
        <v>0.0</v>
      </c>
      <c r="I175" s="307">
        <v>114.0</v>
      </c>
      <c r="J175" s="308">
        <v>1.0</v>
      </c>
      <c r="K175" s="22" t="s">
        <v>4150</v>
      </c>
      <c r="L175" s="22">
        <v>9.999999999E9</v>
      </c>
      <c r="M175" s="22" t="s">
        <v>71</v>
      </c>
      <c r="N175" s="22" t="s">
        <v>787</v>
      </c>
      <c r="O175" s="22" t="s">
        <v>4151</v>
      </c>
      <c r="P175" s="22" t="s">
        <v>3962</v>
      </c>
      <c r="Q175" s="309">
        <f>COUNTIF('Hedef Liste'!A:A,A175)</f>
        <v>0</v>
      </c>
    </row>
    <row r="176" hidden="1">
      <c r="A176" s="22" t="s">
        <v>4152</v>
      </c>
      <c r="B176" s="22" t="s">
        <v>4153</v>
      </c>
      <c r="C176" s="306" t="s">
        <v>3959</v>
      </c>
      <c r="D176" s="22" t="s">
        <v>653</v>
      </c>
      <c r="E176" s="307">
        <v>7228.0</v>
      </c>
      <c r="F176" s="307">
        <v>115.0</v>
      </c>
      <c r="G176" s="307">
        <v>115.0</v>
      </c>
      <c r="H176" s="307">
        <v>0.0</v>
      </c>
      <c r="I176" s="307">
        <v>115.0</v>
      </c>
      <c r="J176" s="308">
        <v>1.0</v>
      </c>
      <c r="K176" s="22" t="s">
        <v>4150</v>
      </c>
      <c r="L176" s="22">
        <v>9.999999999E9</v>
      </c>
      <c r="M176" s="22" t="s">
        <v>47</v>
      </c>
      <c r="N176" s="22" t="s">
        <v>271</v>
      </c>
      <c r="O176" s="22" t="s">
        <v>4154</v>
      </c>
      <c r="P176" s="22" t="s">
        <v>3962</v>
      </c>
      <c r="Q176" s="309">
        <f>COUNTIF('Hedef Liste'!A:A,A176)</f>
        <v>0</v>
      </c>
    </row>
    <row r="177" hidden="1">
      <c r="A177" s="22" t="s">
        <v>4155</v>
      </c>
      <c r="B177" s="22" t="s">
        <v>4156</v>
      </c>
      <c r="C177" s="306" t="s">
        <v>3959</v>
      </c>
      <c r="D177" s="22" t="s">
        <v>653</v>
      </c>
      <c r="E177" s="307">
        <v>5785.0</v>
      </c>
      <c r="F177" s="307">
        <v>131.0</v>
      </c>
      <c r="G177" s="307">
        <v>113.0</v>
      </c>
      <c r="H177" s="307">
        <v>0.0</v>
      </c>
      <c r="I177" s="307">
        <v>113.0</v>
      </c>
      <c r="J177" s="308">
        <v>1.0</v>
      </c>
      <c r="K177" s="22" t="s">
        <v>4150</v>
      </c>
      <c r="L177" s="22">
        <v>9.999999999E9</v>
      </c>
      <c r="M177" s="22" t="s">
        <v>47</v>
      </c>
      <c r="N177" s="22" t="s">
        <v>125</v>
      </c>
      <c r="O177" s="22" t="s">
        <v>4157</v>
      </c>
      <c r="P177" s="22" t="s">
        <v>3962</v>
      </c>
      <c r="Q177" s="309">
        <f>COUNTIF('Hedef Liste'!A:A,A177)</f>
        <v>0</v>
      </c>
    </row>
    <row r="178" hidden="1">
      <c r="A178" s="22" t="s">
        <v>4158</v>
      </c>
      <c r="B178" s="22" t="s">
        <v>4159</v>
      </c>
      <c r="C178" s="306" t="s">
        <v>3959</v>
      </c>
      <c r="D178" s="22" t="s">
        <v>45</v>
      </c>
      <c r="E178" s="307">
        <v>30856.0</v>
      </c>
      <c r="F178" s="307">
        <v>922.0</v>
      </c>
      <c r="G178" s="307">
        <v>164.0</v>
      </c>
      <c r="H178" s="307">
        <v>0.0</v>
      </c>
      <c r="I178" s="307">
        <v>164.0</v>
      </c>
      <c r="J178" s="308">
        <v>1.0</v>
      </c>
      <c r="K178" s="22" t="s">
        <v>4150</v>
      </c>
      <c r="L178" s="22">
        <v>9.999999999E9</v>
      </c>
      <c r="M178" s="22" t="s">
        <v>61</v>
      </c>
      <c r="N178" s="22" t="s">
        <v>62</v>
      </c>
      <c r="O178" s="22" t="s">
        <v>4160</v>
      </c>
      <c r="P178" s="22" t="s">
        <v>3962</v>
      </c>
      <c r="Q178" s="309">
        <f>COUNTIF('Hedef Liste'!A:A,A178)</f>
        <v>0</v>
      </c>
    </row>
    <row r="179" hidden="1">
      <c r="A179" s="22" t="s">
        <v>4161</v>
      </c>
      <c r="B179" s="22" t="s">
        <v>4162</v>
      </c>
      <c r="C179" s="306" t="s">
        <v>3959</v>
      </c>
      <c r="D179" s="22" t="s">
        <v>172</v>
      </c>
      <c r="E179" s="307">
        <v>3110.0</v>
      </c>
      <c r="F179" s="307">
        <v>191.0</v>
      </c>
      <c r="G179" s="307">
        <v>77.0</v>
      </c>
      <c r="H179" s="307">
        <v>0.0</v>
      </c>
      <c r="I179" s="307">
        <v>77.0</v>
      </c>
      <c r="J179" s="308">
        <v>1.0</v>
      </c>
      <c r="K179" s="22" t="s">
        <v>4150</v>
      </c>
      <c r="L179" s="22">
        <v>9.999999999E9</v>
      </c>
      <c r="M179" s="22" t="s">
        <v>71</v>
      </c>
      <c r="N179" s="22" t="s">
        <v>787</v>
      </c>
      <c r="O179" s="22" t="s">
        <v>4163</v>
      </c>
      <c r="P179" s="22" t="s">
        <v>3962</v>
      </c>
      <c r="Q179" s="309">
        <f>COUNTIF('Hedef Liste'!A:A,A179)</f>
        <v>0</v>
      </c>
    </row>
    <row r="180" hidden="1">
      <c r="A180" s="22" t="s">
        <v>1832</v>
      </c>
      <c r="B180" s="22" t="s">
        <v>4164</v>
      </c>
      <c r="C180" s="306" t="s">
        <v>3959</v>
      </c>
      <c r="D180" s="22" t="s">
        <v>69</v>
      </c>
      <c r="E180" s="307">
        <v>244.0</v>
      </c>
      <c r="F180" s="307">
        <v>16.0</v>
      </c>
      <c r="G180" s="307">
        <v>26.0</v>
      </c>
      <c r="H180" s="307">
        <v>75.0</v>
      </c>
      <c r="I180" s="307">
        <v>101.0</v>
      </c>
      <c r="J180" s="308">
        <v>0.26</v>
      </c>
      <c r="K180" s="22" t="s">
        <v>1834</v>
      </c>
      <c r="L180" s="22">
        <v>5.541808333E9</v>
      </c>
      <c r="M180" s="22" t="s">
        <v>61</v>
      </c>
      <c r="N180" s="22" t="s">
        <v>107</v>
      </c>
      <c r="O180" s="22" t="s">
        <v>4165</v>
      </c>
      <c r="P180" s="22" t="s">
        <v>666</v>
      </c>
      <c r="Q180" s="309">
        <f>COUNTIF('Hedef Liste'!A:A,A180)</f>
        <v>1</v>
      </c>
    </row>
    <row r="181" hidden="1">
      <c r="A181" s="22" t="s">
        <v>2496</v>
      </c>
      <c r="B181" s="22" t="s">
        <v>2497</v>
      </c>
      <c r="C181" s="306" t="s">
        <v>3959</v>
      </c>
      <c r="D181" s="22" t="s">
        <v>172</v>
      </c>
      <c r="E181" s="307">
        <v>775.0</v>
      </c>
      <c r="F181" s="307">
        <v>15.0</v>
      </c>
      <c r="G181" s="307">
        <v>0.0</v>
      </c>
      <c r="H181" s="307">
        <v>8.0</v>
      </c>
      <c r="I181" s="307">
        <v>8.0</v>
      </c>
      <c r="J181" s="308">
        <v>0.0</v>
      </c>
      <c r="K181" s="22" t="s">
        <v>2498</v>
      </c>
      <c r="L181" s="22">
        <v>3.524313919E9</v>
      </c>
      <c r="M181" s="22" t="s">
        <v>61</v>
      </c>
      <c r="N181" s="22" t="s">
        <v>62</v>
      </c>
      <c r="O181" s="22" t="s">
        <v>2499</v>
      </c>
      <c r="P181" s="22" t="s">
        <v>666</v>
      </c>
      <c r="Q181" s="309">
        <f>COUNTIF('Hedef Liste'!A:A,A181)</f>
        <v>1</v>
      </c>
    </row>
    <row r="182" hidden="1">
      <c r="A182" s="22" t="s">
        <v>957</v>
      </c>
      <c r="B182" s="22" t="s">
        <v>958</v>
      </c>
      <c r="C182" s="306" t="s">
        <v>3959</v>
      </c>
      <c r="D182" s="22" t="s">
        <v>100</v>
      </c>
      <c r="E182" s="307">
        <v>355.0</v>
      </c>
      <c r="F182" s="307">
        <v>5.0</v>
      </c>
      <c r="G182" s="307">
        <v>0.0</v>
      </c>
      <c r="H182" s="307">
        <v>14.0</v>
      </c>
      <c r="I182" s="307">
        <v>14.0</v>
      </c>
      <c r="J182" s="308">
        <v>0.0</v>
      </c>
      <c r="K182" s="22" t="s">
        <v>959</v>
      </c>
      <c r="L182" s="22">
        <v>5.318748668E9</v>
      </c>
      <c r="M182" s="22" t="s">
        <v>61</v>
      </c>
      <c r="N182" s="22" t="s">
        <v>62</v>
      </c>
      <c r="O182" s="22" t="s">
        <v>960</v>
      </c>
      <c r="P182" s="22" t="s">
        <v>666</v>
      </c>
      <c r="Q182" s="309">
        <f>COUNTIF('Hedef Liste'!A:A,A182)</f>
        <v>1</v>
      </c>
    </row>
    <row r="183" hidden="1">
      <c r="A183" s="22" t="s">
        <v>4166</v>
      </c>
      <c r="B183" s="22" t="s">
        <v>4167</v>
      </c>
      <c r="C183" s="306" t="s">
        <v>3959</v>
      </c>
      <c r="D183" s="22" t="s">
        <v>4168</v>
      </c>
      <c r="E183" s="307">
        <v>1003.0</v>
      </c>
      <c r="F183" s="307">
        <v>47.0</v>
      </c>
      <c r="G183" s="307">
        <v>214.0</v>
      </c>
      <c r="H183" s="307">
        <v>2.0</v>
      </c>
      <c r="I183" s="307">
        <v>216.0</v>
      </c>
      <c r="J183" s="308">
        <v>0.99</v>
      </c>
      <c r="K183" s="22" t="s">
        <v>4169</v>
      </c>
      <c r="L183" s="22">
        <v>5.314263454E9</v>
      </c>
      <c r="M183" s="22" t="s">
        <v>47</v>
      </c>
      <c r="N183" s="22" t="s">
        <v>125</v>
      </c>
      <c r="O183" s="22" t="s">
        <v>4170</v>
      </c>
      <c r="P183" s="22" t="s">
        <v>3962</v>
      </c>
      <c r="Q183" s="309">
        <f>COUNTIF('Hedef Liste'!A:A,A183)</f>
        <v>0</v>
      </c>
    </row>
    <row r="184" hidden="1">
      <c r="A184" s="22" t="s">
        <v>81</v>
      </c>
      <c r="B184" s="22" t="s">
        <v>82</v>
      </c>
      <c r="C184" s="306" t="s">
        <v>3959</v>
      </c>
      <c r="D184" s="22" t="s">
        <v>83</v>
      </c>
      <c r="E184" s="307">
        <v>1296.0</v>
      </c>
      <c r="F184" s="307">
        <v>1.0</v>
      </c>
      <c r="G184" s="307">
        <v>0.0</v>
      </c>
      <c r="H184" s="307">
        <v>17.0</v>
      </c>
      <c r="I184" s="307">
        <v>17.0</v>
      </c>
      <c r="J184" s="308">
        <v>0.0</v>
      </c>
      <c r="K184" s="22" t="s">
        <v>84</v>
      </c>
      <c r="L184" s="22">
        <v>5.370444907E9</v>
      </c>
      <c r="M184" s="22" t="s">
        <v>61</v>
      </c>
      <c r="N184" s="22" t="s">
        <v>62</v>
      </c>
      <c r="O184" s="22" t="s">
        <v>85</v>
      </c>
      <c r="P184" s="22" t="s">
        <v>666</v>
      </c>
      <c r="Q184" s="309">
        <f>COUNTIF('Hedef Liste'!A:A,A184)</f>
        <v>1</v>
      </c>
    </row>
    <row r="185" hidden="1">
      <c r="A185" s="22" t="s">
        <v>1957</v>
      </c>
      <c r="B185" s="22" t="s">
        <v>1958</v>
      </c>
      <c r="C185" s="306" t="s">
        <v>3959</v>
      </c>
      <c r="D185" s="22" t="s">
        <v>83</v>
      </c>
      <c r="E185" s="307">
        <v>286.0</v>
      </c>
      <c r="F185" s="307">
        <v>6.0</v>
      </c>
      <c r="G185" s="307">
        <v>0.0</v>
      </c>
      <c r="H185" s="307">
        <v>32.0</v>
      </c>
      <c r="I185" s="307">
        <v>32.0</v>
      </c>
      <c r="J185" s="308">
        <v>0.0</v>
      </c>
      <c r="K185" s="22" t="s">
        <v>1959</v>
      </c>
      <c r="L185" s="22">
        <v>5.459360038E9</v>
      </c>
      <c r="M185" s="22" t="s">
        <v>47</v>
      </c>
      <c r="N185" s="22" t="s">
        <v>339</v>
      </c>
      <c r="O185" s="22" t="s">
        <v>1960</v>
      </c>
      <c r="P185" s="22" t="s">
        <v>666</v>
      </c>
      <c r="Q185" s="309">
        <f>COUNTIF('Hedef Liste'!A:A,A185)</f>
        <v>1</v>
      </c>
    </row>
    <row r="186" hidden="1">
      <c r="A186" s="22" t="s">
        <v>2716</v>
      </c>
      <c r="B186" s="22" t="s">
        <v>2717</v>
      </c>
      <c r="C186" s="306" t="s">
        <v>3959</v>
      </c>
      <c r="D186" s="22" t="s">
        <v>406</v>
      </c>
      <c r="E186" s="307">
        <v>871.0</v>
      </c>
      <c r="F186" s="310"/>
      <c r="G186" s="307">
        <v>0.0</v>
      </c>
      <c r="H186" s="307">
        <v>10.0</v>
      </c>
      <c r="I186" s="307">
        <v>10.0</v>
      </c>
      <c r="J186" s="308">
        <v>0.0</v>
      </c>
      <c r="K186" s="22" t="s">
        <v>2718</v>
      </c>
      <c r="L186" s="22">
        <v>3.528881338E9</v>
      </c>
      <c r="M186" s="22" t="s">
        <v>47</v>
      </c>
      <c r="N186" s="22" t="s">
        <v>2719</v>
      </c>
      <c r="O186" s="22" t="s">
        <v>2720</v>
      </c>
      <c r="P186" s="22" t="s">
        <v>666</v>
      </c>
      <c r="Q186" s="309">
        <f>COUNTIF('Hedef Liste'!A:A,A186)</f>
        <v>1</v>
      </c>
    </row>
    <row r="187" hidden="1">
      <c r="A187" s="22" t="s">
        <v>4171</v>
      </c>
      <c r="B187" s="22" t="s">
        <v>4172</v>
      </c>
      <c r="C187" s="306" t="s">
        <v>3959</v>
      </c>
      <c r="D187" s="22" t="s">
        <v>100</v>
      </c>
      <c r="E187" s="307">
        <v>2435.0</v>
      </c>
      <c r="F187" s="307">
        <v>69.0</v>
      </c>
      <c r="G187" s="307">
        <v>72.0</v>
      </c>
      <c r="H187" s="307">
        <v>5.0</v>
      </c>
      <c r="I187" s="307">
        <v>77.0</v>
      </c>
      <c r="J187" s="308">
        <v>0.94</v>
      </c>
      <c r="K187" s="22" t="s">
        <v>3967</v>
      </c>
      <c r="L187" s="22">
        <v>3.523336777E9</v>
      </c>
      <c r="M187" s="22" t="s">
        <v>47</v>
      </c>
      <c r="N187" s="22" t="s">
        <v>47</v>
      </c>
      <c r="O187" s="22" t="s">
        <v>4173</v>
      </c>
      <c r="P187" s="22" t="s">
        <v>3962</v>
      </c>
      <c r="Q187" s="309">
        <f>COUNTIF('Hedef Liste'!A:A,A187)</f>
        <v>0</v>
      </c>
    </row>
    <row r="188" hidden="1">
      <c r="A188" s="22" t="s">
        <v>4174</v>
      </c>
      <c r="B188" s="22" t="s">
        <v>4175</v>
      </c>
      <c r="C188" s="306" t="s">
        <v>3959</v>
      </c>
      <c r="D188" s="22" t="s">
        <v>45</v>
      </c>
      <c r="E188" s="307">
        <v>12704.0</v>
      </c>
      <c r="F188" s="307">
        <v>354.0</v>
      </c>
      <c r="G188" s="307">
        <v>165.0</v>
      </c>
      <c r="H188" s="307">
        <v>0.0</v>
      </c>
      <c r="I188" s="307">
        <v>165.0</v>
      </c>
      <c r="J188" s="308">
        <v>1.0</v>
      </c>
      <c r="K188" s="22" t="s">
        <v>4150</v>
      </c>
      <c r="L188" s="22">
        <v>9.999999999E9</v>
      </c>
      <c r="M188" s="22" t="s">
        <v>47</v>
      </c>
      <c r="N188" s="22" t="s">
        <v>48</v>
      </c>
      <c r="O188" s="22" t="s">
        <v>4176</v>
      </c>
      <c r="P188" s="22" t="s">
        <v>3962</v>
      </c>
      <c r="Q188" s="309">
        <f>COUNTIF('Hedef Liste'!A:A,A188)</f>
        <v>0</v>
      </c>
    </row>
    <row r="189" hidden="1">
      <c r="A189" s="22" t="s">
        <v>4177</v>
      </c>
      <c r="B189" s="22" t="s">
        <v>4178</v>
      </c>
      <c r="C189" s="306" t="s">
        <v>3959</v>
      </c>
      <c r="D189" s="22" t="s">
        <v>45</v>
      </c>
      <c r="E189" s="307">
        <v>9190.0</v>
      </c>
      <c r="F189" s="307">
        <v>202.0</v>
      </c>
      <c r="G189" s="307">
        <v>113.0</v>
      </c>
      <c r="H189" s="307">
        <v>0.0</v>
      </c>
      <c r="I189" s="307">
        <v>113.0</v>
      </c>
      <c r="J189" s="308">
        <v>1.0</v>
      </c>
      <c r="K189" s="22" t="s">
        <v>4150</v>
      </c>
      <c r="L189" s="22">
        <v>9.999999999E9</v>
      </c>
      <c r="M189" s="22" t="s">
        <v>71</v>
      </c>
      <c r="N189" s="22" t="s">
        <v>420</v>
      </c>
      <c r="O189" s="22" t="s">
        <v>4179</v>
      </c>
      <c r="P189" s="22" t="s">
        <v>3962</v>
      </c>
      <c r="Q189" s="309">
        <f>COUNTIF('Hedef Liste'!A:A,A189)</f>
        <v>0</v>
      </c>
    </row>
    <row r="190" hidden="1">
      <c r="A190" s="22" t="s">
        <v>4180</v>
      </c>
      <c r="B190" s="22" t="s">
        <v>4181</v>
      </c>
      <c r="C190" s="306" t="s">
        <v>3959</v>
      </c>
      <c r="D190" s="22" t="s">
        <v>653</v>
      </c>
      <c r="E190" s="307">
        <v>6763.0</v>
      </c>
      <c r="F190" s="307">
        <v>270.0</v>
      </c>
      <c r="G190" s="307">
        <v>111.0</v>
      </c>
      <c r="H190" s="307">
        <v>0.0</v>
      </c>
      <c r="I190" s="307">
        <v>111.0</v>
      </c>
      <c r="J190" s="308">
        <v>1.0</v>
      </c>
      <c r="K190" s="22" t="s">
        <v>4150</v>
      </c>
      <c r="L190" s="22">
        <v>9.999999999E9</v>
      </c>
      <c r="M190" s="22" t="s">
        <v>47</v>
      </c>
      <c r="N190" s="22" t="s">
        <v>48</v>
      </c>
      <c r="O190" s="22" t="s">
        <v>4182</v>
      </c>
      <c r="P190" s="22" t="s">
        <v>3962</v>
      </c>
      <c r="Q190" s="309">
        <f>COUNTIF('Hedef Liste'!A:A,A190)</f>
        <v>0</v>
      </c>
    </row>
    <row r="191" hidden="1">
      <c r="A191" s="22" t="s">
        <v>4183</v>
      </c>
      <c r="B191" s="22" t="s">
        <v>4184</v>
      </c>
      <c r="C191" s="306" t="s">
        <v>3959</v>
      </c>
      <c r="D191" s="22" t="s">
        <v>45</v>
      </c>
      <c r="E191" s="307">
        <v>8676.0</v>
      </c>
      <c r="F191" s="307">
        <v>248.0</v>
      </c>
      <c r="G191" s="307">
        <v>167.0</v>
      </c>
      <c r="H191" s="307">
        <v>0.0</v>
      </c>
      <c r="I191" s="307">
        <v>167.0</v>
      </c>
      <c r="J191" s="308">
        <v>1.0</v>
      </c>
      <c r="K191" s="22" t="s">
        <v>4150</v>
      </c>
      <c r="L191" s="22">
        <v>9.999999999E9</v>
      </c>
      <c r="M191" s="22" t="s">
        <v>71</v>
      </c>
      <c r="N191" s="22" t="s">
        <v>787</v>
      </c>
      <c r="O191" s="22" t="s">
        <v>4185</v>
      </c>
      <c r="P191" s="22" t="s">
        <v>3962</v>
      </c>
      <c r="Q191" s="309">
        <f>COUNTIF('Hedef Liste'!A:A,A191)</f>
        <v>0</v>
      </c>
    </row>
    <row r="192" hidden="1">
      <c r="A192" s="22" t="s">
        <v>1124</v>
      </c>
      <c r="B192" s="22" t="s">
        <v>4186</v>
      </c>
      <c r="C192" s="306" t="s">
        <v>3959</v>
      </c>
      <c r="D192" s="22" t="s">
        <v>83</v>
      </c>
      <c r="E192" s="307">
        <v>4440.0</v>
      </c>
      <c r="F192" s="307">
        <v>88.0</v>
      </c>
      <c r="G192" s="307">
        <v>8.0</v>
      </c>
      <c r="H192" s="307">
        <v>16.0</v>
      </c>
      <c r="I192" s="307">
        <v>24.0</v>
      </c>
      <c r="J192" s="308">
        <v>0.33</v>
      </c>
      <c r="K192" s="22" t="s">
        <v>286</v>
      </c>
      <c r="L192" s="22">
        <v>5.417138734E9</v>
      </c>
      <c r="M192" s="22" t="s">
        <v>61</v>
      </c>
      <c r="N192" s="22" t="s">
        <v>62</v>
      </c>
      <c r="O192" s="22" t="s">
        <v>287</v>
      </c>
      <c r="P192" s="22" t="s">
        <v>666</v>
      </c>
      <c r="Q192" s="309">
        <f>COUNTIF('Hedef Liste'!A:A,A192)</f>
        <v>1</v>
      </c>
    </row>
    <row r="193" hidden="1">
      <c r="A193" s="22" t="s">
        <v>4187</v>
      </c>
      <c r="B193" s="22" t="s">
        <v>4188</v>
      </c>
      <c r="C193" s="306" t="s">
        <v>3959</v>
      </c>
      <c r="D193" s="22" t="s">
        <v>91</v>
      </c>
      <c r="E193" s="307">
        <v>5147.0</v>
      </c>
      <c r="F193" s="307">
        <v>207.0</v>
      </c>
      <c r="G193" s="307">
        <v>76.0</v>
      </c>
      <c r="H193" s="307">
        <v>16.0</v>
      </c>
      <c r="I193" s="307">
        <v>92.0</v>
      </c>
      <c r="J193" s="308">
        <v>0.83</v>
      </c>
      <c r="K193" s="22" t="s">
        <v>4189</v>
      </c>
      <c r="L193" s="22">
        <v>3.522300909E9</v>
      </c>
      <c r="M193" s="22" t="s">
        <v>47</v>
      </c>
      <c r="N193" s="22" t="s">
        <v>1552</v>
      </c>
      <c r="O193" s="22" t="s">
        <v>4190</v>
      </c>
      <c r="P193" s="22" t="s">
        <v>3962</v>
      </c>
      <c r="Q193" s="309">
        <f>COUNTIF('Hedef Liste'!A:A,A193)</f>
        <v>0</v>
      </c>
    </row>
    <row r="194" hidden="1">
      <c r="A194" s="22" t="s">
        <v>4191</v>
      </c>
      <c r="B194" s="22" t="s">
        <v>4192</v>
      </c>
      <c r="C194" s="306" t="s">
        <v>3959</v>
      </c>
      <c r="D194" s="22" t="s">
        <v>172</v>
      </c>
      <c r="E194" s="307">
        <v>3645.0</v>
      </c>
      <c r="F194" s="307">
        <v>179.0</v>
      </c>
      <c r="G194" s="307">
        <v>82.0</v>
      </c>
      <c r="H194" s="307">
        <v>0.0</v>
      </c>
      <c r="I194" s="307">
        <v>82.0</v>
      </c>
      <c r="J194" s="308">
        <v>1.0</v>
      </c>
      <c r="K194" s="22" t="s">
        <v>4150</v>
      </c>
      <c r="L194" s="22">
        <v>9.999999999E9</v>
      </c>
      <c r="M194" s="22" t="s">
        <v>47</v>
      </c>
      <c r="N194" s="22" t="s">
        <v>48</v>
      </c>
      <c r="O194" s="22" t="s">
        <v>4193</v>
      </c>
      <c r="P194" s="22" t="s">
        <v>3962</v>
      </c>
      <c r="Q194" s="309">
        <f>COUNTIF('Hedef Liste'!A:A,A194)</f>
        <v>0</v>
      </c>
    </row>
    <row r="195" hidden="1">
      <c r="A195" s="22" t="s">
        <v>360</v>
      </c>
      <c r="B195" s="22" t="s">
        <v>361</v>
      </c>
      <c r="C195" s="306" t="s">
        <v>3959</v>
      </c>
      <c r="D195" s="22" t="s">
        <v>69</v>
      </c>
      <c r="E195" s="307">
        <v>245.0</v>
      </c>
      <c r="F195" s="307">
        <v>15.0</v>
      </c>
      <c r="G195" s="307">
        <v>35.0</v>
      </c>
      <c r="H195" s="307">
        <v>67.0</v>
      </c>
      <c r="I195" s="307">
        <v>102.0</v>
      </c>
      <c r="J195" s="308">
        <v>0.34</v>
      </c>
      <c r="K195" s="22" t="s">
        <v>362</v>
      </c>
      <c r="L195" s="22">
        <v>8.502207022E9</v>
      </c>
      <c r="M195" s="22" t="s">
        <v>61</v>
      </c>
      <c r="N195" s="22" t="s">
        <v>107</v>
      </c>
      <c r="O195" s="22" t="s">
        <v>363</v>
      </c>
      <c r="P195" s="22" t="s">
        <v>666</v>
      </c>
      <c r="Q195" s="309">
        <f>COUNTIF('Hedef Liste'!A:A,A195)</f>
        <v>1</v>
      </c>
    </row>
    <row r="196" hidden="1">
      <c r="A196" s="22" t="s">
        <v>2469</v>
      </c>
      <c r="B196" s="22" t="s">
        <v>2470</v>
      </c>
      <c r="C196" s="306" t="s">
        <v>3959</v>
      </c>
      <c r="D196" s="22" t="s">
        <v>69</v>
      </c>
      <c r="E196" s="307">
        <v>2044.0</v>
      </c>
      <c r="F196" s="307">
        <v>64.0</v>
      </c>
      <c r="G196" s="307">
        <v>31.0</v>
      </c>
      <c r="H196" s="307">
        <v>12.0</v>
      </c>
      <c r="I196" s="307">
        <v>43.0</v>
      </c>
      <c r="J196" s="308">
        <v>0.72</v>
      </c>
      <c r="K196" s="22" t="s">
        <v>2471</v>
      </c>
      <c r="L196" s="22">
        <v>3.523383997E9</v>
      </c>
      <c r="M196" s="22" t="s">
        <v>71</v>
      </c>
      <c r="N196" s="22" t="s">
        <v>2472</v>
      </c>
      <c r="O196" s="22" t="s">
        <v>2473</v>
      </c>
      <c r="P196" s="22" t="s">
        <v>666</v>
      </c>
      <c r="Q196" s="309">
        <f>COUNTIF('Hedef Liste'!A:A,A196)</f>
        <v>1</v>
      </c>
    </row>
    <row r="197" hidden="1">
      <c r="A197" s="22" t="s">
        <v>2259</v>
      </c>
      <c r="B197" s="22" t="s">
        <v>2260</v>
      </c>
      <c r="C197" s="306" t="s">
        <v>3959</v>
      </c>
      <c r="D197" s="22" t="s">
        <v>91</v>
      </c>
      <c r="E197" s="307">
        <v>3598.0</v>
      </c>
      <c r="F197" s="307">
        <v>100.0</v>
      </c>
      <c r="G197" s="307">
        <v>0.0</v>
      </c>
      <c r="H197" s="307">
        <v>28.0</v>
      </c>
      <c r="I197" s="307">
        <v>28.0</v>
      </c>
      <c r="J197" s="308">
        <v>0.0</v>
      </c>
      <c r="K197" s="22" t="s">
        <v>2261</v>
      </c>
      <c r="L197" s="22">
        <v>3.525033334E9</v>
      </c>
      <c r="M197" s="22" t="s">
        <v>61</v>
      </c>
      <c r="N197" s="22" t="s">
        <v>62</v>
      </c>
      <c r="O197" s="22" t="s">
        <v>2262</v>
      </c>
      <c r="P197" s="22" t="s">
        <v>666</v>
      </c>
      <c r="Q197" s="309">
        <f>COUNTIF('Hedef Liste'!A:A,A197)</f>
        <v>1</v>
      </c>
    </row>
    <row r="198" hidden="1">
      <c r="A198" s="22" t="s">
        <v>4194</v>
      </c>
      <c r="B198" s="22" t="s">
        <v>4195</v>
      </c>
      <c r="C198" s="306" t="s">
        <v>3959</v>
      </c>
      <c r="D198" s="22" t="s">
        <v>91</v>
      </c>
      <c r="E198" s="307">
        <v>8324.0</v>
      </c>
      <c r="F198" s="307">
        <v>323.0</v>
      </c>
      <c r="G198" s="307">
        <v>70.0</v>
      </c>
      <c r="H198" s="307">
        <v>15.0</v>
      </c>
      <c r="I198" s="307">
        <v>85.0</v>
      </c>
      <c r="J198" s="308">
        <v>0.82</v>
      </c>
      <c r="K198" s="22" t="s">
        <v>4189</v>
      </c>
      <c r="L198" s="22">
        <v>3.5225109E9</v>
      </c>
      <c r="M198" s="22" t="s">
        <v>47</v>
      </c>
      <c r="N198" s="22" t="s">
        <v>1158</v>
      </c>
      <c r="O198" s="22" t="s">
        <v>4196</v>
      </c>
      <c r="P198" s="22" t="s">
        <v>3962</v>
      </c>
      <c r="Q198" s="309">
        <f>COUNTIF('Hedef Liste'!A:A,A198)</f>
        <v>0</v>
      </c>
    </row>
    <row r="199" hidden="1">
      <c r="A199" s="22" t="s">
        <v>4197</v>
      </c>
      <c r="B199" s="22" t="s">
        <v>4198</v>
      </c>
      <c r="C199" s="306" t="s">
        <v>3959</v>
      </c>
      <c r="D199" s="22" t="s">
        <v>91</v>
      </c>
      <c r="E199" s="307">
        <v>10069.0</v>
      </c>
      <c r="F199" s="307">
        <v>490.0</v>
      </c>
      <c r="G199" s="307">
        <v>76.0</v>
      </c>
      <c r="H199" s="307">
        <v>27.0</v>
      </c>
      <c r="I199" s="307">
        <v>103.0</v>
      </c>
      <c r="J199" s="308">
        <v>0.74</v>
      </c>
      <c r="K199" s="22" t="s">
        <v>4189</v>
      </c>
      <c r="L199" s="22">
        <v>3.522333838E9</v>
      </c>
      <c r="M199" s="22" t="s">
        <v>47</v>
      </c>
      <c r="N199" s="22" t="s">
        <v>125</v>
      </c>
      <c r="O199" s="22" t="s">
        <v>4199</v>
      </c>
      <c r="P199" s="22" t="s">
        <v>3962</v>
      </c>
      <c r="Q199" s="309">
        <f>COUNTIF('Hedef Liste'!A:A,A199)</f>
        <v>0</v>
      </c>
    </row>
    <row r="200" hidden="1">
      <c r="A200" s="22" t="s">
        <v>4200</v>
      </c>
      <c r="B200" s="22" t="s">
        <v>4201</v>
      </c>
      <c r="C200" s="306" t="s">
        <v>3959</v>
      </c>
      <c r="D200" s="22" t="s">
        <v>100</v>
      </c>
      <c r="E200" s="307">
        <v>7531.0</v>
      </c>
      <c r="F200" s="307">
        <v>198.0</v>
      </c>
      <c r="G200" s="307">
        <v>61.0</v>
      </c>
      <c r="H200" s="307">
        <v>8.0</v>
      </c>
      <c r="I200" s="307">
        <v>69.0</v>
      </c>
      <c r="J200" s="308">
        <v>0.88</v>
      </c>
      <c r="K200" s="22" t="s">
        <v>3967</v>
      </c>
      <c r="L200" s="22">
        <v>5.436885538E9</v>
      </c>
      <c r="M200" s="22" t="s">
        <v>61</v>
      </c>
      <c r="N200" s="22" t="s">
        <v>62</v>
      </c>
      <c r="O200" s="22" t="s">
        <v>4202</v>
      </c>
      <c r="P200" s="22" t="s">
        <v>3962</v>
      </c>
      <c r="Q200" s="309">
        <f>COUNTIF('Hedef Liste'!A:A,A200)</f>
        <v>0</v>
      </c>
    </row>
    <row r="201" hidden="1">
      <c r="A201" s="22" t="s">
        <v>4203</v>
      </c>
      <c r="B201" s="22" t="s">
        <v>4204</v>
      </c>
      <c r="C201" s="306" t="s">
        <v>3959</v>
      </c>
      <c r="D201" s="22" t="s">
        <v>91</v>
      </c>
      <c r="E201" s="307">
        <v>4937.0</v>
      </c>
      <c r="F201" s="307">
        <v>261.0</v>
      </c>
      <c r="G201" s="307">
        <v>72.0</v>
      </c>
      <c r="H201" s="307">
        <v>15.0</v>
      </c>
      <c r="I201" s="307">
        <v>87.0</v>
      </c>
      <c r="J201" s="308">
        <v>0.83</v>
      </c>
      <c r="K201" s="22" t="s">
        <v>4189</v>
      </c>
      <c r="L201" s="22">
        <v>3.52332033E9</v>
      </c>
      <c r="M201" s="22" t="s">
        <v>47</v>
      </c>
      <c r="N201" s="22" t="s">
        <v>448</v>
      </c>
      <c r="O201" s="22" t="s">
        <v>4205</v>
      </c>
      <c r="P201" s="22" t="s">
        <v>3962</v>
      </c>
      <c r="Q201" s="309">
        <f>COUNTIF('Hedef Liste'!A:A,A201)</f>
        <v>0</v>
      </c>
    </row>
    <row r="202" hidden="1">
      <c r="A202" s="22" t="s">
        <v>4206</v>
      </c>
      <c r="B202" s="22" t="s">
        <v>4207</v>
      </c>
      <c r="C202" s="306" t="s">
        <v>3959</v>
      </c>
      <c r="D202" s="22" t="s">
        <v>100</v>
      </c>
      <c r="E202" s="307">
        <v>358.0</v>
      </c>
      <c r="F202" s="307">
        <v>9.0</v>
      </c>
      <c r="G202" s="307">
        <v>55.0</v>
      </c>
      <c r="H202" s="307">
        <v>4.0</v>
      </c>
      <c r="I202" s="307">
        <v>59.0</v>
      </c>
      <c r="J202" s="308">
        <v>0.93</v>
      </c>
      <c r="K202" s="22" t="s">
        <v>3967</v>
      </c>
      <c r="L202" s="22">
        <v>5.5342807E9</v>
      </c>
      <c r="M202" s="22" t="s">
        <v>47</v>
      </c>
      <c r="N202" s="22" t="s">
        <v>1552</v>
      </c>
      <c r="O202" s="22" t="s">
        <v>4208</v>
      </c>
      <c r="P202" s="22" t="s">
        <v>3962</v>
      </c>
      <c r="Q202" s="309">
        <f>COUNTIF('Hedef Liste'!A:A,A202)</f>
        <v>0</v>
      </c>
    </row>
    <row r="203" hidden="1">
      <c r="A203" s="22" t="s">
        <v>4209</v>
      </c>
      <c r="B203" s="22" t="s">
        <v>4210</v>
      </c>
      <c r="C203" s="306" t="s">
        <v>3959</v>
      </c>
      <c r="D203" s="22" t="s">
        <v>91</v>
      </c>
      <c r="E203" s="307">
        <v>12550.0</v>
      </c>
      <c r="F203" s="307">
        <v>829.0</v>
      </c>
      <c r="G203" s="307">
        <v>76.0</v>
      </c>
      <c r="H203" s="307">
        <v>23.0</v>
      </c>
      <c r="I203" s="307">
        <v>99.0</v>
      </c>
      <c r="J203" s="308">
        <v>0.77</v>
      </c>
      <c r="K203" s="22" t="s">
        <v>4189</v>
      </c>
      <c r="L203" s="22">
        <v>3.522374545E9</v>
      </c>
      <c r="M203" s="22" t="s">
        <v>61</v>
      </c>
      <c r="N203" s="22" t="s">
        <v>62</v>
      </c>
      <c r="O203" s="22" t="s">
        <v>4211</v>
      </c>
      <c r="P203" s="22" t="s">
        <v>3962</v>
      </c>
      <c r="Q203" s="309">
        <f>COUNTIF('Hedef Liste'!A:A,A203)</f>
        <v>0</v>
      </c>
    </row>
    <row r="204" hidden="1">
      <c r="A204" s="22" t="s">
        <v>2701</v>
      </c>
      <c r="B204" s="22" t="s">
        <v>2702</v>
      </c>
      <c r="C204" s="306" t="s">
        <v>3959</v>
      </c>
      <c r="D204" s="22" t="s">
        <v>653</v>
      </c>
      <c r="E204" s="307">
        <v>631.0</v>
      </c>
      <c r="F204" s="307">
        <v>16.0</v>
      </c>
      <c r="G204" s="307">
        <v>0.0</v>
      </c>
      <c r="H204" s="307">
        <v>153.0</v>
      </c>
      <c r="I204" s="307">
        <v>153.0</v>
      </c>
      <c r="J204" s="308">
        <v>0.0</v>
      </c>
      <c r="K204" s="22" t="s">
        <v>1697</v>
      </c>
      <c r="L204" s="22">
        <v>5.416974708E9</v>
      </c>
      <c r="M204" s="22" t="s">
        <v>61</v>
      </c>
      <c r="N204" s="22" t="s">
        <v>811</v>
      </c>
      <c r="O204" s="22" t="s">
        <v>1698</v>
      </c>
      <c r="P204" s="22" t="s">
        <v>666</v>
      </c>
      <c r="Q204" s="309">
        <f>COUNTIF('Hedef Liste'!A:A,A204)</f>
        <v>1</v>
      </c>
    </row>
    <row r="205" hidden="1">
      <c r="A205" s="22" t="s">
        <v>914</v>
      </c>
      <c r="B205" s="22" t="s">
        <v>915</v>
      </c>
      <c r="C205" s="306" t="s">
        <v>3959</v>
      </c>
      <c r="D205" s="22" t="s">
        <v>59</v>
      </c>
      <c r="E205" s="307">
        <v>936.0</v>
      </c>
      <c r="F205" s="307">
        <v>38.0</v>
      </c>
      <c r="G205" s="307">
        <v>0.0</v>
      </c>
      <c r="H205" s="307">
        <v>44.0</v>
      </c>
      <c r="I205" s="307">
        <v>44.0</v>
      </c>
      <c r="J205" s="308">
        <v>0.0</v>
      </c>
      <c r="K205" s="22" t="s">
        <v>916</v>
      </c>
      <c r="L205" s="22">
        <v>3.52888201E9</v>
      </c>
      <c r="M205" s="22" t="s">
        <v>61</v>
      </c>
      <c r="N205" s="22" t="s">
        <v>107</v>
      </c>
      <c r="O205" s="22" t="s">
        <v>917</v>
      </c>
      <c r="P205" s="22" t="s">
        <v>666</v>
      </c>
      <c r="Q205" s="309">
        <f>COUNTIF('Hedef Liste'!A:A,A205)</f>
        <v>1</v>
      </c>
    </row>
    <row r="206" hidden="1">
      <c r="A206" s="22" t="s">
        <v>1106</v>
      </c>
      <c r="B206" s="22" t="s">
        <v>1107</v>
      </c>
      <c r="C206" s="306" t="s">
        <v>3959</v>
      </c>
      <c r="D206" s="22" t="s">
        <v>855</v>
      </c>
      <c r="E206" s="307">
        <v>206.0</v>
      </c>
      <c r="F206" s="307">
        <v>1.0</v>
      </c>
      <c r="G206" s="307">
        <v>0.0</v>
      </c>
      <c r="H206" s="307">
        <v>43.0</v>
      </c>
      <c r="I206" s="307">
        <v>43.0</v>
      </c>
      <c r="J206" s="308">
        <v>0.0</v>
      </c>
      <c r="K206" s="22" t="s">
        <v>1108</v>
      </c>
      <c r="L206" s="22">
        <v>5.324153716E9</v>
      </c>
      <c r="M206" s="22" t="s">
        <v>47</v>
      </c>
      <c r="N206" s="22" t="s">
        <v>125</v>
      </c>
      <c r="O206" s="22" t="s">
        <v>1109</v>
      </c>
      <c r="P206" s="22" t="s">
        <v>666</v>
      </c>
      <c r="Q206" s="309">
        <f>COUNTIF('Hedef Liste'!A:A,A206)</f>
        <v>1</v>
      </c>
    </row>
    <row r="207" hidden="1">
      <c r="A207" s="22" t="s">
        <v>2287</v>
      </c>
      <c r="B207" s="22" t="s">
        <v>2288</v>
      </c>
      <c r="C207" s="306" t="s">
        <v>3959</v>
      </c>
      <c r="D207" s="22" t="s">
        <v>100</v>
      </c>
      <c r="E207" s="307">
        <v>2011.0</v>
      </c>
      <c r="F207" s="307">
        <v>29.0</v>
      </c>
      <c r="G207" s="307">
        <v>9.0</v>
      </c>
      <c r="H207" s="307">
        <v>26.0</v>
      </c>
      <c r="I207" s="307">
        <v>35.0</v>
      </c>
      <c r="J207" s="308">
        <v>0.26</v>
      </c>
      <c r="K207" s="22" t="s">
        <v>2289</v>
      </c>
      <c r="L207" s="22">
        <v>3.522351565E9</v>
      </c>
      <c r="M207" s="22" t="s">
        <v>71</v>
      </c>
      <c r="N207" s="22" t="s">
        <v>797</v>
      </c>
      <c r="O207" s="22" t="s">
        <v>2290</v>
      </c>
      <c r="P207" s="22" t="s">
        <v>666</v>
      </c>
      <c r="Q207" s="309">
        <f>COUNTIF('Hedef Liste'!A:A,A207)</f>
        <v>1</v>
      </c>
    </row>
    <row r="208" hidden="1">
      <c r="A208" s="22" t="s">
        <v>2415</v>
      </c>
      <c r="B208" s="22" t="s">
        <v>2416</v>
      </c>
      <c r="C208" s="306" t="s">
        <v>3959</v>
      </c>
      <c r="D208" s="22" t="s">
        <v>100</v>
      </c>
      <c r="E208" s="307">
        <v>2.0</v>
      </c>
      <c r="F208" s="310"/>
      <c r="G208" s="307">
        <v>0.0</v>
      </c>
      <c r="H208" s="307">
        <v>10.0</v>
      </c>
      <c r="I208" s="307">
        <v>10.0</v>
      </c>
      <c r="J208" s="308">
        <v>0.0</v>
      </c>
      <c r="K208" s="22" t="s">
        <v>2384</v>
      </c>
      <c r="L208" s="22">
        <v>5.526139513E9</v>
      </c>
      <c r="M208" s="22" t="s">
        <v>47</v>
      </c>
      <c r="N208" s="22" t="s">
        <v>2417</v>
      </c>
      <c r="O208" s="22" t="s">
        <v>2418</v>
      </c>
      <c r="P208" s="22" t="s">
        <v>666</v>
      </c>
      <c r="Q208" s="309">
        <f>COUNTIF('Hedef Liste'!A:A,A208)</f>
        <v>1</v>
      </c>
    </row>
    <row r="209" hidden="1">
      <c r="A209" s="22" t="s">
        <v>2164</v>
      </c>
      <c r="B209" s="22" t="s">
        <v>2165</v>
      </c>
      <c r="C209" s="306" t="s">
        <v>3959</v>
      </c>
      <c r="D209" s="22" t="s">
        <v>45</v>
      </c>
      <c r="E209" s="307">
        <v>2690.0</v>
      </c>
      <c r="F209" s="307">
        <v>52.0</v>
      </c>
      <c r="G209" s="307">
        <v>0.0</v>
      </c>
      <c r="H209" s="307">
        <v>25.0</v>
      </c>
      <c r="I209" s="307">
        <v>25.0</v>
      </c>
      <c r="J209" s="308">
        <v>0.0</v>
      </c>
      <c r="K209" s="22" t="s">
        <v>2166</v>
      </c>
      <c r="L209" s="22">
        <v>3.522309E9</v>
      </c>
      <c r="M209" s="22" t="s">
        <v>47</v>
      </c>
      <c r="N209" s="22" t="s">
        <v>271</v>
      </c>
      <c r="O209" s="22" t="s">
        <v>2167</v>
      </c>
      <c r="P209" s="22" t="s">
        <v>666</v>
      </c>
      <c r="Q209" s="309">
        <f>COUNTIF('Hedef Liste'!A:A,A209)</f>
        <v>1</v>
      </c>
    </row>
    <row r="210" hidden="1">
      <c r="A210" s="22" t="s">
        <v>1168</v>
      </c>
      <c r="B210" s="22" t="s">
        <v>1169</v>
      </c>
      <c r="C210" s="306" t="s">
        <v>3959</v>
      </c>
      <c r="D210" s="22" t="s">
        <v>100</v>
      </c>
      <c r="E210" s="307">
        <v>146.0</v>
      </c>
      <c r="F210" s="307">
        <v>9.0</v>
      </c>
      <c r="G210" s="307">
        <v>0.0</v>
      </c>
      <c r="H210" s="307">
        <v>32.0</v>
      </c>
      <c r="I210" s="307">
        <v>32.0</v>
      </c>
      <c r="J210" s="308">
        <v>0.0</v>
      </c>
      <c r="K210" s="22" t="s">
        <v>856</v>
      </c>
      <c r="L210" s="22">
        <v>3.52237001E9</v>
      </c>
      <c r="M210" s="22" t="s">
        <v>47</v>
      </c>
      <c r="N210" s="22" t="s">
        <v>131</v>
      </c>
      <c r="O210" s="22" t="s">
        <v>1170</v>
      </c>
      <c r="P210" s="22" t="s">
        <v>666</v>
      </c>
      <c r="Q210" s="309">
        <f>COUNTIF('Hedef Liste'!A:A,A210)</f>
        <v>1</v>
      </c>
    </row>
    <row r="211" hidden="1">
      <c r="A211" s="22" t="s">
        <v>284</v>
      </c>
      <c r="B211" s="22" t="s">
        <v>285</v>
      </c>
      <c r="C211" s="306" t="s">
        <v>3959</v>
      </c>
      <c r="D211" s="22" t="s">
        <v>100</v>
      </c>
      <c r="E211" s="307">
        <v>1258.0</v>
      </c>
      <c r="F211" s="307">
        <v>5.0</v>
      </c>
      <c r="G211" s="307">
        <v>8.0</v>
      </c>
      <c r="H211" s="307">
        <v>1.0</v>
      </c>
      <c r="I211" s="307">
        <v>9.0</v>
      </c>
      <c r="J211" s="308">
        <v>0.89</v>
      </c>
      <c r="K211" s="22" t="s">
        <v>286</v>
      </c>
      <c r="L211" s="22">
        <v>5.417138734E9</v>
      </c>
      <c r="M211" s="22" t="s">
        <v>61</v>
      </c>
      <c r="N211" s="22" t="s">
        <v>62</v>
      </c>
      <c r="O211" s="22" t="s">
        <v>287</v>
      </c>
      <c r="P211" s="22" t="s">
        <v>666</v>
      </c>
      <c r="Q211" s="309">
        <f>COUNTIF('Hedef Liste'!A:A,A211)</f>
        <v>1</v>
      </c>
    </row>
    <row r="212" hidden="1">
      <c r="A212" s="22" t="s">
        <v>1726</v>
      </c>
      <c r="B212" s="22" t="s">
        <v>1727</v>
      </c>
      <c r="C212" s="306" t="s">
        <v>3959</v>
      </c>
      <c r="D212" s="22" t="s">
        <v>69</v>
      </c>
      <c r="E212" s="307">
        <v>50.0</v>
      </c>
      <c r="F212" s="307">
        <v>12.0</v>
      </c>
      <c r="G212" s="307">
        <v>0.0</v>
      </c>
      <c r="H212" s="307">
        <v>104.0</v>
      </c>
      <c r="I212" s="307">
        <v>104.0</v>
      </c>
      <c r="J212" s="308">
        <v>0.0</v>
      </c>
      <c r="K212" s="22" t="s">
        <v>1728</v>
      </c>
      <c r="L212" s="22">
        <v>3.524376061E9</v>
      </c>
      <c r="M212" s="22" t="s">
        <v>61</v>
      </c>
      <c r="N212" s="22" t="s">
        <v>250</v>
      </c>
      <c r="O212" s="22" t="s">
        <v>1729</v>
      </c>
      <c r="P212" s="22" t="s">
        <v>666</v>
      </c>
      <c r="Q212" s="309">
        <f>COUNTIF('Hedef Liste'!A:A,A212)</f>
        <v>1</v>
      </c>
    </row>
    <row r="213" hidden="1">
      <c r="A213" s="22" t="s">
        <v>1979</v>
      </c>
      <c r="B213" s="22" t="s">
        <v>1980</v>
      </c>
      <c r="C213" s="306" t="s">
        <v>3959</v>
      </c>
      <c r="D213" s="22" t="s">
        <v>100</v>
      </c>
      <c r="E213" s="307">
        <v>191.0</v>
      </c>
      <c r="F213" s="307">
        <v>5.0</v>
      </c>
      <c r="G213" s="307">
        <v>4.0</v>
      </c>
      <c r="H213" s="307">
        <v>19.0</v>
      </c>
      <c r="I213" s="307">
        <v>23.0</v>
      </c>
      <c r="J213" s="308">
        <v>0.17</v>
      </c>
      <c r="K213" s="22" t="s">
        <v>1981</v>
      </c>
      <c r="L213" s="22">
        <v>3.522454043E9</v>
      </c>
      <c r="M213" s="22" t="s">
        <v>71</v>
      </c>
      <c r="N213" s="22" t="s">
        <v>1982</v>
      </c>
      <c r="O213" s="22" t="s">
        <v>1983</v>
      </c>
      <c r="P213" s="22" t="s">
        <v>666</v>
      </c>
      <c r="Q213" s="309">
        <f>COUNTIF('Hedef Liste'!A:A,A213)</f>
        <v>1</v>
      </c>
    </row>
    <row r="214" hidden="1">
      <c r="A214" s="22" t="s">
        <v>4212</v>
      </c>
      <c r="B214" s="22" t="s">
        <v>4213</v>
      </c>
      <c r="C214" s="306" t="s">
        <v>3959</v>
      </c>
      <c r="D214" s="22" t="s">
        <v>91</v>
      </c>
      <c r="E214" s="307">
        <v>7729.0</v>
      </c>
      <c r="F214" s="307">
        <v>388.0</v>
      </c>
      <c r="G214" s="307">
        <v>25.0</v>
      </c>
      <c r="H214" s="307">
        <v>6.0</v>
      </c>
      <c r="I214" s="307">
        <v>31.0</v>
      </c>
      <c r="J214" s="308">
        <v>0.81</v>
      </c>
      <c r="K214" s="22" t="s">
        <v>4189</v>
      </c>
      <c r="L214" s="22">
        <v>3.5233657E9</v>
      </c>
      <c r="M214" s="22" t="s">
        <v>47</v>
      </c>
      <c r="N214" s="22" t="s">
        <v>4121</v>
      </c>
      <c r="O214" s="22" t="s">
        <v>4214</v>
      </c>
      <c r="P214" s="22" t="s">
        <v>3962</v>
      </c>
      <c r="Q214" s="309">
        <f>COUNTIF('Hedef Liste'!A:A,A214)</f>
        <v>0</v>
      </c>
    </row>
    <row r="215" hidden="1">
      <c r="A215" s="22" t="s">
        <v>1234</v>
      </c>
      <c r="B215" s="22" t="s">
        <v>1235</v>
      </c>
      <c r="C215" s="306" t="s">
        <v>3963</v>
      </c>
      <c r="D215" s="22" t="s">
        <v>453</v>
      </c>
      <c r="E215" s="307">
        <v>65.0</v>
      </c>
      <c r="F215" s="310"/>
      <c r="G215" s="307">
        <v>0.0</v>
      </c>
      <c r="H215" s="307">
        <v>16.0</v>
      </c>
      <c r="I215" s="307">
        <v>16.0</v>
      </c>
      <c r="J215" s="308">
        <v>0.0</v>
      </c>
      <c r="K215" s="22" t="s">
        <v>1236</v>
      </c>
      <c r="L215" s="22">
        <v>5.462249443E9</v>
      </c>
      <c r="M215" s="22" t="s">
        <v>61</v>
      </c>
      <c r="N215" s="22" t="s">
        <v>107</v>
      </c>
      <c r="O215" s="22" t="s">
        <v>1237</v>
      </c>
      <c r="P215" s="22" t="s">
        <v>666</v>
      </c>
      <c r="Q215" s="309">
        <f>COUNTIF('Hedef Liste'!A:A,A215)</f>
        <v>1</v>
      </c>
    </row>
    <row r="216" hidden="1">
      <c r="A216" s="22" t="s">
        <v>2714</v>
      </c>
      <c r="B216" s="22" t="s">
        <v>2715</v>
      </c>
      <c r="C216" s="306" t="s">
        <v>3959</v>
      </c>
      <c r="D216" s="22" t="s">
        <v>45</v>
      </c>
      <c r="E216" s="307">
        <v>844.0</v>
      </c>
      <c r="F216" s="307">
        <v>14.0</v>
      </c>
      <c r="G216" s="307">
        <v>15.0</v>
      </c>
      <c r="H216" s="307">
        <v>21.0</v>
      </c>
      <c r="I216" s="307">
        <v>36.0</v>
      </c>
      <c r="J216" s="308">
        <v>0.42</v>
      </c>
      <c r="K216" s="22" t="s">
        <v>1925</v>
      </c>
      <c r="L216" s="22">
        <v>5.454363838E9</v>
      </c>
      <c r="M216" s="22" t="s">
        <v>71</v>
      </c>
      <c r="N216" s="22" t="s">
        <v>214</v>
      </c>
      <c r="O216" s="22" t="s">
        <v>1926</v>
      </c>
      <c r="P216" s="22" t="s">
        <v>666</v>
      </c>
      <c r="Q216" s="309">
        <f>COUNTIF('Hedef Liste'!A:A,A216)</f>
        <v>1</v>
      </c>
    </row>
    <row r="217" hidden="1">
      <c r="A217" s="22" t="s">
        <v>705</v>
      </c>
      <c r="B217" s="22" t="s">
        <v>706</v>
      </c>
      <c r="C217" s="306" t="s">
        <v>3959</v>
      </c>
      <c r="D217" s="22" t="s">
        <v>406</v>
      </c>
      <c r="E217" s="307">
        <v>922.0</v>
      </c>
      <c r="F217" s="307">
        <v>26.0</v>
      </c>
      <c r="G217" s="307">
        <v>27.0</v>
      </c>
      <c r="H217" s="307">
        <v>19.0</v>
      </c>
      <c r="I217" s="307">
        <v>46.0</v>
      </c>
      <c r="J217" s="308">
        <v>0.59</v>
      </c>
      <c r="K217" s="22" t="s">
        <v>707</v>
      </c>
      <c r="L217" s="22">
        <v>3.522230405E9</v>
      </c>
      <c r="M217" s="22" t="s">
        <v>71</v>
      </c>
      <c r="N217" s="22" t="s">
        <v>708</v>
      </c>
      <c r="O217" s="22" t="s">
        <v>709</v>
      </c>
      <c r="P217" s="22" t="s">
        <v>666</v>
      </c>
      <c r="Q217" s="309">
        <f>COUNTIF('Hedef Liste'!A:A,A217)</f>
        <v>1</v>
      </c>
    </row>
    <row r="218" hidden="1">
      <c r="A218" s="22" t="s">
        <v>309</v>
      </c>
      <c r="B218" s="22" t="s">
        <v>310</v>
      </c>
      <c r="C218" s="306" t="s">
        <v>3959</v>
      </c>
      <c r="D218" s="22" t="s">
        <v>100</v>
      </c>
      <c r="E218" s="307">
        <v>126.0</v>
      </c>
      <c r="F218" s="310"/>
      <c r="G218" s="307">
        <v>7.0</v>
      </c>
      <c r="H218" s="307">
        <v>5.0</v>
      </c>
      <c r="I218" s="307">
        <v>12.0</v>
      </c>
      <c r="J218" s="308">
        <v>0.58</v>
      </c>
      <c r="K218" s="22" t="s">
        <v>311</v>
      </c>
      <c r="L218" s="22">
        <v>5.449090446E9</v>
      </c>
      <c r="M218" s="22" t="s">
        <v>47</v>
      </c>
      <c r="N218" s="22" t="s">
        <v>48</v>
      </c>
      <c r="O218" s="22" t="s">
        <v>312</v>
      </c>
      <c r="P218" s="22" t="s">
        <v>666</v>
      </c>
      <c r="Q218" s="309">
        <f>COUNTIF('Hedef Liste'!A:A,A218)</f>
        <v>1</v>
      </c>
    </row>
    <row r="219" hidden="1">
      <c r="A219" s="22" t="s">
        <v>1177</v>
      </c>
      <c r="B219" s="22" t="s">
        <v>1178</v>
      </c>
      <c r="C219" s="306" t="s">
        <v>3959</v>
      </c>
      <c r="D219" s="22" t="s">
        <v>69</v>
      </c>
      <c r="E219" s="307">
        <v>315.0</v>
      </c>
      <c r="F219" s="307">
        <v>12.0</v>
      </c>
      <c r="G219" s="307">
        <v>12.0</v>
      </c>
      <c r="H219" s="307">
        <v>5.0</v>
      </c>
      <c r="I219" s="307">
        <v>17.0</v>
      </c>
      <c r="J219" s="308">
        <v>0.71</v>
      </c>
      <c r="K219" s="22" t="s">
        <v>1179</v>
      </c>
      <c r="L219" s="22">
        <v>5.365630093E9</v>
      </c>
      <c r="M219" s="22" t="s">
        <v>71</v>
      </c>
      <c r="N219" s="22" t="s">
        <v>588</v>
      </c>
      <c r="O219" s="22" t="s">
        <v>1180</v>
      </c>
      <c r="P219" s="22" t="s">
        <v>666</v>
      </c>
      <c r="Q219" s="309">
        <f>COUNTIF('Hedef Liste'!A:A,A219)</f>
        <v>1</v>
      </c>
    </row>
    <row r="220" hidden="1">
      <c r="A220" s="22" t="s">
        <v>1611</v>
      </c>
      <c r="B220" s="22" t="s">
        <v>1612</v>
      </c>
      <c r="C220" s="306" t="s">
        <v>3959</v>
      </c>
      <c r="D220" s="22" t="s">
        <v>505</v>
      </c>
      <c r="E220" s="307">
        <v>1001.0</v>
      </c>
      <c r="F220" s="307">
        <v>21.0</v>
      </c>
      <c r="G220" s="307">
        <v>0.0</v>
      </c>
      <c r="H220" s="307">
        <v>44.0</v>
      </c>
      <c r="I220" s="307">
        <v>44.0</v>
      </c>
      <c r="J220" s="308">
        <v>0.0</v>
      </c>
      <c r="K220" s="22" t="s">
        <v>1613</v>
      </c>
      <c r="L220" s="22">
        <v>3.523399438E9</v>
      </c>
      <c r="M220" s="22" t="s">
        <v>71</v>
      </c>
      <c r="N220" s="22" t="s">
        <v>4040</v>
      </c>
      <c r="O220" s="22" t="s">
        <v>1614</v>
      </c>
      <c r="P220" s="22" t="s">
        <v>666</v>
      </c>
      <c r="Q220" s="309">
        <f>COUNTIF('Hedef Liste'!A:A,A220)</f>
        <v>1</v>
      </c>
    </row>
    <row r="221" hidden="1">
      <c r="A221" s="22" t="s">
        <v>1590</v>
      </c>
      <c r="B221" s="22" t="s">
        <v>1591</v>
      </c>
      <c r="C221" s="306" t="s">
        <v>3959</v>
      </c>
      <c r="D221" s="22" t="s">
        <v>406</v>
      </c>
      <c r="E221" s="307">
        <v>1611.0</v>
      </c>
      <c r="F221" s="307">
        <v>40.0</v>
      </c>
      <c r="G221" s="307">
        <v>9.0</v>
      </c>
      <c r="H221" s="307">
        <v>6.0</v>
      </c>
      <c r="I221" s="307">
        <v>15.0</v>
      </c>
      <c r="J221" s="308">
        <v>0.6</v>
      </c>
      <c r="K221" s="22" t="s">
        <v>1592</v>
      </c>
      <c r="L221" s="22">
        <v>3.52240616E9</v>
      </c>
      <c r="M221" s="22" t="s">
        <v>71</v>
      </c>
      <c r="N221" s="22" t="s">
        <v>1593</v>
      </c>
      <c r="O221" s="22" t="s">
        <v>1594</v>
      </c>
      <c r="P221" s="22" t="s">
        <v>666</v>
      </c>
      <c r="Q221" s="309">
        <f>COUNTIF('Hedef Liste'!A:A,A221)</f>
        <v>1</v>
      </c>
    </row>
    <row r="222" hidden="1">
      <c r="A222" s="22" t="s">
        <v>2863</v>
      </c>
      <c r="B222" s="22" t="s">
        <v>2864</v>
      </c>
      <c r="C222" s="306" t="s">
        <v>3959</v>
      </c>
      <c r="D222" s="22" t="s">
        <v>45</v>
      </c>
      <c r="E222" s="307">
        <v>7512.0</v>
      </c>
      <c r="F222" s="307">
        <v>272.0</v>
      </c>
      <c r="G222" s="307">
        <v>11.0</v>
      </c>
      <c r="H222" s="307">
        <v>13.0</v>
      </c>
      <c r="I222" s="307">
        <v>24.0</v>
      </c>
      <c r="J222" s="308">
        <v>0.46</v>
      </c>
      <c r="K222" s="22" t="s">
        <v>2865</v>
      </c>
      <c r="L222" s="22">
        <v>3.522334545E9</v>
      </c>
      <c r="M222" s="22" t="s">
        <v>47</v>
      </c>
      <c r="N222" s="22" t="s">
        <v>271</v>
      </c>
      <c r="O222" s="22" t="s">
        <v>2866</v>
      </c>
      <c r="P222" s="22" t="s">
        <v>666</v>
      </c>
      <c r="Q222" s="309">
        <f>COUNTIF('Hedef Liste'!A:A,A222)</f>
        <v>1</v>
      </c>
    </row>
    <row r="223" hidden="1">
      <c r="A223" s="22" t="s">
        <v>1749</v>
      </c>
      <c r="B223" s="22" t="s">
        <v>1750</v>
      </c>
      <c r="C223" s="306" t="s">
        <v>3963</v>
      </c>
      <c r="D223" s="22" t="s">
        <v>69</v>
      </c>
      <c r="E223" s="307">
        <v>123.0</v>
      </c>
      <c r="F223" s="310"/>
      <c r="G223" s="307">
        <v>11.0</v>
      </c>
      <c r="H223" s="307">
        <v>2.0</v>
      </c>
      <c r="I223" s="307">
        <v>13.0</v>
      </c>
      <c r="J223" s="308">
        <v>0.85</v>
      </c>
      <c r="K223" s="22" t="s">
        <v>1751</v>
      </c>
      <c r="L223" s="22">
        <v>5.063295893E9</v>
      </c>
      <c r="M223" s="22" t="s">
        <v>61</v>
      </c>
      <c r="N223" s="22" t="s">
        <v>62</v>
      </c>
      <c r="O223" s="22" t="s">
        <v>1752</v>
      </c>
      <c r="P223" s="22" t="s">
        <v>666</v>
      </c>
      <c r="Q223" s="309">
        <f>COUNTIF('Hedef Liste'!A:A,A223)</f>
        <v>1</v>
      </c>
    </row>
    <row r="224" hidden="1">
      <c r="A224" s="22" t="s">
        <v>2279</v>
      </c>
      <c r="B224" s="22" t="s">
        <v>2280</v>
      </c>
      <c r="C224" s="306" t="s">
        <v>3959</v>
      </c>
      <c r="D224" s="22" t="s">
        <v>653</v>
      </c>
      <c r="E224" s="307">
        <v>5011.0</v>
      </c>
      <c r="F224" s="307">
        <v>82.0</v>
      </c>
      <c r="G224" s="307">
        <v>9.0</v>
      </c>
      <c r="H224" s="307">
        <v>11.0</v>
      </c>
      <c r="I224" s="307">
        <v>20.0</v>
      </c>
      <c r="J224" s="308">
        <v>0.45</v>
      </c>
      <c r="K224" s="22" t="s">
        <v>2276</v>
      </c>
      <c r="L224" s="22">
        <v>3.525037473E9</v>
      </c>
      <c r="M224" s="22" t="s">
        <v>61</v>
      </c>
      <c r="N224" s="22" t="s">
        <v>62</v>
      </c>
      <c r="O224" s="22" t="s">
        <v>2281</v>
      </c>
      <c r="P224" s="22" t="s">
        <v>666</v>
      </c>
      <c r="Q224" s="309">
        <f>COUNTIF('Hedef Liste'!A:A,A224)</f>
        <v>1</v>
      </c>
    </row>
    <row r="225" hidden="1">
      <c r="A225" s="22" t="s">
        <v>2546</v>
      </c>
      <c r="B225" s="22" t="s">
        <v>4215</v>
      </c>
      <c r="C225" s="306" t="s">
        <v>3959</v>
      </c>
      <c r="D225" s="22" t="s">
        <v>45</v>
      </c>
      <c r="E225" s="307">
        <v>4048.0</v>
      </c>
      <c r="F225" s="307">
        <v>24.0</v>
      </c>
      <c r="G225" s="307">
        <v>7.0</v>
      </c>
      <c r="H225" s="307">
        <v>15.0</v>
      </c>
      <c r="I225" s="307">
        <v>22.0</v>
      </c>
      <c r="J225" s="308">
        <v>0.32</v>
      </c>
      <c r="K225" s="22" t="s">
        <v>2548</v>
      </c>
      <c r="L225" s="22">
        <v>3.52504309E9</v>
      </c>
      <c r="M225" s="22" t="s">
        <v>61</v>
      </c>
      <c r="N225" s="22" t="s">
        <v>250</v>
      </c>
      <c r="O225" s="22" t="s">
        <v>2549</v>
      </c>
      <c r="P225" s="22" t="s">
        <v>666</v>
      </c>
      <c r="Q225" s="309">
        <f>COUNTIF('Hedef Liste'!A:A,A225)</f>
        <v>1</v>
      </c>
    </row>
    <row r="226" hidden="1">
      <c r="A226" s="22" t="s">
        <v>4216</v>
      </c>
      <c r="B226" s="22" t="s">
        <v>4217</v>
      </c>
      <c r="C226" s="306" t="s">
        <v>3959</v>
      </c>
      <c r="D226" s="22" t="s">
        <v>100</v>
      </c>
      <c r="E226" s="307">
        <v>410.0</v>
      </c>
      <c r="F226" s="307">
        <v>33.0</v>
      </c>
      <c r="G226" s="307">
        <v>66.0</v>
      </c>
      <c r="H226" s="307">
        <v>6.0</v>
      </c>
      <c r="I226" s="307">
        <v>72.0</v>
      </c>
      <c r="J226" s="308">
        <v>0.92</v>
      </c>
      <c r="K226" s="22" t="s">
        <v>3967</v>
      </c>
      <c r="L226" s="22">
        <v>5.330356904E9</v>
      </c>
      <c r="M226" s="22" t="s">
        <v>47</v>
      </c>
      <c r="N226" s="22" t="s">
        <v>259</v>
      </c>
      <c r="O226" s="22" t="s">
        <v>4218</v>
      </c>
      <c r="P226" s="22" t="s">
        <v>3962</v>
      </c>
      <c r="Q226" s="309">
        <f>COUNTIF('Hedef Liste'!A:A,A226)</f>
        <v>0</v>
      </c>
    </row>
    <row r="227" hidden="1">
      <c r="A227" s="22" t="s">
        <v>4219</v>
      </c>
      <c r="B227" s="22" t="s">
        <v>4220</v>
      </c>
      <c r="C227" s="306" t="s">
        <v>3959</v>
      </c>
      <c r="D227" s="22" t="s">
        <v>100</v>
      </c>
      <c r="E227" s="307">
        <v>210.0</v>
      </c>
      <c r="F227" s="307">
        <v>9.0</v>
      </c>
      <c r="G227" s="307">
        <v>84.0</v>
      </c>
      <c r="H227" s="307">
        <v>8.0</v>
      </c>
      <c r="I227" s="307">
        <v>92.0</v>
      </c>
      <c r="J227" s="308">
        <v>0.91</v>
      </c>
      <c r="K227" s="22" t="s">
        <v>3967</v>
      </c>
      <c r="L227" s="22">
        <v>5.464423884E9</v>
      </c>
      <c r="M227" s="22" t="s">
        <v>61</v>
      </c>
      <c r="N227" s="22" t="s">
        <v>62</v>
      </c>
      <c r="O227" s="22" t="s">
        <v>4221</v>
      </c>
      <c r="P227" s="22" t="s">
        <v>3962</v>
      </c>
      <c r="Q227" s="309">
        <f>COUNTIF('Hedef Liste'!A:A,A227)</f>
        <v>0</v>
      </c>
    </row>
    <row r="228" hidden="1">
      <c r="A228" s="22" t="s">
        <v>1744</v>
      </c>
      <c r="B228" s="22" t="s">
        <v>1745</v>
      </c>
      <c r="C228" s="306" t="s">
        <v>3959</v>
      </c>
      <c r="D228" s="22" t="s">
        <v>1641</v>
      </c>
      <c r="E228" s="307">
        <v>1053.0</v>
      </c>
      <c r="F228" s="307">
        <v>24.0</v>
      </c>
      <c r="G228" s="307">
        <v>23.0</v>
      </c>
      <c r="H228" s="307">
        <v>13.0</v>
      </c>
      <c r="I228" s="307">
        <v>36.0</v>
      </c>
      <c r="J228" s="308">
        <v>0.64</v>
      </c>
      <c r="K228" s="22" t="s">
        <v>1746</v>
      </c>
      <c r="L228" s="22">
        <v>3.522222002E9</v>
      </c>
      <c r="M228" s="22" t="s">
        <v>47</v>
      </c>
      <c r="N228" s="22" t="s">
        <v>1054</v>
      </c>
      <c r="O228" s="22" t="s">
        <v>1747</v>
      </c>
      <c r="P228" s="22" t="s">
        <v>666</v>
      </c>
      <c r="Q228" s="309">
        <f>COUNTIF('Hedef Liste'!A:A,A228)</f>
        <v>1</v>
      </c>
    </row>
    <row r="229" hidden="1">
      <c r="A229" s="22" t="s">
        <v>819</v>
      </c>
      <c r="B229" s="22" t="s">
        <v>820</v>
      </c>
      <c r="C229" s="306" t="s">
        <v>3963</v>
      </c>
      <c r="D229" s="22" t="s">
        <v>69</v>
      </c>
      <c r="E229" s="307">
        <v>15.0</v>
      </c>
      <c r="F229" s="310"/>
      <c r="G229" s="307">
        <v>9.0</v>
      </c>
      <c r="H229" s="307">
        <v>3.0</v>
      </c>
      <c r="I229" s="307">
        <v>12.0</v>
      </c>
      <c r="J229" s="308">
        <v>0.75</v>
      </c>
      <c r="K229" s="22" t="s">
        <v>821</v>
      </c>
      <c r="L229" s="22">
        <v>5.524404044E9</v>
      </c>
      <c r="M229" s="22" t="s">
        <v>47</v>
      </c>
      <c r="N229" s="22" t="s">
        <v>271</v>
      </c>
      <c r="O229" s="22" t="s">
        <v>822</v>
      </c>
      <c r="P229" s="22" t="s">
        <v>666</v>
      </c>
      <c r="Q229" s="309">
        <f>COUNTIF('Hedef Liste'!A:A,A229)</f>
        <v>1</v>
      </c>
    </row>
    <row r="230" hidden="1">
      <c r="A230" s="22" t="s">
        <v>590</v>
      </c>
      <c r="B230" s="22" t="s">
        <v>591</v>
      </c>
      <c r="C230" s="306" t="s">
        <v>3959</v>
      </c>
      <c r="D230" s="22" t="s">
        <v>69</v>
      </c>
      <c r="E230" s="307">
        <v>1167.0</v>
      </c>
      <c r="F230" s="307">
        <v>89.0</v>
      </c>
      <c r="G230" s="307">
        <v>6.0</v>
      </c>
      <c r="H230" s="307">
        <v>3.0</v>
      </c>
      <c r="I230" s="307">
        <v>9.0</v>
      </c>
      <c r="J230" s="308">
        <v>0.67</v>
      </c>
      <c r="K230" s="22" t="s">
        <v>592</v>
      </c>
      <c r="L230" s="22">
        <v>3.523326837E9</v>
      </c>
      <c r="M230" s="22" t="s">
        <v>47</v>
      </c>
      <c r="N230" s="22" t="s">
        <v>271</v>
      </c>
      <c r="O230" s="22" t="s">
        <v>593</v>
      </c>
      <c r="P230" s="22" t="s">
        <v>666</v>
      </c>
      <c r="Q230" s="309">
        <f>COUNTIF('Hedef Liste'!A:A,A230)</f>
        <v>1</v>
      </c>
    </row>
    <row r="231" hidden="1">
      <c r="A231" s="22" t="s">
        <v>2431</v>
      </c>
      <c r="B231" s="22" t="s">
        <v>2432</v>
      </c>
      <c r="C231" s="306" t="s">
        <v>3959</v>
      </c>
      <c r="D231" s="22" t="s">
        <v>100</v>
      </c>
      <c r="E231" s="307">
        <v>750.0</v>
      </c>
      <c r="F231" s="307">
        <v>6.0</v>
      </c>
      <c r="G231" s="307">
        <v>0.0</v>
      </c>
      <c r="H231" s="307">
        <v>26.0</v>
      </c>
      <c r="I231" s="307">
        <v>26.0</v>
      </c>
      <c r="J231" s="308">
        <v>0.0</v>
      </c>
      <c r="K231" s="22" t="s">
        <v>2433</v>
      </c>
      <c r="L231" s="22">
        <v>5.524382803E9</v>
      </c>
      <c r="M231" s="22" t="s">
        <v>47</v>
      </c>
      <c r="N231" s="22" t="s">
        <v>448</v>
      </c>
      <c r="O231" s="22" t="s">
        <v>2434</v>
      </c>
      <c r="P231" s="22" t="s">
        <v>666</v>
      </c>
      <c r="Q231" s="309">
        <f>COUNTIF('Hedef Liste'!A:A,A231)</f>
        <v>1</v>
      </c>
    </row>
    <row r="232" hidden="1">
      <c r="A232" s="22" t="s">
        <v>489</v>
      </c>
      <c r="B232" s="22" t="s">
        <v>490</v>
      </c>
      <c r="C232" s="306" t="s">
        <v>3959</v>
      </c>
      <c r="D232" s="22" t="s">
        <v>69</v>
      </c>
      <c r="E232" s="307">
        <v>1395.0</v>
      </c>
      <c r="F232" s="307">
        <v>109.0</v>
      </c>
      <c r="G232" s="307">
        <v>0.0</v>
      </c>
      <c r="H232" s="307">
        <v>63.0</v>
      </c>
      <c r="I232" s="307">
        <v>63.0</v>
      </c>
      <c r="J232" s="308">
        <v>0.0</v>
      </c>
      <c r="K232" s="22" t="s">
        <v>332</v>
      </c>
      <c r="L232" s="22">
        <v>3.52408863E9</v>
      </c>
      <c r="M232" s="22" t="s">
        <v>47</v>
      </c>
      <c r="N232" s="22" t="s">
        <v>125</v>
      </c>
      <c r="O232" s="22" t="s">
        <v>491</v>
      </c>
      <c r="P232" s="22" t="s">
        <v>666</v>
      </c>
      <c r="Q232" s="309">
        <f>COUNTIF('Hedef Liste'!A:A,A232)</f>
        <v>1</v>
      </c>
    </row>
    <row r="233" hidden="1">
      <c r="A233" s="22" t="s">
        <v>2391</v>
      </c>
      <c r="B233" s="22" t="s">
        <v>4222</v>
      </c>
      <c r="C233" s="306" t="s">
        <v>3959</v>
      </c>
      <c r="D233" s="22" t="s">
        <v>100</v>
      </c>
      <c r="E233" s="307">
        <v>223.0</v>
      </c>
      <c r="F233" s="307">
        <v>4.0</v>
      </c>
      <c r="G233" s="307">
        <v>0.0</v>
      </c>
      <c r="H233" s="307">
        <v>32.0</v>
      </c>
      <c r="I233" s="307">
        <v>32.0</v>
      </c>
      <c r="J233" s="308">
        <v>0.0</v>
      </c>
      <c r="K233" s="22" t="s">
        <v>2393</v>
      </c>
      <c r="L233" s="22">
        <v>3.522326066E9</v>
      </c>
      <c r="M233" s="22" t="s">
        <v>71</v>
      </c>
      <c r="N233" s="22" t="s">
        <v>1814</v>
      </c>
      <c r="O233" s="22" t="s">
        <v>2394</v>
      </c>
      <c r="P233" s="22" t="s">
        <v>666</v>
      </c>
      <c r="Q233" s="309">
        <f>COUNTIF('Hedef Liste'!A:A,A233)</f>
        <v>1</v>
      </c>
    </row>
    <row r="234" hidden="1">
      <c r="A234" s="22" t="s">
        <v>1568</v>
      </c>
      <c r="B234" s="22" t="s">
        <v>1569</v>
      </c>
      <c r="C234" s="306" t="s">
        <v>3959</v>
      </c>
      <c r="D234" s="22" t="s">
        <v>406</v>
      </c>
      <c r="E234" s="307">
        <v>2727.0</v>
      </c>
      <c r="F234" s="307">
        <v>8.0</v>
      </c>
      <c r="G234" s="307">
        <v>0.0</v>
      </c>
      <c r="H234" s="307">
        <v>12.0</v>
      </c>
      <c r="I234" s="307">
        <v>12.0</v>
      </c>
      <c r="J234" s="308">
        <v>0.0</v>
      </c>
      <c r="K234" s="22" t="s">
        <v>1570</v>
      </c>
      <c r="L234" s="22">
        <v>5.541874348E9</v>
      </c>
      <c r="M234" s="22" t="s">
        <v>71</v>
      </c>
      <c r="N234" s="22" t="s">
        <v>1406</v>
      </c>
      <c r="O234" s="22" t="s">
        <v>1571</v>
      </c>
      <c r="P234" s="22" t="s">
        <v>666</v>
      </c>
      <c r="Q234" s="309">
        <f>COUNTIF('Hedef Liste'!A:A,A234)</f>
        <v>1</v>
      </c>
    </row>
    <row r="235" hidden="1">
      <c r="A235" s="22" t="s">
        <v>751</v>
      </c>
      <c r="B235" s="22" t="s">
        <v>752</v>
      </c>
      <c r="C235" s="306" t="s">
        <v>3959</v>
      </c>
      <c r="D235" s="22" t="s">
        <v>653</v>
      </c>
      <c r="E235" s="307">
        <v>26036.0</v>
      </c>
      <c r="F235" s="307">
        <v>1604.0</v>
      </c>
      <c r="G235" s="307">
        <v>30.0</v>
      </c>
      <c r="H235" s="307">
        <v>16.0</v>
      </c>
      <c r="I235" s="307">
        <v>46.0</v>
      </c>
      <c r="J235" s="308">
        <v>0.65</v>
      </c>
      <c r="K235" s="22" t="s">
        <v>753</v>
      </c>
      <c r="L235" s="22">
        <v>5.306240638E9</v>
      </c>
      <c r="M235" s="22" t="s">
        <v>61</v>
      </c>
      <c r="N235" s="22" t="s">
        <v>62</v>
      </c>
      <c r="O235" s="22" t="s">
        <v>754</v>
      </c>
      <c r="P235" s="22" t="s">
        <v>666</v>
      </c>
      <c r="Q235" s="309">
        <f>COUNTIF('Hedef Liste'!A:A,A235)</f>
        <v>1</v>
      </c>
    </row>
    <row r="236" hidden="1">
      <c r="A236" s="22" t="s">
        <v>1151</v>
      </c>
      <c r="B236" s="22" t="s">
        <v>4223</v>
      </c>
      <c r="C236" s="306" t="s">
        <v>3959</v>
      </c>
      <c r="D236" s="22" t="s">
        <v>406</v>
      </c>
      <c r="E236" s="307">
        <v>708.0</v>
      </c>
      <c r="F236" s="307">
        <v>19.0</v>
      </c>
      <c r="G236" s="307">
        <v>0.0</v>
      </c>
      <c r="H236" s="307">
        <v>13.0</v>
      </c>
      <c r="I236" s="307">
        <v>13.0</v>
      </c>
      <c r="J236" s="308">
        <v>0.0</v>
      </c>
      <c r="K236" s="22" t="s">
        <v>1153</v>
      </c>
      <c r="L236" s="22">
        <v>5.528850938E9</v>
      </c>
      <c r="M236" s="22" t="s">
        <v>47</v>
      </c>
      <c r="N236" s="22" t="s">
        <v>525</v>
      </c>
      <c r="O236" s="22" t="s">
        <v>1154</v>
      </c>
      <c r="P236" s="22" t="s">
        <v>666</v>
      </c>
      <c r="Q236" s="309">
        <f>COUNTIF('Hedef Liste'!A:A,A236)</f>
        <v>1</v>
      </c>
    </row>
    <row r="237" hidden="1">
      <c r="A237" s="22" t="s">
        <v>2039</v>
      </c>
      <c r="B237" s="22" t="s">
        <v>2040</v>
      </c>
      <c r="C237" s="306" t="s">
        <v>3959</v>
      </c>
      <c r="D237" s="22" t="s">
        <v>100</v>
      </c>
      <c r="E237" s="307">
        <v>460.0</v>
      </c>
      <c r="F237" s="307">
        <v>5.0</v>
      </c>
      <c r="G237" s="307">
        <v>67.0</v>
      </c>
      <c r="H237" s="307">
        <v>0.0</v>
      </c>
      <c r="I237" s="307">
        <v>67.0</v>
      </c>
      <c r="J237" s="308">
        <v>1.0</v>
      </c>
      <c r="K237" s="22" t="s">
        <v>2041</v>
      </c>
      <c r="L237" s="22">
        <v>3.523373355E9</v>
      </c>
      <c r="M237" s="22" t="s">
        <v>71</v>
      </c>
      <c r="N237" s="22" t="s">
        <v>442</v>
      </c>
      <c r="O237" s="22" t="s">
        <v>2042</v>
      </c>
      <c r="P237" s="22" t="s">
        <v>3962</v>
      </c>
      <c r="Q237" s="309">
        <f>COUNTIF('Hedef Liste'!A:A,A237)</f>
        <v>1</v>
      </c>
    </row>
    <row r="238" hidden="1">
      <c r="A238" s="22" t="s">
        <v>1296</v>
      </c>
      <c r="B238" s="22" t="s">
        <v>1297</v>
      </c>
      <c r="C238" s="306" t="s">
        <v>3959</v>
      </c>
      <c r="D238" s="22" t="s">
        <v>165</v>
      </c>
      <c r="E238" s="307">
        <v>7273.0</v>
      </c>
      <c r="F238" s="307">
        <v>372.0</v>
      </c>
      <c r="G238" s="307">
        <v>0.0</v>
      </c>
      <c r="H238" s="307">
        <v>27.0</v>
      </c>
      <c r="I238" s="307">
        <v>27.0</v>
      </c>
      <c r="J238" s="308">
        <v>0.0</v>
      </c>
      <c r="K238" s="22" t="s">
        <v>1298</v>
      </c>
      <c r="L238" s="22">
        <v>3.524311818E9</v>
      </c>
      <c r="M238" s="22" t="s">
        <v>61</v>
      </c>
      <c r="N238" s="22" t="s">
        <v>62</v>
      </c>
      <c r="O238" s="22" t="s">
        <v>1299</v>
      </c>
      <c r="P238" s="22" t="s">
        <v>666</v>
      </c>
      <c r="Q238" s="309">
        <f>COUNTIF('Hedef Liste'!A:A,A238)</f>
        <v>1</v>
      </c>
    </row>
    <row r="239" hidden="1">
      <c r="A239" s="22" t="s">
        <v>899</v>
      </c>
      <c r="B239" s="22" t="s">
        <v>900</v>
      </c>
      <c r="C239" s="306" t="s">
        <v>3959</v>
      </c>
      <c r="D239" s="22" t="s">
        <v>165</v>
      </c>
      <c r="E239" s="307">
        <v>2015.0</v>
      </c>
      <c r="F239" s="307">
        <v>92.0</v>
      </c>
      <c r="G239" s="307">
        <v>10.0</v>
      </c>
      <c r="H239" s="307">
        <v>50.0</v>
      </c>
      <c r="I239" s="307">
        <v>60.0</v>
      </c>
      <c r="J239" s="308">
        <v>0.17</v>
      </c>
      <c r="K239" s="22" t="s">
        <v>901</v>
      </c>
      <c r="L239" s="22">
        <v>3.52431305E9</v>
      </c>
      <c r="M239" s="22" t="s">
        <v>61</v>
      </c>
      <c r="N239" s="22" t="s">
        <v>62</v>
      </c>
      <c r="O239" s="22" t="s">
        <v>902</v>
      </c>
      <c r="P239" s="22" t="s">
        <v>666</v>
      </c>
      <c r="Q239" s="309">
        <f>COUNTIF('Hedef Liste'!A:A,A239)</f>
        <v>1</v>
      </c>
    </row>
    <row r="240" hidden="1">
      <c r="A240" s="22" t="s">
        <v>2491</v>
      </c>
      <c r="B240" s="22" t="s">
        <v>2492</v>
      </c>
      <c r="C240" s="306" t="s">
        <v>3959</v>
      </c>
      <c r="D240" s="22" t="s">
        <v>172</v>
      </c>
      <c r="E240" s="307">
        <v>7424.0</v>
      </c>
      <c r="F240" s="310"/>
      <c r="G240" s="307">
        <v>12.0</v>
      </c>
      <c r="H240" s="307">
        <v>1.0</v>
      </c>
      <c r="I240" s="307">
        <v>13.0</v>
      </c>
      <c r="J240" s="308">
        <v>0.92</v>
      </c>
      <c r="K240" s="22" t="s">
        <v>2493</v>
      </c>
      <c r="L240" s="22">
        <v>3.523360777E9</v>
      </c>
      <c r="M240" s="22" t="s">
        <v>47</v>
      </c>
      <c r="N240" s="22" t="s">
        <v>2494</v>
      </c>
      <c r="O240" s="22" t="s">
        <v>2495</v>
      </c>
      <c r="P240" s="22" t="s">
        <v>666</v>
      </c>
      <c r="Q240" s="309">
        <f>COUNTIF('Hedef Liste'!A:A,A240)</f>
        <v>1</v>
      </c>
    </row>
    <row r="241" hidden="1">
      <c r="A241" s="22" t="s">
        <v>1429</v>
      </c>
      <c r="B241" s="22" t="s">
        <v>1430</v>
      </c>
      <c r="C241" s="306" t="s">
        <v>3959</v>
      </c>
      <c r="D241" s="22" t="s">
        <v>100</v>
      </c>
      <c r="E241" s="307">
        <v>2200.0</v>
      </c>
      <c r="F241" s="307">
        <v>75.0</v>
      </c>
      <c r="G241" s="307">
        <v>0.0</v>
      </c>
      <c r="H241" s="307">
        <v>23.0</v>
      </c>
      <c r="I241" s="307">
        <v>23.0</v>
      </c>
      <c r="J241" s="308">
        <v>0.0</v>
      </c>
      <c r="K241" s="22" t="s">
        <v>1431</v>
      </c>
      <c r="L241" s="22">
        <v>3.522350707E9</v>
      </c>
      <c r="M241" s="22" t="s">
        <v>47</v>
      </c>
      <c r="N241" s="22" t="s">
        <v>125</v>
      </c>
      <c r="O241" s="22" t="s">
        <v>1432</v>
      </c>
      <c r="P241" s="22" t="s">
        <v>666</v>
      </c>
      <c r="Q241" s="309">
        <f>COUNTIF('Hedef Liste'!A:A,A241)</f>
        <v>1</v>
      </c>
    </row>
    <row r="242" hidden="1">
      <c r="A242" s="22" t="s">
        <v>475</v>
      </c>
      <c r="B242" s="22" t="s">
        <v>476</v>
      </c>
      <c r="C242" s="306" t="s">
        <v>3959</v>
      </c>
      <c r="D242" s="22" t="s">
        <v>69</v>
      </c>
      <c r="E242" s="307">
        <v>1317.0</v>
      </c>
      <c r="F242" s="307">
        <v>30.0</v>
      </c>
      <c r="G242" s="307">
        <v>0.0</v>
      </c>
      <c r="H242" s="307">
        <v>55.0</v>
      </c>
      <c r="I242" s="307">
        <v>55.0</v>
      </c>
      <c r="J242" s="308">
        <v>0.0</v>
      </c>
      <c r="K242" s="22" t="s">
        <v>332</v>
      </c>
      <c r="L242" s="22">
        <v>5.454619844E9</v>
      </c>
      <c r="M242" s="22" t="s">
        <v>47</v>
      </c>
      <c r="N242" s="22" t="s">
        <v>1138</v>
      </c>
      <c r="O242" s="22" t="s">
        <v>334</v>
      </c>
      <c r="P242" s="22" t="s">
        <v>666</v>
      </c>
      <c r="Q242" s="309">
        <f>COUNTIF('Hedef Liste'!A:A,A242)</f>
        <v>1</v>
      </c>
    </row>
    <row r="243" hidden="1">
      <c r="A243" s="22" t="s">
        <v>1624</v>
      </c>
      <c r="B243" s="22" t="s">
        <v>4224</v>
      </c>
      <c r="C243" s="306" t="s">
        <v>3959</v>
      </c>
      <c r="D243" s="22" t="s">
        <v>406</v>
      </c>
      <c r="E243" s="307">
        <v>1724.0</v>
      </c>
      <c r="F243" s="307">
        <v>38.0</v>
      </c>
      <c r="G243" s="307">
        <v>0.0</v>
      </c>
      <c r="H243" s="307">
        <v>19.0</v>
      </c>
      <c r="I243" s="307">
        <v>19.0</v>
      </c>
      <c r="J243" s="308">
        <v>0.0</v>
      </c>
      <c r="K243" s="22" t="s">
        <v>1626</v>
      </c>
      <c r="L243" s="22">
        <v>5.52681381E9</v>
      </c>
      <c r="M243" s="22" t="s">
        <v>47</v>
      </c>
      <c r="N243" s="22" t="s">
        <v>259</v>
      </c>
      <c r="O243" s="22" t="s">
        <v>1627</v>
      </c>
      <c r="P243" s="22" t="s">
        <v>666</v>
      </c>
      <c r="Q243" s="309">
        <f>COUNTIF('Hedef Liste'!A:A,A243)</f>
        <v>1</v>
      </c>
    </row>
    <row r="244" hidden="1">
      <c r="A244" s="22" t="s">
        <v>2820</v>
      </c>
      <c r="B244" s="22" t="s">
        <v>2821</v>
      </c>
      <c r="C244" s="306" t="s">
        <v>3959</v>
      </c>
      <c r="D244" s="22" t="s">
        <v>83</v>
      </c>
      <c r="E244" s="307">
        <v>1981.0</v>
      </c>
      <c r="F244" s="307">
        <v>71.0</v>
      </c>
      <c r="G244" s="307">
        <v>4.0</v>
      </c>
      <c r="H244" s="307">
        <v>7.0</v>
      </c>
      <c r="I244" s="307">
        <v>11.0</v>
      </c>
      <c r="J244" s="308">
        <v>0.36</v>
      </c>
      <c r="K244" s="22" t="s">
        <v>2822</v>
      </c>
      <c r="L244" s="22">
        <v>3.522302525E9</v>
      </c>
      <c r="M244" s="22" t="s">
        <v>47</v>
      </c>
      <c r="N244" s="22" t="s">
        <v>271</v>
      </c>
      <c r="O244" s="22" t="s">
        <v>2823</v>
      </c>
      <c r="P244" s="22" t="s">
        <v>666</v>
      </c>
      <c r="Q244" s="309">
        <f>COUNTIF('Hedef Liste'!A:A,A244)</f>
        <v>1</v>
      </c>
    </row>
    <row r="245" hidden="1">
      <c r="A245" s="22" t="s">
        <v>417</v>
      </c>
      <c r="B245" s="22" t="s">
        <v>418</v>
      </c>
      <c r="C245" s="306" t="s">
        <v>3959</v>
      </c>
      <c r="D245" s="22" t="s">
        <v>406</v>
      </c>
      <c r="E245" s="307">
        <v>2647.0</v>
      </c>
      <c r="F245" s="307">
        <v>17.0</v>
      </c>
      <c r="G245" s="307">
        <v>12.0</v>
      </c>
      <c r="H245" s="307">
        <v>4.0</v>
      </c>
      <c r="I245" s="307">
        <v>16.0</v>
      </c>
      <c r="J245" s="308">
        <v>0.75</v>
      </c>
      <c r="K245" s="22" t="s">
        <v>419</v>
      </c>
      <c r="L245" s="22">
        <v>3.522220414E9</v>
      </c>
      <c r="M245" s="22" t="s">
        <v>71</v>
      </c>
      <c r="N245" s="22" t="s">
        <v>174</v>
      </c>
      <c r="O245" s="22" t="s">
        <v>421</v>
      </c>
      <c r="P245" s="22" t="s">
        <v>666</v>
      </c>
      <c r="Q245" s="309">
        <f>COUNTIF('Hedef Liste'!A:A,A245)</f>
        <v>1</v>
      </c>
    </row>
    <row r="246" hidden="1">
      <c r="A246" s="22" t="s">
        <v>2327</v>
      </c>
      <c r="B246" s="22" t="s">
        <v>2328</v>
      </c>
      <c r="C246" s="306" t="s">
        <v>3963</v>
      </c>
      <c r="D246" s="22" t="s">
        <v>855</v>
      </c>
      <c r="E246" s="307">
        <v>13.0</v>
      </c>
      <c r="F246" s="310"/>
      <c r="G246" s="307">
        <v>18.0</v>
      </c>
      <c r="H246" s="307">
        <v>6.0</v>
      </c>
      <c r="I246" s="307">
        <v>24.0</v>
      </c>
      <c r="J246" s="308">
        <v>0.75</v>
      </c>
      <c r="K246" s="22" t="s">
        <v>2329</v>
      </c>
      <c r="L246" s="22">
        <v>5.412401825E9</v>
      </c>
      <c r="M246" s="22" t="s">
        <v>71</v>
      </c>
      <c r="N246" s="22" t="s">
        <v>2330</v>
      </c>
      <c r="O246" s="22" t="s">
        <v>2331</v>
      </c>
      <c r="P246" s="22" t="s">
        <v>666</v>
      </c>
      <c r="Q246" s="309">
        <f>COUNTIF('Hedef Liste'!A:A,A246)</f>
        <v>1</v>
      </c>
    </row>
    <row r="247" hidden="1">
      <c r="A247" s="22" t="s">
        <v>288</v>
      </c>
      <c r="B247" s="22" t="s">
        <v>289</v>
      </c>
      <c r="C247" s="306" t="s">
        <v>3963</v>
      </c>
      <c r="D247" s="22" t="s">
        <v>100</v>
      </c>
      <c r="E247" s="307">
        <v>273.0</v>
      </c>
      <c r="F247" s="310"/>
      <c r="G247" s="307">
        <v>6.0</v>
      </c>
      <c r="H247" s="307">
        <v>10.0</v>
      </c>
      <c r="I247" s="307">
        <v>16.0</v>
      </c>
      <c r="J247" s="308">
        <v>0.38</v>
      </c>
      <c r="K247" s="22" t="s">
        <v>290</v>
      </c>
      <c r="L247" s="22">
        <v>5.454249333E9</v>
      </c>
      <c r="M247" s="22" t="s">
        <v>71</v>
      </c>
      <c r="N247" s="22" t="s">
        <v>291</v>
      </c>
      <c r="O247" s="22" t="s">
        <v>292</v>
      </c>
      <c r="P247" s="22" t="s">
        <v>666</v>
      </c>
      <c r="Q247" s="309">
        <f>COUNTIF('Hedef Liste'!A:A,A247)</f>
        <v>1</v>
      </c>
    </row>
    <row r="248" hidden="1">
      <c r="A248" s="22" t="s">
        <v>2364</v>
      </c>
      <c r="B248" s="22" t="s">
        <v>2365</v>
      </c>
      <c r="C248" s="306" t="s">
        <v>3963</v>
      </c>
      <c r="D248" s="22" t="s">
        <v>165</v>
      </c>
      <c r="E248" s="307">
        <v>455.0</v>
      </c>
      <c r="F248" s="310"/>
      <c r="G248" s="307">
        <v>0.0</v>
      </c>
      <c r="H248" s="307">
        <v>33.0</v>
      </c>
      <c r="I248" s="307">
        <v>33.0</v>
      </c>
      <c r="J248" s="308">
        <v>0.0</v>
      </c>
      <c r="K248" s="22" t="s">
        <v>430</v>
      </c>
      <c r="L248" s="22">
        <v>3.522345007E9</v>
      </c>
      <c r="M248" s="22" t="s">
        <v>47</v>
      </c>
      <c r="N248" s="22" t="s">
        <v>271</v>
      </c>
      <c r="O248" s="22" t="s">
        <v>2366</v>
      </c>
      <c r="P248" s="22" t="s">
        <v>666</v>
      </c>
      <c r="Q248" s="309">
        <f>COUNTIF('Hedef Liste'!A:A,A248)</f>
        <v>1</v>
      </c>
    </row>
    <row r="249" hidden="1">
      <c r="A249" s="22" t="s">
        <v>866</v>
      </c>
      <c r="B249" s="22" t="s">
        <v>867</v>
      </c>
      <c r="C249" s="306" t="s">
        <v>3959</v>
      </c>
      <c r="D249" s="22" t="s">
        <v>406</v>
      </c>
      <c r="E249" s="307">
        <v>544.0</v>
      </c>
      <c r="F249" s="310"/>
      <c r="G249" s="307">
        <v>0.0</v>
      </c>
      <c r="H249" s="307">
        <v>11.0</v>
      </c>
      <c r="I249" s="307">
        <v>11.0</v>
      </c>
      <c r="J249" s="308">
        <v>0.0</v>
      </c>
      <c r="K249" s="22" t="s">
        <v>868</v>
      </c>
      <c r="L249" s="22">
        <v>3.522222298E9</v>
      </c>
      <c r="M249" s="22" t="s">
        <v>47</v>
      </c>
      <c r="N249" s="22" t="s">
        <v>307</v>
      </c>
      <c r="O249" s="22" t="s">
        <v>869</v>
      </c>
      <c r="P249" s="22" t="s">
        <v>666</v>
      </c>
      <c r="Q249" s="309">
        <f>COUNTIF('Hedef Liste'!A:A,A249)</f>
        <v>1</v>
      </c>
    </row>
    <row r="250" hidden="1">
      <c r="A250" s="22" t="s">
        <v>2065</v>
      </c>
      <c r="B250" s="22" t="s">
        <v>2066</v>
      </c>
      <c r="C250" s="306" t="s">
        <v>3959</v>
      </c>
      <c r="D250" s="22" t="s">
        <v>100</v>
      </c>
      <c r="E250" s="307">
        <v>1553.0</v>
      </c>
      <c r="F250" s="307">
        <v>11.0</v>
      </c>
      <c r="G250" s="307">
        <v>29.0</v>
      </c>
      <c r="H250" s="307">
        <v>6.0</v>
      </c>
      <c r="I250" s="307">
        <v>35.0</v>
      </c>
      <c r="J250" s="308">
        <v>0.83</v>
      </c>
      <c r="K250" s="22" t="s">
        <v>332</v>
      </c>
      <c r="L250" s="22">
        <v>3.52408863E9</v>
      </c>
      <c r="M250" s="22" t="s">
        <v>47</v>
      </c>
      <c r="N250" s="22" t="s">
        <v>125</v>
      </c>
      <c r="O250" s="22" t="s">
        <v>491</v>
      </c>
      <c r="P250" s="22" t="s">
        <v>3962</v>
      </c>
      <c r="Q250" s="309">
        <f>COUNTIF('Hedef Liste'!A:A,A250)</f>
        <v>1</v>
      </c>
    </row>
    <row r="251" hidden="1">
      <c r="A251" s="22" t="s">
        <v>2055</v>
      </c>
      <c r="B251" s="22" t="s">
        <v>2056</v>
      </c>
      <c r="C251" s="306" t="s">
        <v>3959</v>
      </c>
      <c r="D251" s="22" t="s">
        <v>100</v>
      </c>
      <c r="E251" s="307">
        <v>1085.0</v>
      </c>
      <c r="F251" s="307">
        <v>39.0</v>
      </c>
      <c r="G251" s="307">
        <v>40.0</v>
      </c>
      <c r="H251" s="307">
        <v>5.0</v>
      </c>
      <c r="I251" s="307">
        <v>45.0</v>
      </c>
      <c r="J251" s="308">
        <v>0.89</v>
      </c>
      <c r="K251" s="22" t="s">
        <v>1902</v>
      </c>
      <c r="L251" s="22">
        <v>5.422553138E9</v>
      </c>
      <c r="M251" s="22" t="s">
        <v>47</v>
      </c>
      <c r="N251" s="22" t="s">
        <v>1054</v>
      </c>
      <c r="O251" s="22" t="s">
        <v>1907</v>
      </c>
      <c r="P251" s="22" t="s">
        <v>3962</v>
      </c>
      <c r="Q251" s="309">
        <f>COUNTIF('Hedef Liste'!A:A,A251)</f>
        <v>1</v>
      </c>
    </row>
    <row r="252" hidden="1">
      <c r="A252" s="22" t="s">
        <v>2074</v>
      </c>
      <c r="B252" s="22" t="s">
        <v>2075</v>
      </c>
      <c r="C252" s="306" t="s">
        <v>3959</v>
      </c>
      <c r="D252" s="22" t="s">
        <v>100</v>
      </c>
      <c r="E252" s="307">
        <v>384.0</v>
      </c>
      <c r="F252" s="310"/>
      <c r="G252" s="307">
        <v>66.0</v>
      </c>
      <c r="H252" s="307">
        <v>28.0</v>
      </c>
      <c r="I252" s="307">
        <v>94.0</v>
      </c>
      <c r="J252" s="308">
        <v>0.7</v>
      </c>
      <c r="K252" s="22" t="s">
        <v>2076</v>
      </c>
      <c r="L252" s="22">
        <v>5.39217885E9</v>
      </c>
      <c r="M252" s="22" t="s">
        <v>47</v>
      </c>
      <c r="N252" s="22" t="s">
        <v>138</v>
      </c>
      <c r="O252" s="22" t="s">
        <v>2077</v>
      </c>
      <c r="P252" s="22" t="s">
        <v>3962</v>
      </c>
      <c r="Q252" s="309">
        <f>COUNTIF('Hedef Liste'!A:A,A252)</f>
        <v>1</v>
      </c>
    </row>
    <row r="253" hidden="1">
      <c r="A253" s="22" t="s">
        <v>217</v>
      </c>
      <c r="B253" s="22" t="s">
        <v>218</v>
      </c>
      <c r="C253" s="306" t="s">
        <v>3959</v>
      </c>
      <c r="D253" s="22" t="s">
        <v>100</v>
      </c>
      <c r="E253" s="307">
        <v>810.0</v>
      </c>
      <c r="F253" s="307">
        <v>7.0</v>
      </c>
      <c r="G253" s="307">
        <v>0.0</v>
      </c>
      <c r="H253" s="307">
        <v>10.0</v>
      </c>
      <c r="I253" s="307">
        <v>10.0</v>
      </c>
      <c r="J253" s="308">
        <v>0.0</v>
      </c>
      <c r="K253" s="22" t="s">
        <v>219</v>
      </c>
      <c r="L253" s="22">
        <v>5.46694557E9</v>
      </c>
      <c r="M253" s="22" t="s">
        <v>47</v>
      </c>
      <c r="N253" s="22" t="s">
        <v>138</v>
      </c>
      <c r="O253" s="22" t="s">
        <v>220</v>
      </c>
      <c r="P253" s="22" t="s">
        <v>666</v>
      </c>
      <c r="Q253" s="309">
        <f>COUNTIF('Hedef Liste'!A:A,A253)</f>
        <v>1</v>
      </c>
    </row>
    <row r="254" hidden="1">
      <c r="A254" s="22" t="s">
        <v>4225</v>
      </c>
      <c r="B254" s="22" t="s">
        <v>4226</v>
      </c>
      <c r="C254" s="306" t="s">
        <v>3959</v>
      </c>
      <c r="D254" s="22" t="s">
        <v>100</v>
      </c>
      <c r="E254" s="307">
        <v>1717.0</v>
      </c>
      <c r="F254" s="307">
        <v>81.0</v>
      </c>
      <c r="G254" s="307">
        <v>73.0</v>
      </c>
      <c r="H254" s="307">
        <v>7.0</v>
      </c>
      <c r="I254" s="307">
        <v>80.0</v>
      </c>
      <c r="J254" s="308">
        <v>0.91</v>
      </c>
      <c r="K254" s="22" t="s">
        <v>3967</v>
      </c>
      <c r="L254" s="22">
        <v>5.535977669E9</v>
      </c>
      <c r="M254" s="22" t="s">
        <v>47</v>
      </c>
      <c r="N254" s="22" t="s">
        <v>4227</v>
      </c>
      <c r="O254" s="22" t="s">
        <v>4228</v>
      </c>
      <c r="P254" s="22" t="s">
        <v>3962</v>
      </c>
      <c r="Q254" s="309">
        <f>COUNTIF('Hedef Liste'!A:A,A254)</f>
        <v>0</v>
      </c>
    </row>
    <row r="255" hidden="1">
      <c r="A255" s="22" t="s">
        <v>2060</v>
      </c>
      <c r="B255" s="22" t="s">
        <v>4229</v>
      </c>
      <c r="C255" s="306" t="s">
        <v>3959</v>
      </c>
      <c r="D255" s="22" t="s">
        <v>100</v>
      </c>
      <c r="E255" s="307">
        <v>648.0</v>
      </c>
      <c r="F255" s="307">
        <v>10.0</v>
      </c>
      <c r="G255" s="307">
        <v>77.0</v>
      </c>
      <c r="H255" s="307">
        <v>29.0</v>
      </c>
      <c r="I255" s="307">
        <v>106.0</v>
      </c>
      <c r="J255" s="308">
        <v>0.73</v>
      </c>
      <c r="K255" s="22" t="s">
        <v>486</v>
      </c>
      <c r="L255" s="22">
        <v>3.523323221E9</v>
      </c>
      <c r="M255" s="22" t="s">
        <v>47</v>
      </c>
      <c r="N255" s="22" t="s">
        <v>448</v>
      </c>
      <c r="O255" s="22" t="s">
        <v>487</v>
      </c>
      <c r="P255" s="22" t="s">
        <v>3962</v>
      </c>
      <c r="Q255" s="309">
        <f>COUNTIF('Hedef Liste'!A:A,A255)</f>
        <v>1</v>
      </c>
    </row>
    <row r="256" hidden="1">
      <c r="A256" s="22" t="s">
        <v>2670</v>
      </c>
      <c r="B256" s="22" t="s">
        <v>2671</v>
      </c>
      <c r="C256" s="306" t="s">
        <v>3959</v>
      </c>
      <c r="D256" s="22" t="s">
        <v>453</v>
      </c>
      <c r="E256" s="307">
        <v>572.0</v>
      </c>
      <c r="F256" s="307">
        <v>29.0</v>
      </c>
      <c r="G256" s="307">
        <v>0.0</v>
      </c>
      <c r="H256" s="307">
        <v>14.0</v>
      </c>
      <c r="I256" s="307">
        <v>14.0</v>
      </c>
      <c r="J256" s="308">
        <v>0.0</v>
      </c>
      <c r="K256" s="22" t="s">
        <v>2672</v>
      </c>
      <c r="L256" s="22">
        <v>3.52235166E9</v>
      </c>
      <c r="M256" s="22" t="s">
        <v>71</v>
      </c>
      <c r="N256" s="22" t="s">
        <v>797</v>
      </c>
      <c r="O256" s="22" t="s">
        <v>2673</v>
      </c>
      <c r="P256" s="22" t="s">
        <v>666</v>
      </c>
      <c r="Q256" s="309">
        <f>COUNTIF('Hedef Liste'!A:A,A256)</f>
        <v>1</v>
      </c>
    </row>
    <row r="257" hidden="1">
      <c r="A257" s="22" t="s">
        <v>1487</v>
      </c>
      <c r="B257" s="22" t="s">
        <v>1488</v>
      </c>
      <c r="C257" s="306" t="s">
        <v>3963</v>
      </c>
      <c r="D257" s="22" t="s">
        <v>855</v>
      </c>
      <c r="E257" s="307">
        <v>13.0</v>
      </c>
      <c r="F257" s="310"/>
      <c r="G257" s="307">
        <v>0.0</v>
      </c>
      <c r="H257" s="307">
        <v>29.0</v>
      </c>
      <c r="I257" s="307">
        <v>29.0</v>
      </c>
      <c r="J257" s="308">
        <v>0.0</v>
      </c>
      <c r="K257" s="22" t="s">
        <v>1489</v>
      </c>
      <c r="L257" s="22">
        <v>5.527997171E9</v>
      </c>
      <c r="M257" s="22" t="s">
        <v>47</v>
      </c>
      <c r="N257" s="22" t="s">
        <v>1085</v>
      </c>
      <c r="O257" s="22" t="s">
        <v>1490</v>
      </c>
      <c r="P257" s="22" t="s">
        <v>666</v>
      </c>
      <c r="Q257" s="309">
        <f>COUNTIF('Hedef Liste'!A:A,A257)</f>
        <v>1</v>
      </c>
    </row>
    <row r="258" hidden="1">
      <c r="A258" s="22" t="s">
        <v>2122</v>
      </c>
      <c r="B258" s="22" t="s">
        <v>2123</v>
      </c>
      <c r="C258" s="306" t="s">
        <v>3959</v>
      </c>
      <c r="D258" s="22" t="s">
        <v>855</v>
      </c>
      <c r="E258" s="307">
        <v>142.0</v>
      </c>
      <c r="F258" s="307">
        <v>21.0</v>
      </c>
      <c r="G258" s="307">
        <v>0.0</v>
      </c>
      <c r="H258" s="307">
        <v>15.0</v>
      </c>
      <c r="I258" s="307">
        <v>15.0</v>
      </c>
      <c r="J258" s="308">
        <v>0.0</v>
      </c>
      <c r="K258" s="22" t="s">
        <v>2116</v>
      </c>
      <c r="L258" s="22">
        <v>5.523525338E9</v>
      </c>
      <c r="M258" s="22" t="s">
        <v>61</v>
      </c>
      <c r="N258" s="22" t="s">
        <v>250</v>
      </c>
      <c r="O258" s="22" t="s">
        <v>2124</v>
      </c>
      <c r="P258" s="22" t="s">
        <v>666</v>
      </c>
      <c r="Q258" s="309">
        <f>COUNTIF('Hedef Liste'!A:A,A258)</f>
        <v>1</v>
      </c>
    </row>
    <row r="259" hidden="1">
      <c r="A259" s="22" t="s">
        <v>4230</v>
      </c>
      <c r="B259" s="22" t="s">
        <v>4231</v>
      </c>
      <c r="C259" s="306" t="s">
        <v>3959</v>
      </c>
      <c r="D259" s="22" t="s">
        <v>100</v>
      </c>
      <c r="E259" s="307">
        <v>914.0</v>
      </c>
      <c r="F259" s="307">
        <v>12.0</v>
      </c>
      <c r="G259" s="307">
        <v>74.0</v>
      </c>
      <c r="H259" s="307">
        <v>7.0</v>
      </c>
      <c r="I259" s="307">
        <v>81.0</v>
      </c>
      <c r="J259" s="308">
        <v>0.91</v>
      </c>
      <c r="K259" s="22" t="s">
        <v>3967</v>
      </c>
      <c r="L259" s="22">
        <v>5.456246092E9</v>
      </c>
      <c r="M259" s="22" t="s">
        <v>71</v>
      </c>
      <c r="N259" s="22" t="s">
        <v>209</v>
      </c>
      <c r="O259" s="22" t="s">
        <v>4232</v>
      </c>
      <c r="P259" s="22" t="s">
        <v>3962</v>
      </c>
      <c r="Q259" s="309">
        <f>COUNTIF('Hedef Liste'!A:A,A259)</f>
        <v>0</v>
      </c>
    </row>
    <row r="260" hidden="1">
      <c r="A260" s="22" t="s">
        <v>4233</v>
      </c>
      <c r="B260" s="22" t="s">
        <v>4234</v>
      </c>
      <c r="C260" s="306" t="s">
        <v>3963</v>
      </c>
      <c r="D260" s="22" t="s">
        <v>100</v>
      </c>
      <c r="E260" s="307">
        <v>235.0</v>
      </c>
      <c r="F260" s="310"/>
      <c r="G260" s="307">
        <v>71.0</v>
      </c>
      <c r="H260" s="307">
        <v>8.0</v>
      </c>
      <c r="I260" s="307">
        <v>79.0</v>
      </c>
      <c r="J260" s="308">
        <v>0.9</v>
      </c>
      <c r="K260" s="22" t="s">
        <v>3967</v>
      </c>
      <c r="L260" s="22">
        <v>5.531625901E9</v>
      </c>
      <c r="M260" s="22" t="s">
        <v>47</v>
      </c>
      <c r="N260" s="22" t="s">
        <v>155</v>
      </c>
      <c r="O260" s="22" t="s">
        <v>4235</v>
      </c>
      <c r="P260" s="22" t="s">
        <v>3962</v>
      </c>
      <c r="Q260" s="309">
        <f>COUNTIF('Hedef Liste'!A:A,A260)</f>
        <v>0</v>
      </c>
    </row>
    <row r="261" hidden="1">
      <c r="A261" s="22" t="s">
        <v>700</v>
      </c>
      <c r="B261" s="22" t="s">
        <v>701</v>
      </c>
      <c r="C261" s="306" t="s">
        <v>3959</v>
      </c>
      <c r="D261" s="22" t="s">
        <v>59</v>
      </c>
      <c r="E261" s="307">
        <v>1610.0</v>
      </c>
      <c r="F261" s="307">
        <v>30.0</v>
      </c>
      <c r="G261" s="307">
        <v>5.0</v>
      </c>
      <c r="H261" s="307">
        <v>7.0</v>
      </c>
      <c r="I261" s="307">
        <v>12.0</v>
      </c>
      <c r="J261" s="308">
        <v>0.42</v>
      </c>
      <c r="K261" s="22" t="s">
        <v>702</v>
      </c>
      <c r="L261" s="22">
        <v>5.326778217E9</v>
      </c>
      <c r="M261" s="22" t="s">
        <v>61</v>
      </c>
      <c r="N261" s="22" t="s">
        <v>160</v>
      </c>
      <c r="O261" s="22" t="s">
        <v>703</v>
      </c>
      <c r="P261" s="22" t="s">
        <v>666</v>
      </c>
      <c r="Q261" s="309">
        <f>COUNTIF('Hedef Liste'!A:A,A261)</f>
        <v>1</v>
      </c>
    </row>
    <row r="262" hidden="1">
      <c r="A262" s="22" t="s">
        <v>1806</v>
      </c>
      <c r="B262" s="22" t="s">
        <v>4236</v>
      </c>
      <c r="C262" s="306" t="s">
        <v>3963</v>
      </c>
      <c r="D262" s="22" t="s">
        <v>172</v>
      </c>
      <c r="E262" s="307">
        <v>1095.0</v>
      </c>
      <c r="F262" s="310"/>
      <c r="G262" s="307">
        <v>0.0</v>
      </c>
      <c r="H262" s="307">
        <v>16.0</v>
      </c>
      <c r="I262" s="307">
        <v>16.0</v>
      </c>
      <c r="J262" s="308">
        <v>0.0</v>
      </c>
      <c r="K262" s="22" t="s">
        <v>1808</v>
      </c>
      <c r="L262" s="22">
        <v>5.052930859E9</v>
      </c>
      <c r="M262" s="22" t="s">
        <v>71</v>
      </c>
      <c r="N262" s="22" t="s">
        <v>102</v>
      </c>
      <c r="O262" s="22" t="s">
        <v>1809</v>
      </c>
      <c r="P262" s="22" t="s">
        <v>666</v>
      </c>
      <c r="Q262" s="309">
        <f>COUNTIF('Hedef Liste'!A:A,A262)</f>
        <v>1</v>
      </c>
    </row>
    <row r="263" hidden="1">
      <c r="A263" s="22" t="s">
        <v>2025</v>
      </c>
      <c r="B263" s="22" t="s">
        <v>2026</v>
      </c>
      <c r="C263" s="306" t="s">
        <v>3959</v>
      </c>
      <c r="D263" s="22" t="s">
        <v>45</v>
      </c>
      <c r="E263" s="307">
        <v>6647.0</v>
      </c>
      <c r="F263" s="307">
        <v>169.0</v>
      </c>
      <c r="G263" s="307">
        <v>0.0</v>
      </c>
      <c r="H263" s="307">
        <v>28.0</v>
      </c>
      <c r="I263" s="307">
        <v>28.0</v>
      </c>
      <c r="J263" s="308">
        <v>0.0</v>
      </c>
      <c r="K263" s="22" t="s">
        <v>2027</v>
      </c>
      <c r="L263" s="22">
        <v>5.38376376E9</v>
      </c>
      <c r="M263" s="22" t="s">
        <v>61</v>
      </c>
      <c r="N263" s="22" t="s">
        <v>62</v>
      </c>
      <c r="O263" s="22" t="s">
        <v>2028</v>
      </c>
      <c r="P263" s="22" t="s">
        <v>666</v>
      </c>
      <c r="Q263" s="309">
        <f>COUNTIF('Hedef Liste'!A:A,A263)</f>
        <v>1</v>
      </c>
    </row>
    <row r="264" hidden="1">
      <c r="A264" s="22" t="s">
        <v>4237</v>
      </c>
      <c r="B264" s="22" t="s">
        <v>4238</v>
      </c>
      <c r="C264" s="306" t="s">
        <v>3959</v>
      </c>
      <c r="D264" s="22" t="s">
        <v>100</v>
      </c>
      <c r="E264" s="307">
        <v>700.0</v>
      </c>
      <c r="F264" s="307">
        <v>26.0</v>
      </c>
      <c r="G264" s="307">
        <v>64.0</v>
      </c>
      <c r="H264" s="307">
        <v>5.0</v>
      </c>
      <c r="I264" s="307">
        <v>69.0</v>
      </c>
      <c r="J264" s="308">
        <v>0.93</v>
      </c>
      <c r="K264" s="22" t="s">
        <v>1534</v>
      </c>
      <c r="L264" s="22">
        <v>5.526112101E9</v>
      </c>
      <c r="M264" s="22" t="s">
        <v>71</v>
      </c>
      <c r="N264" s="22" t="s">
        <v>102</v>
      </c>
      <c r="O264" s="22" t="s">
        <v>4239</v>
      </c>
      <c r="P264" s="22" t="s">
        <v>3962</v>
      </c>
      <c r="Q264" s="309">
        <f>COUNTIF('Hedef Liste'!A:A,A264)</f>
        <v>0</v>
      </c>
    </row>
    <row r="265" hidden="1">
      <c r="A265" s="22" t="s">
        <v>135</v>
      </c>
      <c r="B265" s="22" t="s">
        <v>136</v>
      </c>
      <c r="C265" s="306" t="s">
        <v>3963</v>
      </c>
      <c r="D265" s="22" t="s">
        <v>100</v>
      </c>
      <c r="E265" s="307">
        <v>296.0</v>
      </c>
      <c r="F265" s="310"/>
      <c r="G265" s="307">
        <v>6.0</v>
      </c>
      <c r="H265" s="307">
        <v>3.0</v>
      </c>
      <c r="I265" s="307">
        <v>9.0</v>
      </c>
      <c r="J265" s="308">
        <v>0.67</v>
      </c>
      <c r="K265" s="22" t="s">
        <v>137</v>
      </c>
      <c r="L265" s="22">
        <v>5.526300238E9</v>
      </c>
      <c r="M265" s="22" t="s">
        <v>47</v>
      </c>
      <c r="N265" s="22" t="s">
        <v>138</v>
      </c>
      <c r="O265" s="22" t="s">
        <v>139</v>
      </c>
      <c r="P265" s="22" t="s">
        <v>666</v>
      </c>
      <c r="Q265" s="309">
        <f>COUNTIF('Hedef Liste'!A:A,A265)</f>
        <v>1</v>
      </c>
    </row>
    <row r="266" hidden="1">
      <c r="A266" s="22" t="s">
        <v>633</v>
      </c>
      <c r="B266" s="22" t="s">
        <v>634</v>
      </c>
      <c r="C266" s="306" t="s">
        <v>3959</v>
      </c>
      <c r="D266" s="22" t="s">
        <v>172</v>
      </c>
      <c r="E266" s="307">
        <v>2155.0</v>
      </c>
      <c r="F266" s="307">
        <v>29.0</v>
      </c>
      <c r="G266" s="307">
        <v>8.0</v>
      </c>
      <c r="H266" s="307">
        <v>8.0</v>
      </c>
      <c r="I266" s="307">
        <v>16.0</v>
      </c>
      <c r="J266" s="308">
        <v>0.5</v>
      </c>
      <c r="K266" s="22" t="s">
        <v>635</v>
      </c>
      <c r="L266" s="22">
        <v>5.528155238E9</v>
      </c>
      <c r="M266" s="22" t="s">
        <v>71</v>
      </c>
      <c r="N266" s="22" t="s">
        <v>204</v>
      </c>
      <c r="O266" s="22" t="s">
        <v>636</v>
      </c>
      <c r="P266" s="22" t="s">
        <v>666</v>
      </c>
      <c r="Q266" s="309">
        <f>COUNTIF('Hedef Liste'!A:A,A266)</f>
        <v>1</v>
      </c>
    </row>
    <row r="267" hidden="1">
      <c r="A267" s="22" t="s">
        <v>479</v>
      </c>
      <c r="B267" s="22" t="s">
        <v>480</v>
      </c>
      <c r="C267" s="306" t="s">
        <v>3959</v>
      </c>
      <c r="D267" s="22" t="s">
        <v>69</v>
      </c>
      <c r="E267" s="307">
        <v>117.0</v>
      </c>
      <c r="F267" s="307">
        <v>8.0</v>
      </c>
      <c r="G267" s="307">
        <v>3.0</v>
      </c>
      <c r="H267" s="307">
        <v>20.0</v>
      </c>
      <c r="I267" s="307">
        <v>23.0</v>
      </c>
      <c r="J267" s="308">
        <v>0.13</v>
      </c>
      <c r="K267" s="22" t="s">
        <v>481</v>
      </c>
      <c r="L267" s="22">
        <v>5.45554196E9</v>
      </c>
      <c r="M267" s="22" t="s">
        <v>47</v>
      </c>
      <c r="N267" s="22" t="s">
        <v>482</v>
      </c>
      <c r="O267" s="22" t="s">
        <v>483</v>
      </c>
      <c r="P267" s="22" t="s">
        <v>666</v>
      </c>
      <c r="Q267" s="309">
        <f>COUNTIF('Hedef Liste'!A:A,A267)</f>
        <v>1</v>
      </c>
    </row>
    <row r="268" hidden="1">
      <c r="A268" s="22" t="s">
        <v>2387</v>
      </c>
      <c r="B268" s="22" t="s">
        <v>2388</v>
      </c>
      <c r="C268" s="306" t="s">
        <v>3959</v>
      </c>
      <c r="D268" s="22" t="s">
        <v>100</v>
      </c>
      <c r="E268" s="307">
        <v>872.0</v>
      </c>
      <c r="F268" s="307">
        <v>39.0</v>
      </c>
      <c r="G268" s="307">
        <v>0.0</v>
      </c>
      <c r="H268" s="307">
        <v>28.0</v>
      </c>
      <c r="I268" s="307">
        <v>28.0</v>
      </c>
      <c r="J268" s="308">
        <v>0.0</v>
      </c>
      <c r="K268" s="22" t="s">
        <v>2389</v>
      </c>
      <c r="L268" s="22">
        <v>3.529990924E9</v>
      </c>
      <c r="M268" s="22" t="s">
        <v>71</v>
      </c>
      <c r="N268" s="22" t="s">
        <v>797</v>
      </c>
      <c r="O268" s="22" t="s">
        <v>2390</v>
      </c>
      <c r="P268" s="22" t="s">
        <v>666</v>
      </c>
      <c r="Q268" s="309">
        <f>COUNTIF('Hedef Liste'!A:A,A268)</f>
        <v>1</v>
      </c>
    </row>
    <row r="269" hidden="1">
      <c r="A269" s="22" t="s">
        <v>2633</v>
      </c>
      <c r="B269" s="22" t="s">
        <v>2634</v>
      </c>
      <c r="C269" s="306" t="s">
        <v>3959</v>
      </c>
      <c r="D269" s="22" t="s">
        <v>100</v>
      </c>
      <c r="E269" s="307">
        <v>521.0</v>
      </c>
      <c r="F269" s="310"/>
      <c r="G269" s="307">
        <v>4.0</v>
      </c>
      <c r="H269" s="307">
        <v>3.0</v>
      </c>
      <c r="I269" s="307">
        <v>7.0</v>
      </c>
      <c r="J269" s="308">
        <v>0.57</v>
      </c>
      <c r="K269" s="22" t="s">
        <v>2635</v>
      </c>
      <c r="L269" s="22">
        <v>5.384357766E9</v>
      </c>
      <c r="M269" s="22" t="s">
        <v>47</v>
      </c>
      <c r="N269" s="22" t="s">
        <v>125</v>
      </c>
      <c r="O269" s="22" t="s">
        <v>2636</v>
      </c>
      <c r="P269" s="22" t="s">
        <v>666</v>
      </c>
      <c r="Q269" s="309">
        <f>COUNTIF('Hedef Liste'!A:A,A269)</f>
        <v>1</v>
      </c>
    </row>
    <row r="270" hidden="1">
      <c r="A270" s="22" t="s">
        <v>671</v>
      </c>
      <c r="B270" s="22" t="s">
        <v>4240</v>
      </c>
      <c r="C270" s="306" t="s">
        <v>3959</v>
      </c>
      <c r="D270" s="22" t="s">
        <v>69</v>
      </c>
      <c r="E270" s="307">
        <v>215.0</v>
      </c>
      <c r="F270" s="307">
        <v>8.0</v>
      </c>
      <c r="G270" s="307">
        <v>10.0</v>
      </c>
      <c r="H270" s="307">
        <v>5.0</v>
      </c>
      <c r="I270" s="307">
        <v>15.0</v>
      </c>
      <c r="J270" s="308">
        <v>0.67</v>
      </c>
      <c r="K270" s="22" t="s">
        <v>673</v>
      </c>
      <c r="L270" s="22">
        <v>5.548739804E9</v>
      </c>
      <c r="M270" s="22" t="s">
        <v>61</v>
      </c>
      <c r="N270" s="22" t="s">
        <v>107</v>
      </c>
      <c r="O270" s="22" t="s">
        <v>674</v>
      </c>
      <c r="P270" s="22" t="s">
        <v>666</v>
      </c>
      <c r="Q270" s="309">
        <f>COUNTIF('Hedef Liste'!A:A,A270)</f>
        <v>1</v>
      </c>
    </row>
    <row r="271" hidden="1">
      <c r="A271" s="22" t="s">
        <v>2043</v>
      </c>
      <c r="B271" s="22" t="s">
        <v>2044</v>
      </c>
      <c r="C271" s="306" t="s">
        <v>3959</v>
      </c>
      <c r="D271" s="22" t="s">
        <v>100</v>
      </c>
      <c r="E271" s="307">
        <v>103.0</v>
      </c>
      <c r="F271" s="310"/>
      <c r="G271" s="307">
        <v>97.0</v>
      </c>
      <c r="H271" s="307">
        <v>92.0</v>
      </c>
      <c r="I271" s="307">
        <v>189.0</v>
      </c>
      <c r="J271" s="308">
        <v>0.51</v>
      </c>
      <c r="K271" s="22" t="s">
        <v>2045</v>
      </c>
      <c r="L271" s="22">
        <v>3.523384412E9</v>
      </c>
      <c r="M271" s="22" t="s">
        <v>71</v>
      </c>
      <c r="N271" s="22" t="s">
        <v>2046</v>
      </c>
      <c r="O271" s="22" t="s">
        <v>2047</v>
      </c>
      <c r="P271" s="22" t="s">
        <v>3962</v>
      </c>
      <c r="Q271" s="309">
        <f>COUNTIF('Hedef Liste'!A:A,A271)</f>
        <v>1</v>
      </c>
    </row>
    <row r="272" hidden="1">
      <c r="A272" s="22" t="s">
        <v>2030</v>
      </c>
      <c r="B272" s="22" t="s">
        <v>2031</v>
      </c>
      <c r="C272" s="306" t="s">
        <v>3959</v>
      </c>
      <c r="D272" s="22" t="s">
        <v>100</v>
      </c>
      <c r="E272" s="307">
        <v>1082.0</v>
      </c>
      <c r="F272" s="307">
        <v>12.0</v>
      </c>
      <c r="G272" s="307">
        <v>41.0</v>
      </c>
      <c r="H272" s="307">
        <v>2.0</v>
      </c>
      <c r="I272" s="307">
        <v>43.0</v>
      </c>
      <c r="J272" s="308">
        <v>0.95</v>
      </c>
      <c r="K272" s="22" t="s">
        <v>464</v>
      </c>
      <c r="L272" s="22">
        <v>5.418372177E9</v>
      </c>
      <c r="M272" s="22" t="s">
        <v>71</v>
      </c>
      <c r="N272" s="22" t="s">
        <v>224</v>
      </c>
      <c r="O272" s="22" t="s">
        <v>2033</v>
      </c>
      <c r="P272" s="22" t="s">
        <v>3962</v>
      </c>
      <c r="Q272" s="309">
        <f>COUNTIF('Hedef Liste'!A:A,A272)</f>
        <v>1</v>
      </c>
    </row>
    <row r="273" hidden="1">
      <c r="A273" s="22" t="s">
        <v>2062</v>
      </c>
      <c r="B273" s="22" t="s">
        <v>2061</v>
      </c>
      <c r="C273" s="306" t="s">
        <v>3959</v>
      </c>
      <c r="D273" s="22" t="s">
        <v>100</v>
      </c>
      <c r="E273" s="307">
        <v>115.0</v>
      </c>
      <c r="F273" s="307">
        <v>9.0</v>
      </c>
      <c r="G273" s="307">
        <v>76.0</v>
      </c>
      <c r="H273" s="307">
        <v>25.0</v>
      </c>
      <c r="I273" s="307">
        <v>101.0</v>
      </c>
      <c r="J273" s="308">
        <v>0.75</v>
      </c>
      <c r="K273" s="22" t="s">
        <v>2063</v>
      </c>
      <c r="L273" s="22">
        <v>3.523325626E9</v>
      </c>
      <c r="M273" s="22" t="s">
        <v>47</v>
      </c>
      <c r="N273" s="22" t="s">
        <v>277</v>
      </c>
      <c r="O273" s="22" t="s">
        <v>2064</v>
      </c>
      <c r="P273" s="22" t="s">
        <v>3962</v>
      </c>
      <c r="Q273" s="309">
        <f>COUNTIF('Hedef Liste'!A:A,A273)</f>
        <v>1</v>
      </c>
    </row>
    <row r="274" hidden="1">
      <c r="A274" s="22" t="s">
        <v>2052</v>
      </c>
      <c r="B274" s="22" t="s">
        <v>2053</v>
      </c>
      <c r="C274" s="306" t="s">
        <v>3959</v>
      </c>
      <c r="D274" s="22" t="s">
        <v>100</v>
      </c>
      <c r="E274" s="307">
        <v>555.0</v>
      </c>
      <c r="F274" s="307">
        <v>21.0</v>
      </c>
      <c r="G274" s="307">
        <v>61.0</v>
      </c>
      <c r="H274" s="307">
        <v>8.0</v>
      </c>
      <c r="I274" s="307">
        <v>69.0</v>
      </c>
      <c r="J274" s="308">
        <v>0.88</v>
      </c>
      <c r="K274" s="22" t="s">
        <v>1917</v>
      </c>
      <c r="L274" s="22">
        <v>5.382853402E9</v>
      </c>
      <c r="M274" s="22" t="s">
        <v>47</v>
      </c>
      <c r="N274" s="22" t="s">
        <v>1091</v>
      </c>
      <c r="O274" s="22" t="s">
        <v>1918</v>
      </c>
      <c r="P274" s="22" t="s">
        <v>3962</v>
      </c>
      <c r="Q274" s="309">
        <f>COUNTIF('Hedef Liste'!A:A,A274)</f>
        <v>1</v>
      </c>
    </row>
    <row r="275" hidden="1">
      <c r="A275" s="22" t="s">
        <v>2058</v>
      </c>
      <c r="B275" s="22" t="s">
        <v>2059</v>
      </c>
      <c r="C275" s="306" t="s">
        <v>3959</v>
      </c>
      <c r="D275" s="22" t="s">
        <v>100</v>
      </c>
      <c r="E275" s="307">
        <v>1071.0</v>
      </c>
      <c r="F275" s="307">
        <v>23.0</v>
      </c>
      <c r="G275" s="307">
        <v>46.0</v>
      </c>
      <c r="H275" s="307">
        <v>7.0</v>
      </c>
      <c r="I275" s="307">
        <v>53.0</v>
      </c>
      <c r="J275" s="308">
        <v>0.87</v>
      </c>
      <c r="K275" s="22" t="s">
        <v>332</v>
      </c>
      <c r="L275" s="22">
        <v>5.454619844E9</v>
      </c>
      <c r="M275" s="22" t="s">
        <v>47</v>
      </c>
      <c r="N275" s="22" t="s">
        <v>333</v>
      </c>
      <c r="O275" s="22" t="s">
        <v>334</v>
      </c>
      <c r="P275" s="22" t="s">
        <v>3962</v>
      </c>
      <c r="Q275" s="309">
        <f>COUNTIF('Hedef Liste'!A:A,A275)</f>
        <v>1</v>
      </c>
    </row>
    <row r="276" hidden="1">
      <c r="A276" s="22" t="s">
        <v>2071</v>
      </c>
      <c r="B276" s="22" t="s">
        <v>2072</v>
      </c>
      <c r="C276" s="306" t="s">
        <v>3959</v>
      </c>
      <c r="D276" s="22" t="s">
        <v>100</v>
      </c>
      <c r="E276" s="307">
        <v>33.0</v>
      </c>
      <c r="F276" s="310"/>
      <c r="G276" s="307">
        <v>74.0</v>
      </c>
      <c r="H276" s="307">
        <v>2.0</v>
      </c>
      <c r="I276" s="307">
        <v>76.0</v>
      </c>
      <c r="J276" s="308">
        <v>0.97</v>
      </c>
      <c r="K276" s="22" t="s">
        <v>1917</v>
      </c>
      <c r="L276" s="22">
        <v>5.382853402E9</v>
      </c>
      <c r="M276" s="22" t="s">
        <v>47</v>
      </c>
      <c r="N276" s="22" t="s">
        <v>155</v>
      </c>
      <c r="O276" s="22" t="s">
        <v>2073</v>
      </c>
      <c r="P276" s="22" t="s">
        <v>3962</v>
      </c>
      <c r="Q276" s="309">
        <f>COUNTIF('Hedef Liste'!A:A,A276)</f>
        <v>1</v>
      </c>
    </row>
    <row r="277" hidden="1">
      <c r="A277" s="22" t="s">
        <v>2078</v>
      </c>
      <c r="B277" s="22" t="s">
        <v>2079</v>
      </c>
      <c r="C277" s="306" t="s">
        <v>3959</v>
      </c>
      <c r="D277" s="22" t="s">
        <v>100</v>
      </c>
      <c r="E277" s="307">
        <v>1304.0</v>
      </c>
      <c r="F277" s="307">
        <v>62.0</v>
      </c>
      <c r="G277" s="307">
        <v>39.0</v>
      </c>
      <c r="H277" s="307">
        <v>30.0</v>
      </c>
      <c r="I277" s="307">
        <v>69.0</v>
      </c>
      <c r="J277" s="308">
        <v>0.57</v>
      </c>
      <c r="K277" s="22" t="s">
        <v>1936</v>
      </c>
      <c r="L277" s="22">
        <v>5.510798018E9</v>
      </c>
      <c r="M277" s="22" t="s">
        <v>61</v>
      </c>
      <c r="N277" s="22" t="s">
        <v>250</v>
      </c>
      <c r="O277" s="22" t="s">
        <v>1937</v>
      </c>
      <c r="P277" s="22" t="s">
        <v>3962</v>
      </c>
      <c r="Q277" s="309">
        <f>COUNTIF('Hedef Liste'!A:A,A277)</f>
        <v>1</v>
      </c>
    </row>
    <row r="278" hidden="1">
      <c r="A278" s="22" t="s">
        <v>2081</v>
      </c>
      <c r="B278" s="22" t="s">
        <v>2082</v>
      </c>
      <c r="C278" s="306" t="s">
        <v>3959</v>
      </c>
      <c r="D278" s="22" t="s">
        <v>100</v>
      </c>
      <c r="E278" s="307">
        <v>2478.0</v>
      </c>
      <c r="F278" s="307">
        <v>19.0</v>
      </c>
      <c r="G278" s="307">
        <v>39.0</v>
      </c>
      <c r="H278" s="307">
        <v>0.0</v>
      </c>
      <c r="I278" s="307">
        <v>39.0</v>
      </c>
      <c r="J278" s="308">
        <v>1.0</v>
      </c>
      <c r="K278" s="22" t="s">
        <v>459</v>
      </c>
      <c r="L278" s="22">
        <v>5.495092224E9</v>
      </c>
      <c r="M278" s="22" t="s">
        <v>61</v>
      </c>
      <c r="N278" s="22" t="s">
        <v>62</v>
      </c>
      <c r="O278" s="22" t="s">
        <v>501</v>
      </c>
      <c r="P278" s="22" t="s">
        <v>3962</v>
      </c>
      <c r="Q278" s="309">
        <f>COUNTIF('Hedef Liste'!A:A,A278)</f>
        <v>1</v>
      </c>
    </row>
    <row r="279" hidden="1">
      <c r="A279" s="22" t="s">
        <v>2409</v>
      </c>
      <c r="B279" s="22" t="s">
        <v>4241</v>
      </c>
      <c r="C279" s="306" t="s">
        <v>3959</v>
      </c>
      <c r="D279" s="22" t="s">
        <v>100</v>
      </c>
      <c r="E279" s="307">
        <v>943.0</v>
      </c>
      <c r="F279" s="307">
        <v>44.0</v>
      </c>
      <c r="G279" s="307">
        <v>0.0</v>
      </c>
      <c r="H279" s="307">
        <v>46.0</v>
      </c>
      <c r="I279" s="307">
        <v>46.0</v>
      </c>
      <c r="J279" s="308">
        <v>0.0</v>
      </c>
      <c r="K279" s="22" t="s">
        <v>2410</v>
      </c>
      <c r="L279" s="22">
        <v>5.536699338E9</v>
      </c>
      <c r="M279" s="22" t="s">
        <v>47</v>
      </c>
      <c r="N279" s="22" t="s">
        <v>525</v>
      </c>
      <c r="O279" s="22" t="s">
        <v>4242</v>
      </c>
      <c r="P279" s="22" t="s">
        <v>666</v>
      </c>
      <c r="Q279" s="309">
        <f>COUNTIF('Hedef Liste'!A:A,A279)</f>
        <v>1</v>
      </c>
    </row>
    <row r="280" hidden="1">
      <c r="A280" s="22" t="s">
        <v>104</v>
      </c>
      <c r="B280" s="22" t="s">
        <v>105</v>
      </c>
      <c r="C280" s="306" t="s">
        <v>3959</v>
      </c>
      <c r="D280" s="22" t="s">
        <v>100</v>
      </c>
      <c r="E280" s="307">
        <v>88.0</v>
      </c>
      <c r="F280" s="307">
        <v>1.0</v>
      </c>
      <c r="G280" s="307">
        <v>4.0</v>
      </c>
      <c r="H280" s="307">
        <v>10.0</v>
      </c>
      <c r="I280" s="307">
        <v>14.0</v>
      </c>
      <c r="J280" s="308">
        <v>0.29</v>
      </c>
      <c r="K280" s="22" t="s">
        <v>106</v>
      </c>
      <c r="L280" s="22">
        <v>5.431064121E9</v>
      </c>
      <c r="M280" s="22" t="s">
        <v>47</v>
      </c>
      <c r="N280" s="22" t="s">
        <v>107</v>
      </c>
      <c r="O280" s="22" t="s">
        <v>108</v>
      </c>
      <c r="P280" s="22" t="s">
        <v>666</v>
      </c>
      <c r="Q280" s="309">
        <f>COUNTIF('Hedef Liste'!A:A,A280)</f>
        <v>1</v>
      </c>
    </row>
    <row r="281" hidden="1">
      <c r="A281" s="22" t="s">
        <v>404</v>
      </c>
      <c r="B281" s="22" t="s">
        <v>405</v>
      </c>
      <c r="C281" s="306" t="s">
        <v>3959</v>
      </c>
      <c r="D281" s="22" t="s">
        <v>406</v>
      </c>
      <c r="E281" s="307">
        <v>155.0</v>
      </c>
      <c r="F281" s="310"/>
      <c r="G281" s="307">
        <v>0.0</v>
      </c>
      <c r="H281" s="307">
        <v>12.0</v>
      </c>
      <c r="I281" s="307">
        <v>12.0</v>
      </c>
      <c r="J281" s="308">
        <v>0.0</v>
      </c>
      <c r="K281" s="22" t="s">
        <v>407</v>
      </c>
      <c r="L281" s="22">
        <v>5.32525914E9</v>
      </c>
      <c r="M281" s="22" t="s">
        <v>47</v>
      </c>
      <c r="N281" s="22" t="s">
        <v>408</v>
      </c>
      <c r="O281" s="22" t="s">
        <v>409</v>
      </c>
      <c r="P281" s="22" t="s">
        <v>666</v>
      </c>
      <c r="Q281" s="309">
        <f>COUNTIF('Hedef Liste'!A:A,A281)</f>
        <v>1</v>
      </c>
    </row>
    <row r="282" hidden="1">
      <c r="A282" s="22" t="s">
        <v>498</v>
      </c>
      <c r="B282" s="22" t="s">
        <v>458</v>
      </c>
      <c r="C282" s="306" t="s">
        <v>3959</v>
      </c>
      <c r="D282" s="22" t="s">
        <v>69</v>
      </c>
      <c r="E282" s="307">
        <v>305.0</v>
      </c>
      <c r="F282" s="307">
        <v>2.0</v>
      </c>
      <c r="G282" s="307">
        <v>0.0</v>
      </c>
      <c r="H282" s="307">
        <v>11.0</v>
      </c>
      <c r="I282" s="307">
        <v>11.0</v>
      </c>
      <c r="J282" s="311">
        <v>0.0</v>
      </c>
      <c r="K282" s="22" t="s">
        <v>500</v>
      </c>
      <c r="L282" s="22">
        <v>5.495092224E9</v>
      </c>
      <c r="M282" s="22" t="s">
        <v>61</v>
      </c>
      <c r="N282" s="22" t="s">
        <v>62</v>
      </c>
      <c r="O282" s="22" t="s">
        <v>501</v>
      </c>
      <c r="P282" s="22" t="s">
        <v>666</v>
      </c>
      <c r="Q282" s="309">
        <f>COUNTIF('Hedef Liste'!A:A,A282)</f>
        <v>1</v>
      </c>
    </row>
    <row r="283" hidden="1">
      <c r="A283" s="22" t="s">
        <v>2624</v>
      </c>
      <c r="B283" s="22" t="s">
        <v>2625</v>
      </c>
      <c r="C283" s="306" t="s">
        <v>3959</v>
      </c>
      <c r="D283" s="22" t="s">
        <v>69</v>
      </c>
      <c r="E283" s="307">
        <v>54.0</v>
      </c>
      <c r="F283" s="307">
        <v>8.0</v>
      </c>
      <c r="G283" s="307">
        <v>11.0</v>
      </c>
      <c r="H283" s="307">
        <v>17.0</v>
      </c>
      <c r="I283" s="307">
        <v>28.0</v>
      </c>
      <c r="J283" s="308">
        <v>0.39</v>
      </c>
      <c r="K283" s="22" t="s">
        <v>2626</v>
      </c>
      <c r="L283" s="22">
        <v>5.061669494E9</v>
      </c>
      <c r="M283" s="22" t="s">
        <v>71</v>
      </c>
      <c r="N283" s="22" t="s">
        <v>543</v>
      </c>
      <c r="O283" s="22" t="s">
        <v>2627</v>
      </c>
      <c r="P283" s="22" t="s">
        <v>666</v>
      </c>
      <c r="Q283" s="309">
        <f>COUNTIF('Hedef Liste'!A:A,A283)</f>
        <v>1</v>
      </c>
    </row>
    <row r="284" hidden="1">
      <c r="A284" s="22" t="s">
        <v>2118</v>
      </c>
      <c r="B284" s="22" t="s">
        <v>2119</v>
      </c>
      <c r="C284" s="306" t="s">
        <v>3959</v>
      </c>
      <c r="D284" s="22" t="s">
        <v>855</v>
      </c>
      <c r="E284" s="307">
        <v>153.0</v>
      </c>
      <c r="F284" s="307">
        <v>11.0</v>
      </c>
      <c r="G284" s="307">
        <v>4.0</v>
      </c>
      <c r="H284" s="307">
        <v>4.0</v>
      </c>
      <c r="I284" s="307">
        <v>8.0</v>
      </c>
      <c r="J284" s="308">
        <v>0.5</v>
      </c>
      <c r="K284" s="22" t="s">
        <v>2120</v>
      </c>
      <c r="L284" s="22">
        <v>3.52503422E9</v>
      </c>
      <c r="M284" s="22" t="s">
        <v>61</v>
      </c>
      <c r="N284" s="22" t="s">
        <v>62</v>
      </c>
      <c r="O284" s="22" t="s">
        <v>2121</v>
      </c>
      <c r="P284" s="22" t="s">
        <v>666</v>
      </c>
      <c r="Q284" s="309">
        <f>COUNTIF('Hedef Liste'!A:A,A284)</f>
        <v>1</v>
      </c>
    </row>
    <row r="285" hidden="1">
      <c r="A285" s="22" t="s">
        <v>2035</v>
      </c>
      <c r="B285" s="22" t="s">
        <v>4243</v>
      </c>
      <c r="C285" s="306" t="s">
        <v>3959</v>
      </c>
      <c r="D285" s="22" t="s">
        <v>100</v>
      </c>
      <c r="E285" s="307">
        <v>128.0</v>
      </c>
      <c r="F285" s="310"/>
      <c r="G285" s="307">
        <v>38.0</v>
      </c>
      <c r="H285" s="307">
        <v>4.0</v>
      </c>
      <c r="I285" s="307">
        <v>42.0</v>
      </c>
      <c r="J285" s="308">
        <v>0.9</v>
      </c>
      <c r="K285" s="22" t="s">
        <v>4244</v>
      </c>
      <c r="L285" s="22">
        <v>5.415538674E9</v>
      </c>
      <c r="M285" s="22" t="s">
        <v>71</v>
      </c>
      <c r="N285" s="22" t="s">
        <v>209</v>
      </c>
      <c r="O285" s="22" t="s">
        <v>2038</v>
      </c>
      <c r="P285" s="22" t="s">
        <v>3962</v>
      </c>
      <c r="Q285" s="309">
        <f>COUNTIF('Hedef Liste'!A:A,A285)</f>
        <v>1</v>
      </c>
    </row>
    <row r="286" hidden="1">
      <c r="A286" s="22" t="s">
        <v>2048</v>
      </c>
      <c r="B286" s="22" t="s">
        <v>2049</v>
      </c>
      <c r="C286" s="306" t="s">
        <v>3963</v>
      </c>
      <c r="D286" s="22" t="s">
        <v>100</v>
      </c>
      <c r="E286" s="307">
        <v>51.0</v>
      </c>
      <c r="F286" s="310"/>
      <c r="G286" s="307">
        <v>97.0</v>
      </c>
      <c r="H286" s="307">
        <v>92.0</v>
      </c>
      <c r="I286" s="307">
        <v>189.0</v>
      </c>
      <c r="J286" s="308">
        <v>0.51</v>
      </c>
      <c r="K286" s="22" t="s">
        <v>2050</v>
      </c>
      <c r="L286" s="22">
        <v>5.510677769E9</v>
      </c>
      <c r="M286" s="22" t="s">
        <v>71</v>
      </c>
      <c r="N286" s="22" t="s">
        <v>748</v>
      </c>
      <c r="O286" s="22" t="s">
        <v>2051</v>
      </c>
      <c r="P286" s="22" t="s">
        <v>3962</v>
      </c>
      <c r="Q286" s="309">
        <f>COUNTIF('Hedef Liste'!A:A,A286)</f>
        <v>1</v>
      </c>
    </row>
    <row r="287" hidden="1">
      <c r="A287" s="22" t="s">
        <v>2067</v>
      </c>
      <c r="B287" s="22" t="s">
        <v>2068</v>
      </c>
      <c r="C287" s="306" t="s">
        <v>3959</v>
      </c>
      <c r="D287" s="22" t="s">
        <v>100</v>
      </c>
      <c r="E287" s="307">
        <v>1070.0</v>
      </c>
      <c r="F287" s="307">
        <v>26.0</v>
      </c>
      <c r="G287" s="307">
        <v>65.0</v>
      </c>
      <c r="H287" s="307">
        <v>36.0</v>
      </c>
      <c r="I287" s="307">
        <v>101.0</v>
      </c>
      <c r="J287" s="308">
        <v>0.64</v>
      </c>
      <c r="K287" s="22" t="s">
        <v>495</v>
      </c>
      <c r="L287" s="22">
        <v>5.345888618E9</v>
      </c>
      <c r="M287" s="22" t="s">
        <v>47</v>
      </c>
      <c r="N287" s="22" t="s">
        <v>496</v>
      </c>
      <c r="O287" s="22" t="s">
        <v>2069</v>
      </c>
      <c r="P287" s="22" t="s">
        <v>3962</v>
      </c>
      <c r="Q287" s="309">
        <f>COUNTIF('Hedef Liste'!A:A,A287)</f>
        <v>1</v>
      </c>
    </row>
    <row r="288" hidden="1">
      <c r="A288" s="22" t="s">
        <v>667</v>
      </c>
      <c r="B288" s="22" t="s">
        <v>668</v>
      </c>
      <c r="C288" s="306" t="s">
        <v>3963</v>
      </c>
      <c r="D288" s="22" t="s">
        <v>69</v>
      </c>
      <c r="E288" s="307">
        <v>55.0</v>
      </c>
      <c r="F288" s="310"/>
      <c r="G288" s="307">
        <v>19.0</v>
      </c>
      <c r="H288" s="307">
        <v>27.0</v>
      </c>
      <c r="I288" s="307">
        <v>46.0</v>
      </c>
      <c r="J288" s="308">
        <v>0.41</v>
      </c>
      <c r="K288" s="22" t="s">
        <v>669</v>
      </c>
      <c r="L288" s="22">
        <v>5.528954244E9</v>
      </c>
      <c r="M288" s="22" t="s">
        <v>71</v>
      </c>
      <c r="N288" s="22" t="s">
        <v>72</v>
      </c>
      <c r="O288" s="22" t="s">
        <v>670</v>
      </c>
      <c r="P288" s="22" t="s">
        <v>666</v>
      </c>
      <c r="Q288" s="309">
        <f>COUNTIF('Hedef Liste'!A:A,A288)</f>
        <v>1</v>
      </c>
    </row>
    <row r="289" hidden="1">
      <c r="A289" s="22" t="s">
        <v>1882</v>
      </c>
      <c r="B289" s="22" t="s">
        <v>1883</v>
      </c>
      <c r="C289" s="306" t="s">
        <v>3959</v>
      </c>
      <c r="D289" s="22" t="s">
        <v>172</v>
      </c>
      <c r="E289" s="307">
        <v>1429.0</v>
      </c>
      <c r="F289" s="310"/>
      <c r="G289" s="307">
        <v>0.0</v>
      </c>
      <c r="H289" s="307">
        <v>37.0</v>
      </c>
      <c r="I289" s="307">
        <v>37.0</v>
      </c>
      <c r="J289" s="308">
        <v>0.0</v>
      </c>
      <c r="K289" s="22" t="s">
        <v>1884</v>
      </c>
      <c r="L289" s="22">
        <v>5.013201399E9</v>
      </c>
      <c r="M289" s="22" t="s">
        <v>47</v>
      </c>
      <c r="N289" s="22" t="s">
        <v>482</v>
      </c>
      <c r="O289" s="22" t="s">
        <v>1885</v>
      </c>
      <c r="P289" s="22" t="s">
        <v>666</v>
      </c>
      <c r="Q289" s="309">
        <f>COUNTIF('Hedef Liste'!A:A,A289)</f>
        <v>1</v>
      </c>
    </row>
    <row r="290" hidden="1">
      <c r="A290" s="22" t="s">
        <v>4245</v>
      </c>
      <c r="B290" s="22" t="s">
        <v>4246</v>
      </c>
      <c r="C290" s="306" t="s">
        <v>3959</v>
      </c>
      <c r="D290" s="22" t="s">
        <v>100</v>
      </c>
      <c r="E290" s="307">
        <v>1034.0</v>
      </c>
      <c r="F290" s="307">
        <v>4.0</v>
      </c>
      <c r="G290" s="307">
        <v>75.0</v>
      </c>
      <c r="H290" s="307">
        <v>7.0</v>
      </c>
      <c r="I290" s="307">
        <v>82.0</v>
      </c>
      <c r="J290" s="308">
        <v>0.91</v>
      </c>
      <c r="K290" s="22" t="s">
        <v>3967</v>
      </c>
      <c r="L290" s="22">
        <v>5.448387663E9</v>
      </c>
      <c r="M290" s="22" t="s">
        <v>71</v>
      </c>
      <c r="N290" s="22" t="s">
        <v>102</v>
      </c>
      <c r="O290" s="22" t="s">
        <v>4247</v>
      </c>
      <c r="P290" s="22" t="s">
        <v>3962</v>
      </c>
      <c r="Q290" s="309">
        <f>COUNTIF('Hedef Liste'!A:A,A290)</f>
        <v>0</v>
      </c>
    </row>
    <row r="291" hidden="1">
      <c r="A291" s="22" t="s">
        <v>428</v>
      </c>
      <c r="B291" s="22" t="s">
        <v>429</v>
      </c>
      <c r="C291" s="306" t="s">
        <v>3959</v>
      </c>
      <c r="D291" s="22" t="s">
        <v>172</v>
      </c>
      <c r="E291" s="307">
        <v>6536.0</v>
      </c>
      <c r="F291" s="307">
        <v>45.0</v>
      </c>
      <c r="G291" s="307">
        <v>4.0</v>
      </c>
      <c r="H291" s="307">
        <v>3.0</v>
      </c>
      <c r="I291" s="307">
        <v>7.0</v>
      </c>
      <c r="J291" s="308">
        <v>0.57</v>
      </c>
      <c r="K291" s="22" t="s">
        <v>430</v>
      </c>
      <c r="L291" s="22">
        <v>3.52438035E9</v>
      </c>
      <c r="M291" s="22" t="s">
        <v>61</v>
      </c>
      <c r="N291" s="22" t="s">
        <v>62</v>
      </c>
      <c r="O291" s="22" t="s">
        <v>431</v>
      </c>
      <c r="P291" s="22" t="s">
        <v>666</v>
      </c>
      <c r="Q291" s="309">
        <f>COUNTIF('Hedef Liste'!A:A,A291)</f>
        <v>1</v>
      </c>
    </row>
    <row r="292" hidden="1">
      <c r="A292" s="22" t="s">
        <v>67</v>
      </c>
      <c r="B292" s="22" t="s">
        <v>68</v>
      </c>
      <c r="C292" s="306" t="s">
        <v>3959</v>
      </c>
      <c r="D292" s="22" t="s">
        <v>69</v>
      </c>
      <c r="E292" s="307">
        <v>57.0</v>
      </c>
      <c r="F292" s="307">
        <v>3.0</v>
      </c>
      <c r="G292" s="307">
        <v>5.0</v>
      </c>
      <c r="H292" s="307">
        <v>3.0</v>
      </c>
      <c r="I292" s="307">
        <v>8.0</v>
      </c>
      <c r="J292" s="308">
        <v>0.63</v>
      </c>
      <c r="K292" s="22" t="s">
        <v>70</v>
      </c>
      <c r="L292" s="22">
        <v>3.523395958E9</v>
      </c>
      <c r="M292" s="22" t="s">
        <v>71</v>
      </c>
      <c r="N292" s="22" t="s">
        <v>1252</v>
      </c>
      <c r="O292" s="22" t="s">
        <v>73</v>
      </c>
      <c r="P292" s="22" t="s">
        <v>666</v>
      </c>
      <c r="Q292" s="309">
        <f>COUNTIF('Hedef Liste'!A:A,A292)</f>
        <v>1</v>
      </c>
    </row>
    <row r="293" hidden="1">
      <c r="A293" s="22" t="s">
        <v>2419</v>
      </c>
      <c r="B293" s="22" t="s">
        <v>2420</v>
      </c>
      <c r="C293" s="306" t="s">
        <v>3959</v>
      </c>
      <c r="D293" s="22" t="s">
        <v>100</v>
      </c>
      <c r="E293" s="307">
        <v>276.0</v>
      </c>
      <c r="F293" s="307">
        <v>5.0</v>
      </c>
      <c r="G293" s="307">
        <v>0.0</v>
      </c>
      <c r="H293" s="307">
        <v>10.0</v>
      </c>
      <c r="I293" s="307">
        <v>10.0</v>
      </c>
      <c r="J293" s="308">
        <v>0.0</v>
      </c>
      <c r="K293" s="22" t="s">
        <v>2421</v>
      </c>
      <c r="L293" s="22">
        <v>3.525013501E9</v>
      </c>
      <c r="M293" s="22" t="s">
        <v>47</v>
      </c>
      <c r="N293" s="22" t="s">
        <v>482</v>
      </c>
      <c r="O293" s="22" t="s">
        <v>2422</v>
      </c>
      <c r="P293" s="22" t="s">
        <v>666</v>
      </c>
      <c r="Q293" s="309">
        <f>COUNTIF('Hedef Liste'!A:A,A293)</f>
        <v>1</v>
      </c>
    </row>
    <row r="294" hidden="1">
      <c r="A294" s="22" t="s">
        <v>4248</v>
      </c>
      <c r="B294" s="22" t="s">
        <v>4249</v>
      </c>
      <c r="C294" s="306" t="s">
        <v>3959</v>
      </c>
      <c r="D294" s="22" t="s">
        <v>100</v>
      </c>
      <c r="E294" s="307">
        <v>409.0</v>
      </c>
      <c r="F294" s="307">
        <v>19.0</v>
      </c>
      <c r="G294" s="307">
        <v>56.0</v>
      </c>
      <c r="H294" s="307">
        <v>7.0</v>
      </c>
      <c r="I294" s="307">
        <v>63.0</v>
      </c>
      <c r="J294" s="308">
        <v>0.89</v>
      </c>
      <c r="K294" s="22" t="s">
        <v>3967</v>
      </c>
      <c r="L294" s="22">
        <v>5.544506344E9</v>
      </c>
      <c r="M294" s="22" t="s">
        <v>47</v>
      </c>
      <c r="N294" s="22" t="s">
        <v>259</v>
      </c>
      <c r="O294" s="22" t="s">
        <v>4250</v>
      </c>
      <c r="P294" s="22" t="s">
        <v>3962</v>
      </c>
      <c r="Q294" s="309">
        <f>COUNTIF('Hedef Liste'!A:A,A294)</f>
        <v>0</v>
      </c>
    </row>
    <row r="295" hidden="1">
      <c r="A295" s="22" t="s">
        <v>1695</v>
      </c>
      <c r="B295" s="22" t="s">
        <v>1696</v>
      </c>
      <c r="C295" s="306" t="s">
        <v>3959</v>
      </c>
      <c r="D295" s="22" t="s">
        <v>59</v>
      </c>
      <c r="E295" s="307">
        <v>328.0</v>
      </c>
      <c r="F295" s="307">
        <v>19.0</v>
      </c>
      <c r="G295" s="307">
        <v>0.0</v>
      </c>
      <c r="H295" s="307">
        <v>144.0</v>
      </c>
      <c r="I295" s="307">
        <v>144.0</v>
      </c>
      <c r="J295" s="308">
        <v>0.0</v>
      </c>
      <c r="K295" s="22" t="s">
        <v>1697</v>
      </c>
      <c r="L295" s="22">
        <v>5.416974708E9</v>
      </c>
      <c r="M295" s="22" t="s">
        <v>61</v>
      </c>
      <c r="N295" s="22" t="s">
        <v>107</v>
      </c>
      <c r="O295" s="22" t="s">
        <v>1698</v>
      </c>
      <c r="P295" s="22" t="s">
        <v>666</v>
      </c>
      <c r="Q295" s="309">
        <f>COUNTIF('Hedef Liste'!A:A,A295)</f>
        <v>1</v>
      </c>
    </row>
    <row r="296" hidden="1">
      <c r="A296" s="22" t="s">
        <v>2339</v>
      </c>
      <c r="B296" s="22" t="s">
        <v>2340</v>
      </c>
      <c r="C296" s="306" t="s">
        <v>3959</v>
      </c>
      <c r="D296" s="22" t="s">
        <v>165</v>
      </c>
      <c r="E296" s="307">
        <v>81.0</v>
      </c>
      <c r="F296" s="307">
        <v>5.0</v>
      </c>
      <c r="G296" s="307">
        <v>0.0</v>
      </c>
      <c r="H296" s="307">
        <v>14.0</v>
      </c>
      <c r="I296" s="307">
        <v>14.0</v>
      </c>
      <c r="J296" s="308">
        <v>0.0</v>
      </c>
      <c r="K296" s="22" t="s">
        <v>2341</v>
      </c>
      <c r="L296" s="22">
        <v>3.524377125E9</v>
      </c>
      <c r="M296" s="22" t="s">
        <v>47</v>
      </c>
      <c r="N296" s="22" t="s">
        <v>4135</v>
      </c>
      <c r="O296" s="22" t="s">
        <v>2342</v>
      </c>
      <c r="P296" s="22" t="s">
        <v>666</v>
      </c>
      <c r="Q296" s="309">
        <f>COUNTIF('Hedef Liste'!A:A,A296)</f>
        <v>1</v>
      </c>
    </row>
    <row r="297" hidden="1">
      <c r="A297" s="22" t="s">
        <v>1585</v>
      </c>
      <c r="B297" s="22" t="s">
        <v>1586</v>
      </c>
      <c r="C297" s="306" t="s">
        <v>3959</v>
      </c>
      <c r="D297" s="22" t="s">
        <v>406</v>
      </c>
      <c r="E297" s="307">
        <v>316.0</v>
      </c>
      <c r="F297" s="307">
        <v>10.0</v>
      </c>
      <c r="G297" s="307">
        <v>8.0</v>
      </c>
      <c r="H297" s="307">
        <v>1.0</v>
      </c>
      <c r="I297" s="307">
        <v>9.0</v>
      </c>
      <c r="J297" s="308">
        <v>0.89</v>
      </c>
      <c r="K297" s="22" t="s">
        <v>1587</v>
      </c>
      <c r="L297" s="22">
        <v>3.522229893E9</v>
      </c>
      <c r="M297" s="22" t="s">
        <v>47</v>
      </c>
      <c r="N297" s="22" t="s">
        <v>339</v>
      </c>
      <c r="O297" s="22" t="s">
        <v>1588</v>
      </c>
      <c r="P297" s="22" t="s">
        <v>666</v>
      </c>
      <c r="Q297" s="309">
        <f>COUNTIF('Hedef Liste'!A:A,A297)</f>
        <v>1</v>
      </c>
    </row>
    <row r="298" hidden="1">
      <c r="A298" s="22" t="s">
        <v>322</v>
      </c>
      <c r="B298" s="22" t="s">
        <v>323</v>
      </c>
      <c r="C298" s="306" t="s">
        <v>3959</v>
      </c>
      <c r="D298" s="22" t="s">
        <v>100</v>
      </c>
      <c r="E298" s="307">
        <v>258.0</v>
      </c>
      <c r="F298" s="307">
        <v>15.0</v>
      </c>
      <c r="G298" s="307">
        <v>6.0</v>
      </c>
      <c r="H298" s="307">
        <v>16.0</v>
      </c>
      <c r="I298" s="307">
        <v>22.0</v>
      </c>
      <c r="J298" s="308">
        <v>0.27</v>
      </c>
      <c r="K298" s="22" t="s">
        <v>324</v>
      </c>
      <c r="L298" s="22">
        <v>5.525342551E9</v>
      </c>
      <c r="M298" s="22" t="s">
        <v>61</v>
      </c>
      <c r="N298" s="22" t="s">
        <v>62</v>
      </c>
      <c r="O298" s="22" t="s">
        <v>325</v>
      </c>
      <c r="P298" s="22" t="s">
        <v>666</v>
      </c>
      <c r="Q298" s="309">
        <f>COUNTIF('Hedef Liste'!A:A,A298)</f>
        <v>1</v>
      </c>
    </row>
    <row r="299" hidden="1">
      <c r="A299" s="22" t="s">
        <v>1249</v>
      </c>
      <c r="B299" s="22" t="s">
        <v>1250</v>
      </c>
      <c r="C299" s="306" t="s">
        <v>3959</v>
      </c>
      <c r="D299" s="22" t="s">
        <v>100</v>
      </c>
      <c r="E299" s="307">
        <v>423.0</v>
      </c>
      <c r="F299" s="307">
        <v>7.0</v>
      </c>
      <c r="G299" s="307">
        <v>8.0</v>
      </c>
      <c r="H299" s="307">
        <v>3.0</v>
      </c>
      <c r="I299" s="307">
        <v>11.0</v>
      </c>
      <c r="J299" s="308">
        <v>0.73</v>
      </c>
      <c r="K299" s="22" t="s">
        <v>1251</v>
      </c>
      <c r="L299" s="22">
        <v>5.528793898E9</v>
      </c>
      <c r="M299" s="22" t="s">
        <v>71</v>
      </c>
      <c r="N299" s="22" t="s">
        <v>72</v>
      </c>
      <c r="O299" s="22" t="s">
        <v>1253</v>
      </c>
      <c r="P299" s="22" t="s">
        <v>666</v>
      </c>
      <c r="Q299" s="309">
        <f>COUNTIF('Hedef Liste'!A:A,A299)</f>
        <v>1</v>
      </c>
    </row>
    <row r="300" hidden="1">
      <c r="A300" s="22" t="s">
        <v>1664</v>
      </c>
      <c r="B300" s="22" t="s">
        <v>1665</v>
      </c>
      <c r="C300" s="306" t="s">
        <v>3959</v>
      </c>
      <c r="D300" s="22" t="s">
        <v>172</v>
      </c>
      <c r="E300" s="307">
        <v>686.0</v>
      </c>
      <c r="F300" s="307">
        <v>18.0</v>
      </c>
      <c r="G300" s="307">
        <v>0.0</v>
      </c>
      <c r="H300" s="307">
        <v>7.0</v>
      </c>
      <c r="I300" s="307">
        <v>7.0</v>
      </c>
      <c r="J300" s="308">
        <v>0.0</v>
      </c>
      <c r="K300" s="22" t="s">
        <v>1666</v>
      </c>
      <c r="L300" s="22">
        <v>3.523334344E9</v>
      </c>
      <c r="M300" s="22" t="s">
        <v>71</v>
      </c>
      <c r="N300" s="22" t="s">
        <v>265</v>
      </c>
      <c r="O300" s="22" t="s">
        <v>1667</v>
      </c>
      <c r="P300" s="22" t="s">
        <v>666</v>
      </c>
      <c r="Q300" s="309">
        <f>COUNTIF('Hedef Liste'!A:A,A300)</f>
        <v>1</v>
      </c>
    </row>
    <row r="301" hidden="1">
      <c r="A301" s="22" t="s">
        <v>4251</v>
      </c>
      <c r="B301" s="22" t="s">
        <v>4252</v>
      </c>
      <c r="C301" s="306" t="s">
        <v>3959</v>
      </c>
      <c r="D301" s="22" t="s">
        <v>100</v>
      </c>
      <c r="E301" s="307">
        <v>779.0</v>
      </c>
      <c r="F301" s="307">
        <v>35.0</v>
      </c>
      <c r="G301" s="307">
        <v>79.0</v>
      </c>
      <c r="H301" s="307">
        <v>8.0</v>
      </c>
      <c r="I301" s="307">
        <v>87.0</v>
      </c>
      <c r="J301" s="308">
        <v>0.91</v>
      </c>
      <c r="K301" s="22" t="s">
        <v>3967</v>
      </c>
      <c r="L301" s="22">
        <v>5.534076067E9</v>
      </c>
      <c r="M301" s="22" t="s">
        <v>71</v>
      </c>
      <c r="N301" s="22" t="s">
        <v>4253</v>
      </c>
      <c r="O301" s="22" t="s">
        <v>4254</v>
      </c>
      <c r="P301" s="22" t="s">
        <v>3962</v>
      </c>
      <c r="Q301" s="309">
        <f>COUNTIF('Hedef Liste'!A:A,A301)</f>
        <v>0</v>
      </c>
    </row>
    <row r="302" hidden="1">
      <c r="A302" s="22" t="s">
        <v>4255</v>
      </c>
      <c r="B302" s="22" t="s">
        <v>4256</v>
      </c>
      <c r="C302" s="306" t="s">
        <v>3959</v>
      </c>
      <c r="D302" s="22" t="s">
        <v>653</v>
      </c>
      <c r="E302" s="307">
        <v>15066.0</v>
      </c>
      <c r="F302" s="307">
        <v>397.0</v>
      </c>
      <c r="G302" s="307">
        <v>92.0</v>
      </c>
      <c r="H302" s="307">
        <v>1.0</v>
      </c>
      <c r="I302" s="307">
        <v>93.0</v>
      </c>
      <c r="J302" s="308">
        <v>0.99</v>
      </c>
      <c r="K302" s="22" t="s">
        <v>3960</v>
      </c>
      <c r="L302" s="22">
        <v>1.111111111E9</v>
      </c>
      <c r="M302" s="22" t="s">
        <v>61</v>
      </c>
      <c r="N302" s="22" t="s">
        <v>107</v>
      </c>
      <c r="O302" s="22" t="s">
        <v>4257</v>
      </c>
      <c r="P302" s="22" t="s">
        <v>3962</v>
      </c>
      <c r="Q302" s="309">
        <f>COUNTIF('Hedef Liste'!A:A,A302)</f>
        <v>0</v>
      </c>
    </row>
    <row r="303" hidden="1">
      <c r="A303" s="22" t="s">
        <v>1287</v>
      </c>
      <c r="B303" s="22" t="s">
        <v>1288</v>
      </c>
      <c r="C303" s="306" t="s">
        <v>3959</v>
      </c>
      <c r="D303" s="22" t="s">
        <v>45</v>
      </c>
      <c r="E303" s="307">
        <v>6947.0</v>
      </c>
      <c r="F303" s="307">
        <v>123.0</v>
      </c>
      <c r="G303" s="307">
        <v>0.0</v>
      </c>
      <c r="H303" s="307">
        <v>33.0</v>
      </c>
      <c r="I303" s="307">
        <v>33.0</v>
      </c>
      <c r="J303" s="308">
        <v>0.0</v>
      </c>
      <c r="K303" s="22" t="s">
        <v>1289</v>
      </c>
      <c r="L303" s="22">
        <v>5.454264268E9</v>
      </c>
      <c r="M303" s="22" t="s">
        <v>61</v>
      </c>
      <c r="N303" s="22" t="s">
        <v>2639</v>
      </c>
      <c r="O303" s="22" t="s">
        <v>1290</v>
      </c>
      <c r="P303" s="22" t="s">
        <v>666</v>
      </c>
      <c r="Q303" s="309">
        <f>COUNTIF('Hedef Liste'!A:A,A303)</f>
        <v>1</v>
      </c>
    </row>
    <row r="304" hidden="1">
      <c r="A304" s="22" t="s">
        <v>317</v>
      </c>
      <c r="B304" s="22" t="s">
        <v>318</v>
      </c>
      <c r="C304" s="306" t="s">
        <v>3959</v>
      </c>
      <c r="D304" s="22" t="s">
        <v>100</v>
      </c>
      <c r="E304" s="307">
        <v>828.0</v>
      </c>
      <c r="F304" s="307">
        <v>46.0</v>
      </c>
      <c r="G304" s="307">
        <v>5.0</v>
      </c>
      <c r="H304" s="307">
        <v>24.0</v>
      </c>
      <c r="I304" s="307">
        <v>29.0</v>
      </c>
      <c r="J304" s="308">
        <v>0.17</v>
      </c>
      <c r="K304" s="22" t="s">
        <v>319</v>
      </c>
      <c r="L304" s="22">
        <v>3.52437102E9</v>
      </c>
      <c r="M304" s="22" t="s">
        <v>61</v>
      </c>
      <c r="N304" s="22" t="s">
        <v>320</v>
      </c>
      <c r="O304" s="22" t="s">
        <v>321</v>
      </c>
      <c r="P304" s="22" t="s">
        <v>666</v>
      </c>
      <c r="Q304" s="309">
        <f>COUNTIF('Hedef Liste'!A:A,A304)</f>
        <v>1</v>
      </c>
    </row>
    <row r="305" hidden="1">
      <c r="A305" s="22" t="s">
        <v>2020</v>
      </c>
      <c r="B305" s="22" t="s">
        <v>2021</v>
      </c>
      <c r="C305" s="306" t="s">
        <v>3959</v>
      </c>
      <c r="D305" s="22" t="s">
        <v>45</v>
      </c>
      <c r="E305" s="307">
        <v>1111.0</v>
      </c>
      <c r="F305" s="307">
        <v>16.0</v>
      </c>
      <c r="G305" s="307">
        <v>0.0</v>
      </c>
      <c r="H305" s="307">
        <v>47.0</v>
      </c>
      <c r="I305" s="307">
        <v>47.0</v>
      </c>
      <c r="J305" s="308">
        <v>0.0</v>
      </c>
      <c r="K305" s="22" t="s">
        <v>2022</v>
      </c>
      <c r="L305" s="22">
        <v>5.308296632E9</v>
      </c>
      <c r="M305" s="22" t="s">
        <v>61</v>
      </c>
      <c r="N305" s="22" t="s">
        <v>62</v>
      </c>
      <c r="O305" s="22" t="s">
        <v>2023</v>
      </c>
      <c r="P305" s="22" t="s">
        <v>666</v>
      </c>
      <c r="Q305" s="309">
        <f>COUNTIF('Hedef Liste'!A:A,A305)</f>
        <v>1</v>
      </c>
    </row>
    <row r="306" hidden="1">
      <c r="A306" s="22" t="s">
        <v>2376</v>
      </c>
      <c r="B306" s="22" t="s">
        <v>2377</v>
      </c>
      <c r="C306" s="306" t="s">
        <v>3959</v>
      </c>
      <c r="D306" s="22" t="s">
        <v>406</v>
      </c>
      <c r="E306" s="307">
        <v>281.0</v>
      </c>
      <c r="F306" s="310"/>
      <c r="G306" s="307">
        <v>0.0</v>
      </c>
      <c r="H306" s="307">
        <v>16.0</v>
      </c>
      <c r="I306" s="307">
        <v>16.0</v>
      </c>
      <c r="J306" s="308">
        <v>0.0</v>
      </c>
      <c r="K306" s="22" t="s">
        <v>2378</v>
      </c>
      <c r="L306" s="22">
        <v>3.522202538E9</v>
      </c>
      <c r="M306" s="22" t="s">
        <v>71</v>
      </c>
      <c r="N306" s="22" t="s">
        <v>1382</v>
      </c>
      <c r="O306" s="22" t="s">
        <v>2380</v>
      </c>
      <c r="P306" s="22" t="s">
        <v>666</v>
      </c>
      <c r="Q306" s="309">
        <f>COUNTIF('Hedef Liste'!A:A,A306)</f>
        <v>1</v>
      </c>
    </row>
    <row r="307" hidden="1">
      <c r="A307" s="22" t="s">
        <v>1181</v>
      </c>
      <c r="B307" s="22" t="s">
        <v>1182</v>
      </c>
      <c r="C307" s="306" t="s">
        <v>3959</v>
      </c>
      <c r="D307" s="22" t="s">
        <v>69</v>
      </c>
      <c r="E307" s="307">
        <v>183.0</v>
      </c>
      <c r="F307" s="307">
        <v>29.0</v>
      </c>
      <c r="G307" s="307">
        <v>22.0</v>
      </c>
      <c r="H307" s="307">
        <v>15.0</v>
      </c>
      <c r="I307" s="307">
        <v>37.0</v>
      </c>
      <c r="J307" s="308">
        <v>0.59</v>
      </c>
      <c r="K307" s="22" t="s">
        <v>1183</v>
      </c>
      <c r="L307" s="22">
        <v>3.522400374E9</v>
      </c>
      <c r="M307" s="22" t="s">
        <v>47</v>
      </c>
      <c r="N307" s="22" t="s">
        <v>138</v>
      </c>
      <c r="O307" s="22" t="s">
        <v>1184</v>
      </c>
      <c r="P307" s="22" t="s">
        <v>666</v>
      </c>
      <c r="Q307" s="309">
        <f>COUNTIF('Hedef Liste'!A:A,A307)</f>
        <v>1</v>
      </c>
    </row>
    <row r="308" hidden="1">
      <c r="A308" s="22" t="s">
        <v>834</v>
      </c>
      <c r="B308" s="22" t="s">
        <v>835</v>
      </c>
      <c r="C308" s="306" t="s">
        <v>3959</v>
      </c>
      <c r="D308" s="22" t="s">
        <v>69</v>
      </c>
      <c r="E308" s="307">
        <v>9695.0</v>
      </c>
      <c r="F308" s="307">
        <v>817.0</v>
      </c>
      <c r="G308" s="307">
        <v>107.0</v>
      </c>
      <c r="H308" s="307">
        <v>114.0</v>
      </c>
      <c r="I308" s="307">
        <v>221.0</v>
      </c>
      <c r="J308" s="308">
        <v>0.48</v>
      </c>
      <c r="K308" s="22" t="s">
        <v>836</v>
      </c>
      <c r="L308" s="22">
        <v>5.323617738E9</v>
      </c>
      <c r="M308" s="22" t="s">
        <v>61</v>
      </c>
      <c r="N308" s="22" t="s">
        <v>2639</v>
      </c>
      <c r="O308" s="22" t="s">
        <v>837</v>
      </c>
      <c r="P308" s="22" t="s">
        <v>666</v>
      </c>
      <c r="Q308" s="309">
        <f>COUNTIF('Hedef Liste'!A:A,A308)</f>
        <v>1</v>
      </c>
    </row>
    <row r="309" hidden="1">
      <c r="A309" s="22" t="s">
        <v>522</v>
      </c>
      <c r="B309" s="22" t="s">
        <v>523</v>
      </c>
      <c r="C309" s="306" t="s">
        <v>3959</v>
      </c>
      <c r="D309" s="22" t="s">
        <v>505</v>
      </c>
      <c r="E309" s="307">
        <v>1933.0</v>
      </c>
      <c r="F309" s="307">
        <v>10.0</v>
      </c>
      <c r="G309" s="307">
        <v>14.0</v>
      </c>
      <c r="H309" s="307">
        <v>16.0</v>
      </c>
      <c r="I309" s="307">
        <v>30.0</v>
      </c>
      <c r="J309" s="308">
        <v>0.47</v>
      </c>
      <c r="K309" s="22" t="s">
        <v>524</v>
      </c>
      <c r="L309" s="22">
        <v>3.525036099E9</v>
      </c>
      <c r="M309" s="22" t="s">
        <v>47</v>
      </c>
      <c r="N309" s="22" t="s">
        <v>525</v>
      </c>
      <c r="O309" s="22" t="s">
        <v>526</v>
      </c>
      <c r="P309" s="22" t="s">
        <v>666</v>
      </c>
      <c r="Q309" s="309">
        <f>COUNTIF('Hedef Liste'!A:A,A309)</f>
        <v>1</v>
      </c>
    </row>
    <row r="310" hidden="1">
      <c r="A310" s="22" t="s">
        <v>1778</v>
      </c>
      <c r="B310" s="22" t="s">
        <v>1779</v>
      </c>
      <c r="C310" s="306" t="s">
        <v>3959</v>
      </c>
      <c r="D310" s="22" t="s">
        <v>83</v>
      </c>
      <c r="E310" s="307">
        <v>125.0</v>
      </c>
      <c r="F310" s="310"/>
      <c r="G310" s="307">
        <v>0.0</v>
      </c>
      <c r="H310" s="307">
        <v>20.0</v>
      </c>
      <c r="I310" s="307">
        <v>20.0</v>
      </c>
      <c r="J310" s="308">
        <v>0.0</v>
      </c>
      <c r="K310" s="22" t="s">
        <v>1780</v>
      </c>
      <c r="L310" s="22">
        <v>5.532481993E9</v>
      </c>
      <c r="M310" s="22" t="s">
        <v>71</v>
      </c>
      <c r="N310" s="22" t="s">
        <v>684</v>
      </c>
      <c r="O310" s="22" t="s">
        <v>1781</v>
      </c>
      <c r="P310" s="22" t="s">
        <v>666</v>
      </c>
      <c r="Q310" s="309">
        <f>COUNTIF('Hedef Liste'!A:A,A310)</f>
        <v>1</v>
      </c>
    </row>
    <row r="311" hidden="1">
      <c r="A311" s="22" t="s">
        <v>2283</v>
      </c>
      <c r="B311" s="22" t="s">
        <v>2284</v>
      </c>
      <c r="C311" s="306" t="s">
        <v>3959</v>
      </c>
      <c r="D311" s="22" t="s">
        <v>83</v>
      </c>
      <c r="E311" s="307">
        <v>386.0</v>
      </c>
      <c r="F311" s="310"/>
      <c r="G311" s="307">
        <v>14.0</v>
      </c>
      <c r="H311" s="307">
        <v>16.0</v>
      </c>
      <c r="I311" s="307">
        <v>30.0</v>
      </c>
      <c r="J311" s="308">
        <v>0.47</v>
      </c>
      <c r="K311" s="22" t="s">
        <v>2285</v>
      </c>
      <c r="L311" s="22">
        <v>3.5220202E9</v>
      </c>
      <c r="M311" s="22" t="s">
        <v>71</v>
      </c>
      <c r="N311" s="22" t="s">
        <v>420</v>
      </c>
      <c r="O311" s="22" t="s">
        <v>2286</v>
      </c>
      <c r="P311" s="22" t="s">
        <v>666</v>
      </c>
      <c r="Q311" s="309">
        <f>COUNTIF('Hedef Liste'!A:A,A311)</f>
        <v>1</v>
      </c>
    </row>
    <row r="312" hidden="1">
      <c r="A312" s="22" t="s">
        <v>2706</v>
      </c>
      <c r="B312" s="22" t="s">
        <v>2707</v>
      </c>
      <c r="C312" s="306" t="s">
        <v>3959</v>
      </c>
      <c r="D312" s="22" t="s">
        <v>172</v>
      </c>
      <c r="E312" s="307">
        <v>2028.0</v>
      </c>
      <c r="F312" s="307">
        <v>31.0</v>
      </c>
      <c r="G312" s="307">
        <v>0.0</v>
      </c>
      <c r="H312" s="307">
        <v>8.0</v>
      </c>
      <c r="I312" s="307">
        <v>8.0</v>
      </c>
      <c r="J312" s="308">
        <v>0.0</v>
      </c>
      <c r="K312" s="22" t="s">
        <v>2708</v>
      </c>
      <c r="L312" s="22">
        <v>3.523261414E9</v>
      </c>
      <c r="M312" s="22" t="s">
        <v>47</v>
      </c>
      <c r="N312" s="22" t="s">
        <v>1091</v>
      </c>
      <c r="O312" s="22" t="s">
        <v>2709</v>
      </c>
      <c r="P312" s="22" t="s">
        <v>666</v>
      </c>
      <c r="Q312" s="309">
        <f>COUNTIF('Hedef Liste'!A:A,A312)</f>
        <v>1</v>
      </c>
    </row>
    <row r="313" hidden="1">
      <c r="A313" s="22" t="s">
        <v>4258</v>
      </c>
      <c r="B313" s="22" t="s">
        <v>4259</v>
      </c>
      <c r="C313" s="306" t="s">
        <v>3959</v>
      </c>
      <c r="D313" s="22" t="s">
        <v>100</v>
      </c>
      <c r="E313" s="307">
        <v>851.0</v>
      </c>
      <c r="F313" s="307">
        <v>44.0</v>
      </c>
      <c r="G313" s="307">
        <v>7.0</v>
      </c>
      <c r="H313" s="307">
        <v>12.0</v>
      </c>
      <c r="I313" s="307">
        <v>19.0</v>
      </c>
      <c r="J313" s="308">
        <v>0.37</v>
      </c>
      <c r="K313" s="22" t="s">
        <v>4260</v>
      </c>
      <c r="L313" s="22">
        <v>3.525013818E9</v>
      </c>
      <c r="M313" s="22" t="s">
        <v>47</v>
      </c>
      <c r="N313" s="22" t="s">
        <v>482</v>
      </c>
      <c r="O313" s="22" t="s">
        <v>4261</v>
      </c>
      <c r="P313" s="22" t="s">
        <v>666</v>
      </c>
      <c r="Q313" s="309">
        <f>COUNTIF('Hedef Liste'!A:A,A313)</f>
        <v>0</v>
      </c>
    </row>
    <row r="314" hidden="1">
      <c r="A314" s="22" t="s">
        <v>1328</v>
      </c>
      <c r="B314" s="22" t="s">
        <v>1329</v>
      </c>
      <c r="C314" s="306" t="s">
        <v>3959</v>
      </c>
      <c r="D314" s="22" t="s">
        <v>69</v>
      </c>
      <c r="E314" s="307">
        <v>780.0</v>
      </c>
      <c r="F314" s="307">
        <v>26.0</v>
      </c>
      <c r="G314" s="307">
        <v>23.0</v>
      </c>
      <c r="H314" s="307">
        <v>8.0</v>
      </c>
      <c r="I314" s="307">
        <v>31.0</v>
      </c>
      <c r="J314" s="308">
        <v>0.74</v>
      </c>
      <c r="K314" s="22" t="s">
        <v>1330</v>
      </c>
      <c r="L314" s="22">
        <v>5.466017778E9</v>
      </c>
      <c r="M314" s="22" t="s">
        <v>71</v>
      </c>
      <c r="N314" s="22" t="s">
        <v>797</v>
      </c>
      <c r="O314" s="22" t="s">
        <v>1331</v>
      </c>
      <c r="P314" s="22" t="s">
        <v>666</v>
      </c>
      <c r="Q314" s="309">
        <f>COUNTIF('Hedef Liste'!A:A,A314)</f>
        <v>1</v>
      </c>
    </row>
    <row r="315" hidden="1">
      <c r="A315" s="22" t="s">
        <v>2765</v>
      </c>
      <c r="B315" s="22" t="s">
        <v>2766</v>
      </c>
      <c r="C315" s="306" t="s">
        <v>3959</v>
      </c>
      <c r="D315" s="22" t="s">
        <v>1641</v>
      </c>
      <c r="E315" s="307">
        <v>1164.0</v>
      </c>
      <c r="F315" s="307">
        <v>87.0</v>
      </c>
      <c r="G315" s="307">
        <v>13.0</v>
      </c>
      <c r="H315" s="307">
        <v>22.0</v>
      </c>
      <c r="I315" s="307">
        <v>35.0</v>
      </c>
      <c r="J315" s="308">
        <v>0.37</v>
      </c>
      <c r="K315" s="22" t="s">
        <v>2767</v>
      </c>
      <c r="L315" s="22">
        <v>5.411701979E9</v>
      </c>
      <c r="M315" s="22" t="s">
        <v>61</v>
      </c>
      <c r="N315" s="22" t="s">
        <v>62</v>
      </c>
      <c r="O315" s="22" t="s">
        <v>2768</v>
      </c>
      <c r="P315" s="22" t="s">
        <v>666</v>
      </c>
      <c r="Q315" s="309">
        <f>COUNTIF('Hedef Liste'!A:A,A315)</f>
        <v>1</v>
      </c>
    </row>
    <row r="316" hidden="1">
      <c r="A316" s="22" t="s">
        <v>1126</v>
      </c>
      <c r="B316" s="22" t="s">
        <v>1127</v>
      </c>
      <c r="C316" s="306" t="s">
        <v>3959</v>
      </c>
      <c r="D316" s="22" t="s">
        <v>172</v>
      </c>
      <c r="E316" s="307">
        <v>176.0</v>
      </c>
      <c r="F316" s="310"/>
      <c r="G316" s="307">
        <v>9.0</v>
      </c>
      <c r="H316" s="307">
        <v>1.0</v>
      </c>
      <c r="I316" s="307">
        <v>10.0</v>
      </c>
      <c r="J316" s="308">
        <v>0.9</v>
      </c>
      <c r="K316" s="22" t="s">
        <v>1128</v>
      </c>
      <c r="L316" s="22">
        <v>3.522239041E9</v>
      </c>
      <c r="M316" s="22" t="s">
        <v>71</v>
      </c>
      <c r="N316" s="22" t="s">
        <v>265</v>
      </c>
      <c r="O316" s="22" t="s">
        <v>1129</v>
      </c>
      <c r="P316" s="22" t="s">
        <v>666</v>
      </c>
      <c r="Q316" s="309">
        <f>COUNTIF('Hedef Liste'!A:A,A316)</f>
        <v>1</v>
      </c>
    </row>
    <row r="317" hidden="1">
      <c r="A317" s="22" t="s">
        <v>354</v>
      </c>
      <c r="B317" s="22" t="s">
        <v>355</v>
      </c>
      <c r="C317" s="306" t="s">
        <v>3959</v>
      </c>
      <c r="D317" s="22" t="s">
        <v>59</v>
      </c>
      <c r="E317" s="307">
        <v>240.0</v>
      </c>
      <c r="F317" s="307">
        <v>7.0</v>
      </c>
      <c r="G317" s="307">
        <v>0.0</v>
      </c>
      <c r="H317" s="307">
        <v>14.0</v>
      </c>
      <c r="I317" s="307">
        <v>14.0</v>
      </c>
      <c r="J317" s="308">
        <v>0.0</v>
      </c>
      <c r="K317" s="22" t="s">
        <v>356</v>
      </c>
      <c r="L317" s="22">
        <v>5.417423195E9</v>
      </c>
      <c r="M317" s="22" t="s">
        <v>71</v>
      </c>
      <c r="N317" s="22" t="s">
        <v>209</v>
      </c>
      <c r="O317" s="22" t="s">
        <v>358</v>
      </c>
      <c r="P317" s="22" t="s">
        <v>666</v>
      </c>
      <c r="Q317" s="309">
        <f>COUNTIF('Hedef Liste'!A:A,A317)</f>
        <v>1</v>
      </c>
    </row>
    <row r="318" hidden="1">
      <c r="A318" s="22" t="s">
        <v>4262</v>
      </c>
      <c r="B318" s="22" t="s">
        <v>4263</v>
      </c>
      <c r="C318" s="306" t="s">
        <v>3959</v>
      </c>
      <c r="D318" s="22" t="s">
        <v>100</v>
      </c>
      <c r="E318" s="307">
        <v>821.0</v>
      </c>
      <c r="F318" s="307">
        <v>27.0</v>
      </c>
      <c r="G318" s="307">
        <v>60.0</v>
      </c>
      <c r="H318" s="307">
        <v>6.0</v>
      </c>
      <c r="I318" s="307">
        <v>66.0</v>
      </c>
      <c r="J318" s="308">
        <v>0.91</v>
      </c>
      <c r="K318" s="22" t="s">
        <v>3967</v>
      </c>
      <c r="L318" s="22">
        <v>5.050314366E9</v>
      </c>
      <c r="M318" s="22" t="s">
        <v>71</v>
      </c>
      <c r="N318" s="22" t="s">
        <v>4253</v>
      </c>
      <c r="O318" s="22" t="s">
        <v>4264</v>
      </c>
      <c r="P318" s="22" t="s">
        <v>3962</v>
      </c>
      <c r="Q318" s="309">
        <f>COUNTIF('Hedef Liste'!A:A,A318)</f>
        <v>0</v>
      </c>
    </row>
    <row r="319" hidden="1">
      <c r="A319" s="22" t="s">
        <v>1526</v>
      </c>
      <c r="B319" s="22" t="s">
        <v>1527</v>
      </c>
      <c r="C319" s="306" t="s">
        <v>3959</v>
      </c>
      <c r="D319" s="22" t="s">
        <v>172</v>
      </c>
      <c r="E319" s="307">
        <v>619.0</v>
      </c>
      <c r="F319" s="310"/>
      <c r="G319" s="307">
        <v>4.0</v>
      </c>
      <c r="H319" s="307">
        <v>3.0</v>
      </c>
      <c r="I319" s="307">
        <v>7.0</v>
      </c>
      <c r="J319" s="308">
        <v>0.57</v>
      </c>
      <c r="K319" s="22" t="s">
        <v>1528</v>
      </c>
      <c r="L319" s="22">
        <v>3.525040504E9</v>
      </c>
      <c r="M319" s="22" t="s">
        <v>61</v>
      </c>
      <c r="N319" s="22" t="s">
        <v>2639</v>
      </c>
      <c r="O319" s="22" t="s">
        <v>1529</v>
      </c>
      <c r="P319" s="22" t="s">
        <v>666</v>
      </c>
      <c r="Q319" s="309">
        <f>COUNTIF('Hedef Liste'!A:A,A319)</f>
        <v>1</v>
      </c>
    </row>
    <row r="320" hidden="1">
      <c r="A320" s="22" t="s">
        <v>1161</v>
      </c>
      <c r="B320" s="22" t="s">
        <v>1162</v>
      </c>
      <c r="C320" s="306" t="s">
        <v>3959</v>
      </c>
      <c r="D320" s="22" t="s">
        <v>368</v>
      </c>
      <c r="E320" s="307">
        <v>190.0</v>
      </c>
      <c r="F320" s="310"/>
      <c r="G320" s="307">
        <v>0.0</v>
      </c>
      <c r="H320" s="307">
        <v>37.0</v>
      </c>
      <c r="I320" s="307">
        <v>37.0</v>
      </c>
      <c r="J320" s="308">
        <v>0.0</v>
      </c>
      <c r="K320" s="22" t="s">
        <v>1163</v>
      </c>
      <c r="L320" s="22">
        <v>5.525001308E9</v>
      </c>
      <c r="M320" s="22" t="s">
        <v>71</v>
      </c>
      <c r="N320" s="22" t="s">
        <v>291</v>
      </c>
      <c r="O320" s="22" t="s">
        <v>1164</v>
      </c>
      <c r="P320" s="22" t="s">
        <v>666</v>
      </c>
      <c r="Q320" s="309">
        <f>COUNTIF('Hedef Liste'!A:A,A320)</f>
        <v>1</v>
      </c>
    </row>
    <row r="321" hidden="1">
      <c r="A321" s="22" t="s">
        <v>1560</v>
      </c>
      <c r="B321" s="22" t="s">
        <v>1561</v>
      </c>
      <c r="C321" s="306" t="s">
        <v>3959</v>
      </c>
      <c r="D321" s="22" t="s">
        <v>406</v>
      </c>
      <c r="E321" s="307">
        <v>260.0</v>
      </c>
      <c r="F321" s="307">
        <v>14.0</v>
      </c>
      <c r="G321" s="307">
        <v>6.0</v>
      </c>
      <c r="H321" s="307">
        <v>1.0</v>
      </c>
      <c r="I321" s="307">
        <v>7.0</v>
      </c>
      <c r="J321" s="308">
        <v>0.86</v>
      </c>
      <c r="K321" s="22" t="s">
        <v>1562</v>
      </c>
      <c r="L321" s="22">
        <v>3.522229157E9</v>
      </c>
      <c r="M321" s="22" t="s">
        <v>47</v>
      </c>
      <c r="N321" s="22" t="s">
        <v>884</v>
      </c>
      <c r="O321" s="22" t="s">
        <v>1563</v>
      </c>
      <c r="P321" s="22" t="s">
        <v>666</v>
      </c>
      <c r="Q321" s="309">
        <f>COUNTIF('Hedef Liste'!A:A,A321)</f>
        <v>1</v>
      </c>
    </row>
    <row r="322" hidden="1">
      <c r="A322" s="22" t="s">
        <v>1549</v>
      </c>
      <c r="B322" s="22" t="s">
        <v>1550</v>
      </c>
      <c r="C322" s="306" t="s">
        <v>3959</v>
      </c>
      <c r="D322" s="22" t="s">
        <v>172</v>
      </c>
      <c r="E322" s="307">
        <v>1225.0</v>
      </c>
      <c r="F322" s="307">
        <v>92.0</v>
      </c>
      <c r="G322" s="307">
        <v>0.0</v>
      </c>
      <c r="H322" s="307">
        <v>56.0</v>
      </c>
      <c r="I322" s="307">
        <v>56.0</v>
      </c>
      <c r="J322" s="308">
        <v>0.0</v>
      </c>
      <c r="K322" s="22" t="s">
        <v>1551</v>
      </c>
      <c r="L322" s="22">
        <v>3.522244418E9</v>
      </c>
      <c r="M322" s="22" t="s">
        <v>47</v>
      </c>
      <c r="N322" s="22" t="s">
        <v>1552</v>
      </c>
      <c r="O322" s="22" t="s">
        <v>1553</v>
      </c>
      <c r="P322" s="22" t="s">
        <v>666</v>
      </c>
      <c r="Q322" s="309">
        <f>COUNTIF('Hedef Liste'!A:A,A322)</f>
        <v>1</v>
      </c>
    </row>
    <row r="323" hidden="1">
      <c r="A323" s="22" t="s">
        <v>2239</v>
      </c>
      <c r="B323" s="22" t="s">
        <v>4265</v>
      </c>
      <c r="C323" s="306" t="s">
        <v>3959</v>
      </c>
      <c r="D323" s="22" t="s">
        <v>91</v>
      </c>
      <c r="E323" s="307">
        <v>340.0</v>
      </c>
      <c r="F323" s="307">
        <v>43.0</v>
      </c>
      <c r="G323" s="307">
        <v>0.0</v>
      </c>
      <c r="H323" s="307">
        <v>39.0</v>
      </c>
      <c r="I323" s="307">
        <v>39.0</v>
      </c>
      <c r="J323" s="308">
        <v>0.0</v>
      </c>
      <c r="K323" s="22" t="s">
        <v>2241</v>
      </c>
      <c r="L323" s="22">
        <v>8.502208585E9</v>
      </c>
      <c r="M323" s="22" t="s">
        <v>61</v>
      </c>
      <c r="N323" s="22" t="s">
        <v>62</v>
      </c>
      <c r="O323" s="22" t="s">
        <v>4266</v>
      </c>
      <c r="P323" s="22" t="s">
        <v>666</v>
      </c>
      <c r="Q323" s="309">
        <f>COUNTIF('Hedef Liste'!A:A,A323)</f>
        <v>1</v>
      </c>
    </row>
    <row r="324" hidden="1">
      <c r="A324" s="22" t="s">
        <v>1056</v>
      </c>
      <c r="B324" s="22" t="s">
        <v>1057</v>
      </c>
      <c r="C324" s="306" t="s">
        <v>3959</v>
      </c>
      <c r="D324" s="22" t="s">
        <v>172</v>
      </c>
      <c r="E324" s="307">
        <v>1380.0</v>
      </c>
      <c r="F324" s="307">
        <v>147.0</v>
      </c>
      <c r="G324" s="307">
        <v>22.0</v>
      </c>
      <c r="H324" s="307">
        <v>9.0</v>
      </c>
      <c r="I324" s="307">
        <v>31.0</v>
      </c>
      <c r="J324" s="308">
        <v>0.71</v>
      </c>
      <c r="K324" s="22" t="s">
        <v>1053</v>
      </c>
      <c r="L324" s="22">
        <v>5.538156538E9</v>
      </c>
      <c r="M324" s="22" t="s">
        <v>61</v>
      </c>
      <c r="N324" s="22" t="s">
        <v>107</v>
      </c>
      <c r="O324" s="22" t="s">
        <v>1058</v>
      </c>
      <c r="P324" s="22" t="s">
        <v>666</v>
      </c>
      <c r="Q324" s="309">
        <f>COUNTIF('Hedef Liste'!A:A,A324)</f>
        <v>1</v>
      </c>
    </row>
    <row r="325" hidden="1">
      <c r="A325" s="22" t="s">
        <v>2274</v>
      </c>
      <c r="B325" s="22" t="s">
        <v>2275</v>
      </c>
      <c r="C325" s="306" t="s">
        <v>3959</v>
      </c>
      <c r="D325" s="22" t="s">
        <v>653</v>
      </c>
      <c r="E325" s="307">
        <v>1003.0</v>
      </c>
      <c r="F325" s="307">
        <v>5.0</v>
      </c>
      <c r="G325" s="307">
        <v>10.0</v>
      </c>
      <c r="H325" s="307">
        <v>18.0</v>
      </c>
      <c r="I325" s="307">
        <v>28.0</v>
      </c>
      <c r="J325" s="308">
        <v>0.36</v>
      </c>
      <c r="K325" s="22" t="s">
        <v>2276</v>
      </c>
      <c r="L325" s="22">
        <v>5.330931196E9</v>
      </c>
      <c r="M325" s="22" t="s">
        <v>71</v>
      </c>
      <c r="N325" s="22" t="s">
        <v>797</v>
      </c>
      <c r="O325" s="22" t="s">
        <v>2277</v>
      </c>
      <c r="P325" s="22" t="s">
        <v>666</v>
      </c>
      <c r="Q325" s="309">
        <f>COUNTIF('Hedef Liste'!A:A,A325)</f>
        <v>1</v>
      </c>
    </row>
    <row r="326" hidden="1">
      <c r="A326" s="22" t="s">
        <v>2815</v>
      </c>
      <c r="B326" s="22" t="s">
        <v>2816</v>
      </c>
      <c r="C326" s="306" t="s">
        <v>3959</v>
      </c>
      <c r="D326" s="22" t="s">
        <v>59</v>
      </c>
      <c r="E326" s="307">
        <v>399.0</v>
      </c>
      <c r="F326" s="307">
        <v>29.0</v>
      </c>
      <c r="G326" s="307">
        <v>0.0</v>
      </c>
      <c r="H326" s="307">
        <v>25.0</v>
      </c>
      <c r="I326" s="307">
        <v>25.0</v>
      </c>
      <c r="J326" s="308">
        <v>0.0</v>
      </c>
      <c r="K326" s="22" t="s">
        <v>2817</v>
      </c>
      <c r="L326" s="22">
        <v>3.522312033E9</v>
      </c>
      <c r="M326" s="22" t="s">
        <v>47</v>
      </c>
      <c r="N326" s="22" t="s">
        <v>125</v>
      </c>
      <c r="O326" s="22" t="s">
        <v>2818</v>
      </c>
      <c r="P326" s="22" t="s">
        <v>666</v>
      </c>
      <c r="Q326" s="309">
        <f>COUNTIF('Hedef Liste'!A:A,A326)</f>
        <v>1</v>
      </c>
    </row>
    <row r="327" hidden="1">
      <c r="A327" s="22" t="s">
        <v>616</v>
      </c>
      <c r="B327" s="22" t="s">
        <v>617</v>
      </c>
      <c r="C327" s="306" t="s">
        <v>3959</v>
      </c>
      <c r="D327" s="22" t="s">
        <v>165</v>
      </c>
      <c r="E327" s="307">
        <v>388.0</v>
      </c>
      <c r="F327" s="307">
        <v>1.0</v>
      </c>
      <c r="G327" s="307">
        <v>0.0</v>
      </c>
      <c r="H327" s="307">
        <v>11.0</v>
      </c>
      <c r="I327" s="307">
        <v>11.0</v>
      </c>
      <c r="J327" s="308">
        <v>0.0</v>
      </c>
      <c r="K327" s="22" t="s">
        <v>613</v>
      </c>
      <c r="L327" s="22">
        <v>3.52438222E9</v>
      </c>
      <c r="M327" s="22" t="s">
        <v>61</v>
      </c>
      <c r="N327" s="22" t="s">
        <v>250</v>
      </c>
      <c r="O327" s="22" t="s">
        <v>618</v>
      </c>
      <c r="P327" s="22" t="s">
        <v>666</v>
      </c>
      <c r="Q327" s="309">
        <f>COUNTIF('Hedef Liste'!A:A,A327)</f>
        <v>1</v>
      </c>
    </row>
    <row r="328" hidden="1">
      <c r="A328" s="22" t="s">
        <v>398</v>
      </c>
      <c r="B328" s="22" t="s">
        <v>399</v>
      </c>
      <c r="C328" s="306" t="s">
        <v>3959</v>
      </c>
      <c r="D328" s="22" t="s">
        <v>172</v>
      </c>
      <c r="E328" s="307">
        <v>2044.0</v>
      </c>
      <c r="F328" s="307">
        <v>13.0</v>
      </c>
      <c r="G328" s="307">
        <v>0.0</v>
      </c>
      <c r="H328" s="307">
        <v>7.0</v>
      </c>
      <c r="I328" s="307">
        <v>7.0</v>
      </c>
      <c r="J328" s="308">
        <v>0.0</v>
      </c>
      <c r="K328" s="22" t="s">
        <v>400</v>
      </c>
      <c r="L328" s="22">
        <v>3.523362538E9</v>
      </c>
      <c r="M328" s="22" t="s">
        <v>47</v>
      </c>
      <c r="N328" s="22" t="s">
        <v>401</v>
      </c>
      <c r="O328" s="22" t="s">
        <v>402</v>
      </c>
      <c r="P328" s="22" t="s">
        <v>666</v>
      </c>
      <c r="Q328" s="309">
        <f>COUNTIF('Hedef Liste'!A:A,A328)</f>
        <v>1</v>
      </c>
    </row>
    <row r="329" hidden="1">
      <c r="A329" s="22" t="s">
        <v>4267</v>
      </c>
      <c r="B329" s="22" t="s">
        <v>4268</v>
      </c>
      <c r="C329" s="306" t="s">
        <v>3959</v>
      </c>
      <c r="D329" s="22" t="s">
        <v>100</v>
      </c>
      <c r="E329" s="307">
        <v>496.0</v>
      </c>
      <c r="F329" s="307">
        <v>12.0</v>
      </c>
      <c r="G329" s="307">
        <v>91.0</v>
      </c>
      <c r="H329" s="307">
        <v>10.0</v>
      </c>
      <c r="I329" s="307">
        <v>101.0</v>
      </c>
      <c r="J329" s="308">
        <v>0.9</v>
      </c>
      <c r="K329" s="22" t="s">
        <v>3967</v>
      </c>
      <c r="L329" s="22">
        <v>5.344740691E9</v>
      </c>
      <c r="M329" s="22" t="s">
        <v>71</v>
      </c>
      <c r="N329" s="22" t="s">
        <v>296</v>
      </c>
      <c r="O329" s="22" t="s">
        <v>4269</v>
      </c>
      <c r="P329" s="22" t="s">
        <v>3962</v>
      </c>
      <c r="Q329" s="309">
        <f>COUNTIF('Hedef Liste'!A:A,A329)</f>
        <v>0</v>
      </c>
    </row>
    <row r="330" hidden="1">
      <c r="A330" s="22" t="s">
        <v>4270</v>
      </c>
      <c r="B330" s="22" t="s">
        <v>4271</v>
      </c>
      <c r="C330" s="306" t="s">
        <v>3959</v>
      </c>
      <c r="D330" s="22" t="s">
        <v>172</v>
      </c>
      <c r="E330" s="307">
        <v>7936.0</v>
      </c>
      <c r="F330" s="307">
        <v>311.0</v>
      </c>
      <c r="G330" s="307">
        <v>12.0</v>
      </c>
      <c r="H330" s="307">
        <v>21.0</v>
      </c>
      <c r="I330" s="307">
        <v>33.0</v>
      </c>
      <c r="J330" s="308">
        <v>0.36</v>
      </c>
      <c r="K330" s="22" t="s">
        <v>4272</v>
      </c>
      <c r="L330" s="22">
        <v>5.399206871E9</v>
      </c>
      <c r="M330" s="22" t="s">
        <v>61</v>
      </c>
      <c r="N330" s="22" t="s">
        <v>62</v>
      </c>
      <c r="O330" s="22" t="s">
        <v>4273</v>
      </c>
      <c r="P330" s="22" t="s">
        <v>3962</v>
      </c>
      <c r="Q330" s="309">
        <f>COUNTIF('Hedef Liste'!A:A,A330)</f>
        <v>0</v>
      </c>
    </row>
    <row r="331" hidden="1">
      <c r="A331" s="22" t="s">
        <v>1532</v>
      </c>
      <c r="B331" s="22" t="s">
        <v>1533</v>
      </c>
      <c r="C331" s="306" t="s">
        <v>3959</v>
      </c>
      <c r="D331" s="22" t="s">
        <v>172</v>
      </c>
      <c r="E331" s="307">
        <v>4739.0</v>
      </c>
      <c r="F331" s="310"/>
      <c r="G331" s="307">
        <v>0.0</v>
      </c>
      <c r="H331" s="307">
        <v>11.0</v>
      </c>
      <c r="I331" s="307">
        <v>11.0</v>
      </c>
      <c r="J331" s="308">
        <v>0.0</v>
      </c>
      <c r="K331" s="22" t="s">
        <v>1534</v>
      </c>
      <c r="L331" s="22">
        <v>5.071121592E9</v>
      </c>
      <c r="M331" s="22" t="s">
        <v>47</v>
      </c>
      <c r="N331" s="22" t="s">
        <v>107</v>
      </c>
      <c r="O331" s="22" t="s">
        <v>1535</v>
      </c>
      <c r="P331" s="22" t="s">
        <v>666</v>
      </c>
      <c r="Q331" s="309">
        <f>COUNTIF('Hedef Liste'!A:A,A331)</f>
        <v>1</v>
      </c>
    </row>
    <row r="332" hidden="1">
      <c r="A332" s="22" t="s">
        <v>4274</v>
      </c>
      <c r="B332" s="22" t="s">
        <v>4275</v>
      </c>
      <c r="C332" s="306" t="s">
        <v>3959</v>
      </c>
      <c r="D332" s="22" t="s">
        <v>100</v>
      </c>
      <c r="E332" s="307">
        <v>644.0</v>
      </c>
      <c r="F332" s="307">
        <v>42.0</v>
      </c>
      <c r="G332" s="307">
        <v>102.0</v>
      </c>
      <c r="H332" s="307">
        <v>10.0</v>
      </c>
      <c r="I332" s="307">
        <v>112.0</v>
      </c>
      <c r="J332" s="308">
        <v>0.91</v>
      </c>
      <c r="K332" s="22" t="s">
        <v>3967</v>
      </c>
      <c r="L332" s="22">
        <v>5.423908997E9</v>
      </c>
      <c r="M332" s="22" t="s">
        <v>47</v>
      </c>
      <c r="N332" s="22" t="s">
        <v>1158</v>
      </c>
      <c r="O332" s="22" t="s">
        <v>4276</v>
      </c>
      <c r="P332" s="22" t="s">
        <v>3962</v>
      </c>
      <c r="Q332" s="309">
        <f>COUNTIF('Hedef Liste'!A:A,A332)</f>
        <v>0</v>
      </c>
    </row>
    <row r="333" hidden="1">
      <c r="A333" s="22" t="s">
        <v>393</v>
      </c>
      <c r="B333" s="22" t="s">
        <v>394</v>
      </c>
      <c r="C333" s="306" t="s">
        <v>3959</v>
      </c>
      <c r="D333" s="22" t="s">
        <v>172</v>
      </c>
      <c r="E333" s="307">
        <v>570.0</v>
      </c>
      <c r="F333" s="307">
        <v>3.0</v>
      </c>
      <c r="G333" s="307">
        <v>0.0</v>
      </c>
      <c r="H333" s="307">
        <v>9.0</v>
      </c>
      <c r="I333" s="307">
        <v>9.0</v>
      </c>
      <c r="J333" s="308">
        <v>0.0</v>
      </c>
      <c r="K333" s="22" t="s">
        <v>395</v>
      </c>
      <c r="L333" s="22">
        <v>3.526661238E9</v>
      </c>
      <c r="M333" s="22" t="s">
        <v>47</v>
      </c>
      <c r="N333" s="22" t="s">
        <v>525</v>
      </c>
      <c r="O333" s="22" t="s">
        <v>396</v>
      </c>
      <c r="P333" s="22" t="s">
        <v>666</v>
      </c>
      <c r="Q333" s="309">
        <f>COUNTIF('Hedef Liste'!A:A,A333)</f>
        <v>1</v>
      </c>
    </row>
    <row r="334" hidden="1">
      <c r="A334" s="22" t="s">
        <v>1502</v>
      </c>
      <c r="B334" s="22" t="s">
        <v>1503</v>
      </c>
      <c r="C334" s="306" t="s">
        <v>3959</v>
      </c>
      <c r="D334" s="22" t="s">
        <v>100</v>
      </c>
      <c r="E334" s="307">
        <v>183.0</v>
      </c>
      <c r="F334" s="307">
        <v>4.0</v>
      </c>
      <c r="G334" s="307">
        <v>0.0</v>
      </c>
      <c r="H334" s="307">
        <v>17.0</v>
      </c>
      <c r="I334" s="307">
        <v>17.0</v>
      </c>
      <c r="J334" s="308">
        <v>0.0</v>
      </c>
      <c r="K334" s="22" t="s">
        <v>1504</v>
      </c>
      <c r="L334" s="22">
        <v>5.516443288E9</v>
      </c>
      <c r="M334" s="22" t="s">
        <v>61</v>
      </c>
      <c r="N334" s="22" t="s">
        <v>250</v>
      </c>
      <c r="O334" s="22" t="s">
        <v>1505</v>
      </c>
      <c r="P334" s="22" t="s">
        <v>666</v>
      </c>
      <c r="Q334" s="309">
        <f>COUNTIF('Hedef Liste'!A:A,A334)</f>
        <v>1</v>
      </c>
    </row>
    <row r="335" hidden="1">
      <c r="A335" s="22" t="s">
        <v>2582</v>
      </c>
      <c r="B335" s="22" t="s">
        <v>2583</v>
      </c>
      <c r="C335" s="306" t="s">
        <v>3963</v>
      </c>
      <c r="D335" s="22" t="s">
        <v>453</v>
      </c>
      <c r="E335" s="307">
        <v>92.0</v>
      </c>
      <c r="F335" s="310"/>
      <c r="G335" s="307">
        <v>0.0</v>
      </c>
      <c r="H335" s="307">
        <v>13.0</v>
      </c>
      <c r="I335" s="307">
        <v>13.0</v>
      </c>
      <c r="J335" s="308">
        <v>0.0</v>
      </c>
      <c r="K335" s="22" t="s">
        <v>2584</v>
      </c>
      <c r="L335" s="22">
        <v>3.52222338E9</v>
      </c>
      <c r="M335" s="22" t="s">
        <v>47</v>
      </c>
      <c r="N335" s="22" t="s">
        <v>391</v>
      </c>
      <c r="O335" s="22" t="s">
        <v>2585</v>
      </c>
      <c r="P335" s="22" t="s">
        <v>666</v>
      </c>
      <c r="Q335" s="309">
        <f>COUNTIF('Hedef Liste'!A:A,A335)</f>
        <v>1</v>
      </c>
    </row>
    <row r="336" hidden="1">
      <c r="A336" s="22" t="s">
        <v>1975</v>
      </c>
      <c r="B336" s="22" t="s">
        <v>1976</v>
      </c>
      <c r="C336" s="306" t="s">
        <v>3959</v>
      </c>
      <c r="D336" s="22" t="s">
        <v>100</v>
      </c>
      <c r="E336" s="307">
        <v>280.0</v>
      </c>
      <c r="F336" s="307">
        <v>15.0</v>
      </c>
      <c r="G336" s="307">
        <v>0.0</v>
      </c>
      <c r="H336" s="307">
        <v>9.0</v>
      </c>
      <c r="I336" s="307">
        <v>9.0</v>
      </c>
      <c r="J336" s="308">
        <v>0.0</v>
      </c>
      <c r="K336" s="22" t="s">
        <v>1977</v>
      </c>
      <c r="L336" s="22">
        <v>3.523390999E9</v>
      </c>
      <c r="M336" s="22" t="s">
        <v>71</v>
      </c>
      <c r="N336" s="22" t="s">
        <v>62</v>
      </c>
      <c r="O336" s="22" t="s">
        <v>1978</v>
      </c>
      <c r="P336" s="22" t="s">
        <v>666</v>
      </c>
      <c r="Q336" s="309">
        <f>COUNTIF('Hedef Liste'!A:A,A336)</f>
        <v>1</v>
      </c>
    </row>
    <row r="337" hidden="1">
      <c r="A337" s="22" t="s">
        <v>736</v>
      </c>
      <c r="B337" s="22" t="s">
        <v>737</v>
      </c>
      <c r="C337" s="306" t="s">
        <v>3959</v>
      </c>
      <c r="D337" s="22" t="s">
        <v>59</v>
      </c>
      <c r="E337" s="307">
        <v>2440.0</v>
      </c>
      <c r="F337" s="307">
        <v>81.0</v>
      </c>
      <c r="G337" s="307">
        <v>0.0</v>
      </c>
      <c r="H337" s="307">
        <v>21.0</v>
      </c>
      <c r="I337" s="307">
        <v>21.0</v>
      </c>
      <c r="J337" s="308">
        <v>0.0</v>
      </c>
      <c r="K337" s="22" t="s">
        <v>738</v>
      </c>
      <c r="L337" s="22">
        <v>3.525036969E9</v>
      </c>
      <c r="M337" s="22" t="s">
        <v>61</v>
      </c>
      <c r="N337" s="22" t="s">
        <v>2639</v>
      </c>
      <c r="O337" s="22" t="s">
        <v>739</v>
      </c>
      <c r="P337" s="22" t="s">
        <v>666</v>
      </c>
      <c r="Q337" s="309">
        <f>COUNTIF('Hedef Liste'!A:A,A337)</f>
        <v>1</v>
      </c>
    </row>
    <row r="338" hidden="1">
      <c r="A338" s="22" t="s">
        <v>2563</v>
      </c>
      <c r="B338" s="22" t="s">
        <v>4277</v>
      </c>
      <c r="C338" s="306" t="s">
        <v>3959</v>
      </c>
      <c r="D338" s="22" t="s">
        <v>172</v>
      </c>
      <c r="E338" s="307">
        <v>2051.0</v>
      </c>
      <c r="F338" s="307">
        <v>158.0</v>
      </c>
      <c r="G338" s="307">
        <v>0.0</v>
      </c>
      <c r="H338" s="307">
        <v>18.0</v>
      </c>
      <c r="I338" s="307">
        <v>18.0</v>
      </c>
      <c r="J338" s="308">
        <v>0.0</v>
      </c>
      <c r="K338" s="22" t="s">
        <v>561</v>
      </c>
      <c r="L338" s="22">
        <v>5.41471638E9</v>
      </c>
      <c r="M338" s="22" t="s">
        <v>61</v>
      </c>
      <c r="N338" s="22" t="s">
        <v>62</v>
      </c>
      <c r="O338" s="22" t="s">
        <v>562</v>
      </c>
      <c r="P338" s="22" t="s">
        <v>666</v>
      </c>
      <c r="Q338" s="309">
        <f>COUNTIF('Hedef Liste'!A:A,A338)</f>
        <v>1</v>
      </c>
    </row>
    <row r="339" hidden="1">
      <c r="A339" s="22" t="s">
        <v>1175</v>
      </c>
      <c r="B339" s="22" t="s">
        <v>1176</v>
      </c>
      <c r="C339" s="306" t="s">
        <v>3959</v>
      </c>
      <c r="D339" s="22" t="s">
        <v>69</v>
      </c>
      <c r="E339" s="307">
        <v>481.0</v>
      </c>
      <c r="F339" s="307">
        <v>3.0</v>
      </c>
      <c r="G339" s="307">
        <v>7.0</v>
      </c>
      <c r="H339" s="307">
        <v>7.0</v>
      </c>
      <c r="I339" s="307">
        <v>14.0</v>
      </c>
      <c r="J339" s="308">
        <v>0.5</v>
      </c>
      <c r="K339" s="22" t="s">
        <v>106</v>
      </c>
      <c r="L339" s="22">
        <v>5.431064121E9</v>
      </c>
      <c r="M339" s="22" t="s">
        <v>47</v>
      </c>
      <c r="N339" s="22" t="s">
        <v>107</v>
      </c>
      <c r="O339" s="22" t="s">
        <v>108</v>
      </c>
      <c r="P339" s="22" t="s">
        <v>666</v>
      </c>
      <c r="Q339" s="309">
        <f>COUNTIF('Hedef Liste'!A:A,A339)</f>
        <v>1</v>
      </c>
    </row>
    <row r="340" hidden="1">
      <c r="A340" s="22" t="s">
        <v>4278</v>
      </c>
      <c r="B340" s="22" t="s">
        <v>4279</v>
      </c>
      <c r="C340" s="306" t="s">
        <v>3959</v>
      </c>
      <c r="D340" s="22" t="s">
        <v>100</v>
      </c>
      <c r="E340" s="307">
        <v>203.0</v>
      </c>
      <c r="F340" s="307">
        <v>4.0</v>
      </c>
      <c r="G340" s="307">
        <v>49.0</v>
      </c>
      <c r="H340" s="307">
        <v>3.0</v>
      </c>
      <c r="I340" s="307">
        <v>52.0</v>
      </c>
      <c r="J340" s="308">
        <v>0.94</v>
      </c>
      <c r="K340" s="22" t="s">
        <v>3967</v>
      </c>
      <c r="L340" s="22">
        <v>5.44699207E9</v>
      </c>
      <c r="M340" s="22" t="s">
        <v>47</v>
      </c>
      <c r="N340" s="22" t="s">
        <v>48</v>
      </c>
      <c r="O340" s="22" t="s">
        <v>4280</v>
      </c>
      <c r="P340" s="22" t="s">
        <v>3962</v>
      </c>
      <c r="Q340" s="309">
        <f>COUNTIF('Hedef Liste'!A:A,A340)</f>
        <v>0</v>
      </c>
    </row>
    <row r="341" hidden="1">
      <c r="A341" s="22" t="s">
        <v>221</v>
      </c>
      <c r="B341" s="22" t="s">
        <v>222</v>
      </c>
      <c r="C341" s="306" t="s">
        <v>3959</v>
      </c>
      <c r="D341" s="22" t="s">
        <v>100</v>
      </c>
      <c r="E341" s="307">
        <v>701.0</v>
      </c>
      <c r="F341" s="307">
        <v>17.0</v>
      </c>
      <c r="G341" s="307">
        <v>0.0</v>
      </c>
      <c r="H341" s="307">
        <v>31.0</v>
      </c>
      <c r="I341" s="307">
        <v>31.0</v>
      </c>
      <c r="J341" s="308">
        <v>0.0</v>
      </c>
      <c r="K341" s="22" t="s">
        <v>223</v>
      </c>
      <c r="L341" s="22">
        <v>5.534434688E9</v>
      </c>
      <c r="M341" s="22" t="s">
        <v>71</v>
      </c>
      <c r="N341" s="22" t="s">
        <v>224</v>
      </c>
      <c r="O341" s="22" t="s">
        <v>225</v>
      </c>
      <c r="P341" s="22" t="s">
        <v>666</v>
      </c>
      <c r="Q341" s="309">
        <f>COUNTIF('Hedef Liste'!A:A,A341)</f>
        <v>1</v>
      </c>
    </row>
    <row r="342" hidden="1">
      <c r="A342" s="22" t="s">
        <v>2567</v>
      </c>
      <c r="B342" s="22" t="s">
        <v>2568</v>
      </c>
      <c r="C342" s="306" t="s">
        <v>3959</v>
      </c>
      <c r="D342" s="22" t="s">
        <v>59</v>
      </c>
      <c r="E342" s="307">
        <v>160.0</v>
      </c>
      <c r="F342" s="310"/>
      <c r="G342" s="307">
        <v>0.0</v>
      </c>
      <c r="H342" s="307">
        <v>16.0</v>
      </c>
      <c r="I342" s="307">
        <v>16.0</v>
      </c>
      <c r="J342" s="308">
        <v>0.0</v>
      </c>
      <c r="K342" s="22" t="s">
        <v>2569</v>
      </c>
      <c r="L342" s="22">
        <v>5.461308038E9</v>
      </c>
      <c r="M342" s="22" t="s">
        <v>61</v>
      </c>
      <c r="N342" s="22" t="s">
        <v>62</v>
      </c>
      <c r="O342" s="22" t="s">
        <v>2570</v>
      </c>
      <c r="P342" s="22" t="s">
        <v>666</v>
      </c>
      <c r="Q342" s="309">
        <f>COUNTIF('Hedef Liste'!A:A,A342)</f>
        <v>1</v>
      </c>
    </row>
    <row r="343" hidden="1">
      <c r="A343" s="22" t="s">
        <v>2450</v>
      </c>
      <c r="B343" s="22" t="s">
        <v>2451</v>
      </c>
      <c r="C343" s="306" t="s">
        <v>3959</v>
      </c>
      <c r="D343" s="22" t="s">
        <v>100</v>
      </c>
      <c r="E343" s="307">
        <v>3836.0</v>
      </c>
      <c r="F343" s="307">
        <v>135.0</v>
      </c>
      <c r="G343" s="307">
        <v>0.0</v>
      </c>
      <c r="H343" s="307">
        <v>43.0</v>
      </c>
      <c r="I343" s="307">
        <v>43.0</v>
      </c>
      <c r="J343" s="308">
        <v>0.0</v>
      </c>
      <c r="K343" s="22" t="s">
        <v>2452</v>
      </c>
      <c r="L343" s="22">
        <v>5.52595909E9</v>
      </c>
      <c r="M343" s="22" t="s">
        <v>61</v>
      </c>
      <c r="N343" s="22" t="s">
        <v>62</v>
      </c>
      <c r="O343" s="22" t="s">
        <v>2453</v>
      </c>
      <c r="P343" s="22" t="s">
        <v>666</v>
      </c>
      <c r="Q343" s="309">
        <f>COUNTIF('Hedef Liste'!A:A,A343)</f>
        <v>1</v>
      </c>
    </row>
    <row r="344" hidden="1">
      <c r="A344" s="22" t="s">
        <v>326</v>
      </c>
      <c r="B344" s="22" t="s">
        <v>327</v>
      </c>
      <c r="C344" s="306" t="s">
        <v>3959</v>
      </c>
      <c r="D344" s="22" t="s">
        <v>100</v>
      </c>
      <c r="E344" s="307">
        <v>27.0</v>
      </c>
      <c r="F344" s="310"/>
      <c r="G344" s="307">
        <v>7.0</v>
      </c>
      <c r="H344" s="307">
        <v>4.0</v>
      </c>
      <c r="I344" s="307">
        <v>11.0</v>
      </c>
      <c r="J344" s="308">
        <v>0.64</v>
      </c>
      <c r="K344" s="22" t="s">
        <v>328</v>
      </c>
      <c r="L344" s="22">
        <v>3.524374E9</v>
      </c>
      <c r="M344" s="22" t="s">
        <v>61</v>
      </c>
      <c r="N344" s="22" t="s">
        <v>250</v>
      </c>
      <c r="O344" s="22" t="s">
        <v>329</v>
      </c>
      <c r="P344" s="22" t="s">
        <v>666</v>
      </c>
      <c r="Q344" s="309">
        <f>COUNTIF('Hedef Liste'!A:A,A344)</f>
        <v>1</v>
      </c>
    </row>
    <row r="345" hidden="1">
      <c r="A345" s="22" t="s">
        <v>1682</v>
      </c>
      <c r="B345" s="22" t="s">
        <v>1683</v>
      </c>
      <c r="C345" s="306" t="s">
        <v>3959</v>
      </c>
      <c r="D345" s="22" t="s">
        <v>59</v>
      </c>
      <c r="E345" s="307">
        <v>288.0</v>
      </c>
      <c r="F345" s="310"/>
      <c r="G345" s="307">
        <v>0.0</v>
      </c>
      <c r="H345" s="307">
        <v>5.0</v>
      </c>
      <c r="I345" s="307">
        <v>5.0</v>
      </c>
      <c r="J345" s="308">
        <v>0.0</v>
      </c>
      <c r="K345" s="22" t="s">
        <v>1684</v>
      </c>
      <c r="L345" s="22">
        <v>5.532365288E9</v>
      </c>
      <c r="M345" s="22" t="s">
        <v>71</v>
      </c>
      <c r="N345" s="22" t="s">
        <v>204</v>
      </c>
      <c r="O345" s="22" t="s">
        <v>1685</v>
      </c>
      <c r="P345" s="22" t="s">
        <v>666</v>
      </c>
      <c r="Q345" s="309">
        <f>COUNTIF('Hedef Liste'!A:A,A345)</f>
        <v>1</v>
      </c>
    </row>
    <row r="346" hidden="1">
      <c r="A346" s="22" t="s">
        <v>1204</v>
      </c>
      <c r="B346" s="22" t="s">
        <v>4281</v>
      </c>
      <c r="C346" s="306" t="s">
        <v>3959</v>
      </c>
      <c r="D346" s="22" t="s">
        <v>45</v>
      </c>
      <c r="E346" s="307">
        <v>1494.0</v>
      </c>
      <c r="F346" s="310"/>
      <c r="G346" s="307">
        <v>0.0</v>
      </c>
      <c r="H346" s="307">
        <v>12.0</v>
      </c>
      <c r="I346" s="307">
        <v>12.0</v>
      </c>
      <c r="J346" s="308">
        <v>0.0</v>
      </c>
      <c r="K346" s="22" t="s">
        <v>1206</v>
      </c>
      <c r="L346" s="22">
        <v>5.535957876E9</v>
      </c>
      <c r="M346" s="22" t="s">
        <v>61</v>
      </c>
      <c r="N346" s="22" t="s">
        <v>62</v>
      </c>
      <c r="O346" s="22" t="s">
        <v>1207</v>
      </c>
      <c r="P346" s="22" t="s">
        <v>666</v>
      </c>
      <c r="Q346" s="309">
        <f>COUNTIF('Hedef Liste'!A:A,A346)</f>
        <v>1</v>
      </c>
    </row>
    <row r="347" hidden="1">
      <c r="A347" s="22" t="s">
        <v>1267</v>
      </c>
      <c r="B347" s="22" t="s">
        <v>4282</v>
      </c>
      <c r="C347" s="306" t="s">
        <v>3959</v>
      </c>
      <c r="D347" s="22" t="s">
        <v>453</v>
      </c>
      <c r="E347" s="307">
        <v>176.0</v>
      </c>
      <c r="F347" s="310"/>
      <c r="G347" s="307">
        <v>0.0</v>
      </c>
      <c r="H347" s="307">
        <v>21.0</v>
      </c>
      <c r="I347" s="307">
        <v>21.0</v>
      </c>
      <c r="J347" s="308">
        <v>0.0</v>
      </c>
      <c r="K347" s="22" t="s">
        <v>1269</v>
      </c>
      <c r="L347" s="22">
        <v>3.522201507E9</v>
      </c>
      <c r="M347" s="22" t="s">
        <v>47</v>
      </c>
      <c r="N347" s="22" t="s">
        <v>125</v>
      </c>
      <c r="O347" s="22" t="s">
        <v>1270</v>
      </c>
      <c r="P347" s="22" t="s">
        <v>666</v>
      </c>
      <c r="Q347" s="309">
        <f>COUNTIF('Hedef Liste'!A:A,A347)</f>
        <v>1</v>
      </c>
    </row>
    <row r="348" hidden="1">
      <c r="A348" s="22" t="s">
        <v>662</v>
      </c>
      <c r="B348" s="22" t="s">
        <v>4283</v>
      </c>
      <c r="C348" s="306" t="s">
        <v>3959</v>
      </c>
      <c r="D348" s="22" t="s">
        <v>69</v>
      </c>
      <c r="E348" s="307">
        <v>558.0</v>
      </c>
      <c r="F348" s="307">
        <v>44.0</v>
      </c>
      <c r="G348" s="307">
        <v>33.0</v>
      </c>
      <c r="H348" s="307">
        <v>5.0</v>
      </c>
      <c r="I348" s="307">
        <v>38.0</v>
      </c>
      <c r="J348" s="308">
        <v>0.87</v>
      </c>
      <c r="K348" s="22" t="s">
        <v>664</v>
      </c>
      <c r="L348" s="22">
        <v>5.413869E9</v>
      </c>
      <c r="M348" s="22" t="s">
        <v>71</v>
      </c>
      <c r="N348" s="22" t="s">
        <v>420</v>
      </c>
      <c r="O348" s="22" t="s">
        <v>665</v>
      </c>
      <c r="P348" s="22" t="s">
        <v>666</v>
      </c>
      <c r="Q348" s="309">
        <f>COUNTIF('Hedef Liste'!A:A,A348)</f>
        <v>1</v>
      </c>
    </row>
    <row r="349" hidden="1">
      <c r="A349" s="22" t="s">
        <v>2602</v>
      </c>
      <c r="B349" s="22" t="s">
        <v>2603</v>
      </c>
      <c r="C349" s="306" t="s">
        <v>3959</v>
      </c>
      <c r="D349" s="22" t="s">
        <v>59</v>
      </c>
      <c r="E349" s="307">
        <v>491.0</v>
      </c>
      <c r="F349" s="310"/>
      <c r="G349" s="307">
        <v>9.0</v>
      </c>
      <c r="H349" s="307">
        <v>24.0</v>
      </c>
      <c r="I349" s="307">
        <v>33.0</v>
      </c>
      <c r="J349" s="308">
        <v>0.27</v>
      </c>
      <c r="K349" s="22" t="s">
        <v>2604</v>
      </c>
      <c r="L349" s="22">
        <v>3.52333808E9</v>
      </c>
      <c r="M349" s="22" t="s">
        <v>47</v>
      </c>
      <c r="N349" s="22" t="s">
        <v>391</v>
      </c>
      <c r="O349" s="22" t="s">
        <v>2605</v>
      </c>
      <c r="P349" s="22" t="s">
        <v>666</v>
      </c>
      <c r="Q349" s="309">
        <f>COUNTIF('Hedef Liste'!A:A,A349)</f>
        <v>1</v>
      </c>
    </row>
    <row r="350" hidden="1">
      <c r="A350" s="22" t="s">
        <v>4284</v>
      </c>
      <c r="B350" s="22" t="s">
        <v>4285</v>
      </c>
      <c r="C350" s="306" t="s">
        <v>3963</v>
      </c>
      <c r="D350" s="22" t="s">
        <v>172</v>
      </c>
      <c r="E350" s="307">
        <v>2.0</v>
      </c>
      <c r="F350" s="310"/>
      <c r="G350" s="307">
        <v>57.0</v>
      </c>
      <c r="H350" s="307">
        <v>44.0</v>
      </c>
      <c r="I350" s="307">
        <v>101.0</v>
      </c>
      <c r="J350" s="308">
        <v>0.56</v>
      </c>
      <c r="K350" s="22" t="s">
        <v>4286</v>
      </c>
      <c r="L350" s="22">
        <v>5.318617274E9</v>
      </c>
      <c r="M350" s="22" t="s">
        <v>1769</v>
      </c>
      <c r="N350" s="22" t="s">
        <v>1582</v>
      </c>
      <c r="O350" s="22" t="s">
        <v>4287</v>
      </c>
      <c r="P350" s="22" t="s">
        <v>3962</v>
      </c>
      <c r="Q350" s="309">
        <f>COUNTIF('Hedef Liste'!A:A,A350)</f>
        <v>0</v>
      </c>
    </row>
    <row r="351" hidden="1">
      <c r="A351" s="22" t="s">
        <v>923</v>
      </c>
      <c r="B351" s="22" t="s">
        <v>924</v>
      </c>
      <c r="C351" s="306" t="s">
        <v>3959</v>
      </c>
      <c r="D351" s="22" t="s">
        <v>100</v>
      </c>
      <c r="E351" s="307">
        <v>249.0</v>
      </c>
      <c r="F351" s="310"/>
      <c r="G351" s="307">
        <v>10.0</v>
      </c>
      <c r="H351" s="307">
        <v>9.0</v>
      </c>
      <c r="I351" s="307">
        <v>19.0</v>
      </c>
      <c r="J351" s="308">
        <v>0.53</v>
      </c>
      <c r="K351" s="22" t="s">
        <v>925</v>
      </c>
      <c r="L351" s="22">
        <v>5.417481713E9</v>
      </c>
      <c r="M351" s="22" t="s">
        <v>47</v>
      </c>
      <c r="N351" s="22" t="s">
        <v>2719</v>
      </c>
      <c r="O351" s="22" t="s">
        <v>926</v>
      </c>
      <c r="P351" s="22" t="s">
        <v>666</v>
      </c>
      <c r="Q351" s="309">
        <f>COUNTIF('Hedef Liste'!A:A,A351)</f>
        <v>1</v>
      </c>
    </row>
    <row r="352" hidden="1">
      <c r="A352" s="22" t="s">
        <v>2855</v>
      </c>
      <c r="B352" s="22" t="s">
        <v>2856</v>
      </c>
      <c r="C352" s="306" t="s">
        <v>3959</v>
      </c>
      <c r="D352" s="22" t="s">
        <v>69</v>
      </c>
      <c r="E352" s="307">
        <v>200.0</v>
      </c>
      <c r="F352" s="307">
        <v>47.0</v>
      </c>
      <c r="G352" s="307">
        <v>31.0</v>
      </c>
      <c r="H352" s="307">
        <v>28.0</v>
      </c>
      <c r="I352" s="307">
        <v>59.0</v>
      </c>
      <c r="J352" s="308">
        <v>0.53</v>
      </c>
      <c r="K352" s="22" t="s">
        <v>2857</v>
      </c>
      <c r="L352" s="22">
        <v>5.071635252E9</v>
      </c>
      <c r="M352" s="22" t="s">
        <v>47</v>
      </c>
      <c r="N352" s="22" t="s">
        <v>125</v>
      </c>
      <c r="O352" s="22" t="s">
        <v>2858</v>
      </c>
      <c r="P352" s="22" t="s">
        <v>666</v>
      </c>
      <c r="Q352" s="309">
        <f>COUNTIF('Hedef Liste'!A:A,A352)</f>
        <v>1</v>
      </c>
    </row>
    <row r="353" hidden="1">
      <c r="A353" s="22" t="s">
        <v>4288</v>
      </c>
      <c r="B353" s="22" t="s">
        <v>4289</v>
      </c>
      <c r="C353" s="306" t="s">
        <v>3959</v>
      </c>
      <c r="D353" s="22" t="s">
        <v>100</v>
      </c>
      <c r="E353" s="307">
        <v>530.0</v>
      </c>
      <c r="F353" s="307">
        <v>5.0</v>
      </c>
      <c r="G353" s="307">
        <v>97.0</v>
      </c>
      <c r="H353" s="307">
        <v>9.0</v>
      </c>
      <c r="I353" s="307">
        <v>106.0</v>
      </c>
      <c r="J353" s="308">
        <v>0.92</v>
      </c>
      <c r="K353" s="22" t="s">
        <v>3967</v>
      </c>
      <c r="L353" s="22">
        <v>5.340193091E9</v>
      </c>
      <c r="M353" s="22" t="s">
        <v>47</v>
      </c>
      <c r="N353" s="22" t="s">
        <v>1426</v>
      </c>
      <c r="O353" s="22" t="s">
        <v>4290</v>
      </c>
      <c r="P353" s="22" t="s">
        <v>3962</v>
      </c>
      <c r="Q353" s="309">
        <f>COUNTIF('Hedef Liste'!A:A,A353)</f>
        <v>0</v>
      </c>
    </row>
    <row r="354" hidden="1">
      <c r="A354" s="22" t="s">
        <v>195</v>
      </c>
      <c r="B354" s="22" t="s">
        <v>196</v>
      </c>
      <c r="C354" s="306" t="s">
        <v>3959</v>
      </c>
      <c r="D354" s="22" t="s">
        <v>100</v>
      </c>
      <c r="E354" s="307">
        <v>142.0</v>
      </c>
      <c r="F354" s="307">
        <v>2.0</v>
      </c>
      <c r="G354" s="307">
        <v>0.0</v>
      </c>
      <c r="H354" s="307">
        <v>6.0</v>
      </c>
      <c r="I354" s="307">
        <v>6.0</v>
      </c>
      <c r="J354" s="308">
        <v>0.0</v>
      </c>
      <c r="K354" s="22" t="s">
        <v>197</v>
      </c>
      <c r="L354" s="22">
        <v>5.523557126E9</v>
      </c>
      <c r="M354" s="22" t="s">
        <v>47</v>
      </c>
      <c r="N354" s="22" t="s">
        <v>48</v>
      </c>
      <c r="O354" s="22" t="s">
        <v>198</v>
      </c>
      <c r="P354" s="22" t="s">
        <v>666</v>
      </c>
      <c r="Q354" s="309">
        <f>COUNTIF('Hedef Liste'!A:A,A354)</f>
        <v>1</v>
      </c>
    </row>
    <row r="355" hidden="1">
      <c r="A355" s="22" t="s">
        <v>824</v>
      </c>
      <c r="B355" s="22" t="s">
        <v>4291</v>
      </c>
      <c r="C355" s="306" t="s">
        <v>3959</v>
      </c>
      <c r="D355" s="22" t="s">
        <v>406</v>
      </c>
      <c r="E355" s="307">
        <v>339.0</v>
      </c>
      <c r="F355" s="310"/>
      <c r="G355" s="307">
        <v>0.0</v>
      </c>
      <c r="H355" s="307">
        <v>41.0</v>
      </c>
      <c r="I355" s="307">
        <v>41.0</v>
      </c>
      <c r="J355" s="308">
        <v>0.0</v>
      </c>
      <c r="K355" s="22" t="s">
        <v>826</v>
      </c>
      <c r="L355" s="22">
        <v>3.523371E9</v>
      </c>
      <c r="M355" s="22" t="s">
        <v>71</v>
      </c>
      <c r="N355" s="22" t="s">
        <v>179</v>
      </c>
      <c r="O355" s="22" t="s">
        <v>827</v>
      </c>
      <c r="P355" s="22" t="s">
        <v>666</v>
      </c>
      <c r="Q355" s="309">
        <f>COUNTIF('Hedef Liste'!A:A,A355)</f>
        <v>1</v>
      </c>
    </row>
    <row r="356" hidden="1">
      <c r="A356" s="22" t="s">
        <v>1272</v>
      </c>
      <c r="B356" s="22" t="s">
        <v>1273</v>
      </c>
      <c r="C356" s="306" t="s">
        <v>3959</v>
      </c>
      <c r="D356" s="22" t="s">
        <v>45</v>
      </c>
      <c r="E356" s="307">
        <v>2760.0</v>
      </c>
      <c r="F356" s="307">
        <v>38.0</v>
      </c>
      <c r="G356" s="307">
        <v>16.0</v>
      </c>
      <c r="H356" s="307">
        <v>9.0</v>
      </c>
      <c r="I356" s="307">
        <v>25.0</v>
      </c>
      <c r="J356" s="308">
        <v>0.64</v>
      </c>
      <c r="K356" s="22" t="s">
        <v>1274</v>
      </c>
      <c r="L356" s="22">
        <v>5.495485111E9</v>
      </c>
      <c r="M356" s="22" t="s">
        <v>61</v>
      </c>
      <c r="N356" s="22" t="s">
        <v>250</v>
      </c>
      <c r="O356" s="22" t="s">
        <v>1275</v>
      </c>
      <c r="P356" s="22" t="s">
        <v>666</v>
      </c>
      <c r="Q356" s="309">
        <f>COUNTIF('Hedef Liste'!A:A,A356)</f>
        <v>1</v>
      </c>
    </row>
    <row r="357" hidden="1">
      <c r="A357" s="22" t="s">
        <v>163</v>
      </c>
      <c r="B357" s="22" t="s">
        <v>164</v>
      </c>
      <c r="C357" s="306" t="s">
        <v>3959</v>
      </c>
      <c r="D357" s="22" t="s">
        <v>165</v>
      </c>
      <c r="E357" s="307">
        <v>910.0</v>
      </c>
      <c r="F357" s="310"/>
      <c r="G357" s="307">
        <v>0.0</v>
      </c>
      <c r="H357" s="307">
        <v>6.0</v>
      </c>
      <c r="I357" s="307">
        <v>6.0</v>
      </c>
      <c r="J357" s="308">
        <v>0.0</v>
      </c>
      <c r="K357" s="22" t="s">
        <v>166</v>
      </c>
      <c r="L357" s="22">
        <v>3.528883898E9</v>
      </c>
      <c r="M357" s="22" t="s">
        <v>61</v>
      </c>
      <c r="N357" s="22" t="s">
        <v>62</v>
      </c>
      <c r="O357" s="22" t="s">
        <v>167</v>
      </c>
      <c r="P357" s="22" t="s">
        <v>666</v>
      </c>
      <c r="Q357" s="309">
        <f>COUNTIF('Hedef Liste'!A:A,A357)</f>
        <v>1</v>
      </c>
    </row>
    <row r="358" hidden="1">
      <c r="A358" s="22" t="s">
        <v>1414</v>
      </c>
      <c r="B358" s="22" t="s">
        <v>1415</v>
      </c>
      <c r="C358" s="306" t="s">
        <v>3959</v>
      </c>
      <c r="D358" s="22" t="s">
        <v>100</v>
      </c>
      <c r="E358" s="307">
        <v>58.0</v>
      </c>
      <c r="F358" s="307">
        <v>15.0</v>
      </c>
      <c r="G358" s="307">
        <v>0.0</v>
      </c>
      <c r="H358" s="307">
        <v>11.0</v>
      </c>
      <c r="I358" s="307">
        <v>11.0</v>
      </c>
      <c r="J358" s="308">
        <v>0.0</v>
      </c>
      <c r="K358" s="22" t="s">
        <v>1416</v>
      </c>
      <c r="L358" s="22">
        <v>5.342437681E9</v>
      </c>
      <c r="M358" s="22" t="s">
        <v>47</v>
      </c>
      <c r="N358" s="22" t="s">
        <v>107</v>
      </c>
      <c r="O358" s="22" t="s">
        <v>1417</v>
      </c>
      <c r="P358" s="22" t="s">
        <v>666</v>
      </c>
      <c r="Q358" s="309">
        <f>COUNTIF('Hedef Liste'!A:A,A358)</f>
        <v>1</v>
      </c>
    </row>
    <row r="359" hidden="1">
      <c r="A359" s="22" t="s">
        <v>1766</v>
      </c>
      <c r="B359" s="22" t="s">
        <v>1767</v>
      </c>
      <c r="C359" s="306" t="s">
        <v>3959</v>
      </c>
      <c r="D359" s="22" t="s">
        <v>406</v>
      </c>
      <c r="E359" s="307">
        <v>436.0</v>
      </c>
      <c r="F359" s="307">
        <v>1.0</v>
      </c>
      <c r="G359" s="307">
        <v>0.0</v>
      </c>
      <c r="H359" s="307">
        <v>39.0</v>
      </c>
      <c r="I359" s="307">
        <v>39.0</v>
      </c>
      <c r="J359" s="308">
        <v>0.0</v>
      </c>
      <c r="K359" s="22" t="s">
        <v>1768</v>
      </c>
      <c r="L359" s="22">
        <v>3.526210192E9</v>
      </c>
      <c r="M359" s="22" t="s">
        <v>1769</v>
      </c>
      <c r="N359" s="22" t="s">
        <v>1582</v>
      </c>
      <c r="O359" s="22" t="s">
        <v>1770</v>
      </c>
      <c r="P359" s="22" t="s">
        <v>666</v>
      </c>
      <c r="Q359" s="309">
        <f>COUNTIF('Hedef Liste'!A:A,A359)</f>
        <v>1</v>
      </c>
    </row>
    <row r="360" hidden="1">
      <c r="A360" s="22" t="s">
        <v>4292</v>
      </c>
      <c r="B360" s="22" t="s">
        <v>4293</v>
      </c>
      <c r="C360" s="306" t="s">
        <v>3959</v>
      </c>
      <c r="D360" s="22" t="s">
        <v>100</v>
      </c>
      <c r="E360" s="307">
        <v>439.0</v>
      </c>
      <c r="F360" s="307">
        <v>26.0</v>
      </c>
      <c r="G360" s="307">
        <v>80.0</v>
      </c>
      <c r="H360" s="307">
        <v>8.0</v>
      </c>
      <c r="I360" s="307">
        <v>88.0</v>
      </c>
      <c r="J360" s="308">
        <v>0.91</v>
      </c>
      <c r="K360" s="22" t="s">
        <v>3967</v>
      </c>
      <c r="L360" s="22">
        <v>5.537462638E9</v>
      </c>
      <c r="M360" s="22" t="s">
        <v>47</v>
      </c>
      <c r="N360" s="22" t="s">
        <v>482</v>
      </c>
      <c r="O360" s="22" t="s">
        <v>4294</v>
      </c>
      <c r="P360" s="22" t="s">
        <v>3962</v>
      </c>
      <c r="Q360" s="309">
        <f>COUNTIF('Hedef Liste'!A:A,A360)</f>
        <v>0</v>
      </c>
    </row>
    <row r="361" hidden="1">
      <c r="A361" s="22" t="s">
        <v>4295</v>
      </c>
      <c r="B361" s="22" t="s">
        <v>4296</v>
      </c>
      <c r="C361" s="306" t="s">
        <v>3959</v>
      </c>
      <c r="D361" s="22" t="s">
        <v>100</v>
      </c>
      <c r="E361" s="307">
        <v>583.0</v>
      </c>
      <c r="F361" s="307">
        <v>53.0</v>
      </c>
      <c r="G361" s="307">
        <v>74.0</v>
      </c>
      <c r="H361" s="307">
        <v>8.0</v>
      </c>
      <c r="I361" s="307">
        <v>82.0</v>
      </c>
      <c r="J361" s="308">
        <v>0.9</v>
      </c>
      <c r="K361" s="22" t="s">
        <v>3967</v>
      </c>
      <c r="L361" s="22">
        <v>5.519835911E9</v>
      </c>
      <c r="M361" s="22" t="s">
        <v>71</v>
      </c>
      <c r="N361" s="22" t="s">
        <v>71</v>
      </c>
      <c r="O361" s="22" t="s">
        <v>4297</v>
      </c>
      <c r="P361" s="22" t="s">
        <v>3962</v>
      </c>
      <c r="Q361" s="309">
        <f>COUNTIF('Hedef Liste'!A:A,A361)</f>
        <v>0</v>
      </c>
    </row>
    <row r="362" hidden="1">
      <c r="A362" s="22" t="s">
        <v>1943</v>
      </c>
      <c r="B362" s="22" t="s">
        <v>1944</v>
      </c>
      <c r="C362" s="306" t="s">
        <v>3959</v>
      </c>
      <c r="D362" s="22" t="s">
        <v>69</v>
      </c>
      <c r="E362" s="307">
        <v>1181.0</v>
      </c>
      <c r="F362" s="307">
        <v>8.0</v>
      </c>
      <c r="G362" s="307">
        <v>0.0</v>
      </c>
      <c r="H362" s="307">
        <v>19.0</v>
      </c>
      <c r="I362" s="307">
        <v>19.0</v>
      </c>
      <c r="J362" s="308">
        <v>0.0</v>
      </c>
      <c r="K362" s="22" t="s">
        <v>1945</v>
      </c>
      <c r="L362" s="22">
        <v>5.38951707E9</v>
      </c>
      <c r="M362" s="22" t="s">
        <v>61</v>
      </c>
      <c r="N362" s="22" t="s">
        <v>62</v>
      </c>
      <c r="O362" s="22" t="s">
        <v>1946</v>
      </c>
      <c r="P362" s="22" t="s">
        <v>666</v>
      </c>
      <c r="Q362" s="309">
        <f>COUNTIF('Hedef Liste'!A:A,A362)</f>
        <v>1</v>
      </c>
    </row>
    <row r="363" hidden="1">
      <c r="A363" s="22" t="s">
        <v>2794</v>
      </c>
      <c r="B363" s="22" t="s">
        <v>2795</v>
      </c>
      <c r="C363" s="306" t="s">
        <v>3959</v>
      </c>
      <c r="D363" s="22" t="s">
        <v>69</v>
      </c>
      <c r="E363" s="307">
        <v>324.0</v>
      </c>
      <c r="F363" s="307">
        <v>8.0</v>
      </c>
      <c r="G363" s="307">
        <v>0.0</v>
      </c>
      <c r="H363" s="307">
        <v>14.0</v>
      </c>
      <c r="I363" s="307">
        <v>14.0</v>
      </c>
      <c r="J363" s="308">
        <v>0.0</v>
      </c>
      <c r="K363" s="22" t="s">
        <v>2304</v>
      </c>
      <c r="L363" s="22">
        <v>5.558929456E9</v>
      </c>
      <c r="M363" s="22" t="s">
        <v>61</v>
      </c>
      <c r="N363" s="22" t="s">
        <v>250</v>
      </c>
      <c r="O363" s="22" t="s">
        <v>1122</v>
      </c>
      <c r="P363" s="22" t="s">
        <v>666</v>
      </c>
      <c r="Q363" s="309">
        <f>COUNTIF('Hedef Liste'!A:A,A363)</f>
        <v>1</v>
      </c>
    </row>
    <row r="364" hidden="1">
      <c r="A364" s="22" t="s">
        <v>687</v>
      </c>
      <c r="B364" s="22" t="s">
        <v>688</v>
      </c>
      <c r="C364" s="306" t="s">
        <v>3959</v>
      </c>
      <c r="D364" s="22" t="s">
        <v>45</v>
      </c>
      <c r="E364" s="307">
        <v>3299.0</v>
      </c>
      <c r="F364" s="307">
        <v>88.0</v>
      </c>
      <c r="G364" s="307">
        <v>15.0</v>
      </c>
      <c r="H364" s="307">
        <v>18.0</v>
      </c>
      <c r="I364" s="307">
        <v>33.0</v>
      </c>
      <c r="J364" s="308">
        <v>0.45</v>
      </c>
      <c r="K364" s="22" t="s">
        <v>689</v>
      </c>
      <c r="L364" s="22">
        <v>5.359781522E9</v>
      </c>
      <c r="M364" s="22" t="s">
        <v>61</v>
      </c>
      <c r="N364" s="22" t="s">
        <v>107</v>
      </c>
      <c r="O364" s="22" t="s">
        <v>690</v>
      </c>
      <c r="P364" s="22" t="s">
        <v>666</v>
      </c>
      <c r="Q364" s="309">
        <f>COUNTIF('Hedef Liste'!A:A,A364)</f>
        <v>1</v>
      </c>
    </row>
    <row r="365" hidden="1">
      <c r="A365" s="22" t="s">
        <v>2358</v>
      </c>
      <c r="B365" s="22" t="s">
        <v>2359</v>
      </c>
      <c r="C365" s="306" t="s">
        <v>3959</v>
      </c>
      <c r="D365" s="22" t="s">
        <v>59</v>
      </c>
      <c r="E365" s="307">
        <v>844.0</v>
      </c>
      <c r="F365" s="307">
        <v>88.0</v>
      </c>
      <c r="G365" s="307">
        <v>2.0</v>
      </c>
      <c r="H365" s="307">
        <v>40.0</v>
      </c>
      <c r="I365" s="307">
        <v>42.0</v>
      </c>
      <c r="J365" s="308">
        <v>0.05</v>
      </c>
      <c r="K365" s="22" t="s">
        <v>831</v>
      </c>
      <c r="L365" s="22">
        <v>3.522233838E9</v>
      </c>
      <c r="M365" s="22" t="s">
        <v>71</v>
      </c>
      <c r="N365" s="22" t="s">
        <v>102</v>
      </c>
      <c r="O365" s="22" t="s">
        <v>832</v>
      </c>
      <c r="P365" s="22" t="s">
        <v>666</v>
      </c>
      <c r="Q365" s="309">
        <f>COUNTIF('Hedef Liste'!A:A,A365)</f>
        <v>1</v>
      </c>
    </row>
    <row r="366" hidden="1">
      <c r="A366" s="22" t="s">
        <v>942</v>
      </c>
      <c r="B366" s="22" t="s">
        <v>4298</v>
      </c>
      <c r="C366" s="306" t="s">
        <v>3959</v>
      </c>
      <c r="D366" s="22" t="s">
        <v>2293</v>
      </c>
      <c r="E366" s="307">
        <v>343.0</v>
      </c>
      <c r="F366" s="310"/>
      <c r="G366" s="307">
        <v>0.0</v>
      </c>
      <c r="H366" s="307">
        <v>31.0</v>
      </c>
      <c r="I366" s="307">
        <v>31.0</v>
      </c>
      <c r="J366" s="308">
        <v>0.0</v>
      </c>
      <c r="K366" s="22" t="s">
        <v>945</v>
      </c>
      <c r="L366" s="22">
        <v>5.309473345E9</v>
      </c>
      <c r="M366" s="22" t="s">
        <v>61</v>
      </c>
      <c r="N366" s="22" t="s">
        <v>62</v>
      </c>
      <c r="O366" s="22" t="s">
        <v>946</v>
      </c>
      <c r="P366" s="22" t="s">
        <v>666</v>
      </c>
      <c r="Q366" s="309">
        <f>COUNTIF('Hedef Liste'!A:A,A366)</f>
        <v>1</v>
      </c>
    </row>
    <row r="367" hidden="1">
      <c r="A367" s="22" t="s">
        <v>2747</v>
      </c>
      <c r="B367" s="22" t="s">
        <v>2748</v>
      </c>
      <c r="C367" s="306" t="s">
        <v>3959</v>
      </c>
      <c r="D367" s="22" t="s">
        <v>83</v>
      </c>
      <c r="E367" s="307">
        <v>1488.0</v>
      </c>
      <c r="F367" s="307">
        <v>131.0</v>
      </c>
      <c r="G367" s="307">
        <v>12.0</v>
      </c>
      <c r="H367" s="307">
        <v>3.0</v>
      </c>
      <c r="I367" s="307">
        <v>15.0</v>
      </c>
      <c r="J367" s="308">
        <v>0.8</v>
      </c>
      <c r="K367" s="22" t="s">
        <v>2749</v>
      </c>
      <c r="L367" s="22">
        <v>3.5243737E9</v>
      </c>
      <c r="M367" s="22" t="s">
        <v>61</v>
      </c>
      <c r="N367" s="22" t="s">
        <v>62</v>
      </c>
      <c r="O367" s="22" t="s">
        <v>2750</v>
      </c>
      <c r="P367" s="22" t="s">
        <v>666</v>
      </c>
      <c r="Q367" s="309">
        <f>COUNTIF('Hedef Liste'!A:A,A367)</f>
        <v>1</v>
      </c>
    </row>
    <row r="368" hidden="1">
      <c r="A368" s="22" t="s">
        <v>1051</v>
      </c>
      <c r="B368" s="22" t="s">
        <v>1052</v>
      </c>
      <c r="C368" s="306" t="s">
        <v>3959</v>
      </c>
      <c r="D368" s="22" t="s">
        <v>172</v>
      </c>
      <c r="E368" s="307">
        <v>369.0</v>
      </c>
      <c r="F368" s="307">
        <v>24.0</v>
      </c>
      <c r="G368" s="307">
        <v>18.0</v>
      </c>
      <c r="H368" s="307">
        <v>12.0</v>
      </c>
      <c r="I368" s="307">
        <v>30.0</v>
      </c>
      <c r="J368" s="308">
        <v>0.6</v>
      </c>
      <c r="K368" s="22" t="s">
        <v>1053</v>
      </c>
      <c r="L368" s="22">
        <v>5.538156537E9</v>
      </c>
      <c r="M368" s="22" t="s">
        <v>47</v>
      </c>
      <c r="N368" s="22" t="s">
        <v>1054</v>
      </c>
      <c r="O368" s="22" t="s">
        <v>1055</v>
      </c>
      <c r="P368" s="22" t="s">
        <v>666</v>
      </c>
      <c r="Q368" s="309">
        <f>COUNTIF('Hedef Liste'!A:A,A368)</f>
        <v>1</v>
      </c>
    </row>
    <row r="369" hidden="1">
      <c r="A369" s="22" t="s">
        <v>1379</v>
      </c>
      <c r="B369" s="22" t="s">
        <v>1380</v>
      </c>
      <c r="C369" s="306" t="s">
        <v>3959</v>
      </c>
      <c r="D369" s="22" t="s">
        <v>100</v>
      </c>
      <c r="E369" s="307">
        <v>195.0</v>
      </c>
      <c r="F369" s="307">
        <v>4.0</v>
      </c>
      <c r="G369" s="307">
        <v>12.0</v>
      </c>
      <c r="H369" s="307">
        <v>11.0</v>
      </c>
      <c r="I369" s="307">
        <v>23.0</v>
      </c>
      <c r="J369" s="308">
        <v>0.52</v>
      </c>
      <c r="K369" s="22" t="s">
        <v>1381</v>
      </c>
      <c r="L369" s="22">
        <v>3.5224E9</v>
      </c>
      <c r="M369" s="22" t="s">
        <v>71</v>
      </c>
      <c r="N369" s="22" t="s">
        <v>1382</v>
      </c>
      <c r="O369" s="22" t="s">
        <v>1383</v>
      </c>
      <c r="P369" s="22" t="s">
        <v>666</v>
      </c>
      <c r="Q369" s="309">
        <f>COUNTIF('Hedef Liste'!A:A,A369)</f>
        <v>1</v>
      </c>
    </row>
    <row r="370" hidden="1">
      <c r="A370" s="22" t="s">
        <v>607</v>
      </c>
      <c r="B370" s="22" t="s">
        <v>608</v>
      </c>
      <c r="C370" s="306" t="s">
        <v>3963</v>
      </c>
      <c r="D370" s="22" t="s">
        <v>172</v>
      </c>
      <c r="E370" s="307">
        <v>126.0</v>
      </c>
      <c r="F370" s="310"/>
      <c r="G370" s="307">
        <v>0.0</v>
      </c>
      <c r="H370" s="307">
        <v>4.0</v>
      </c>
      <c r="I370" s="307">
        <v>4.0</v>
      </c>
      <c r="J370" s="308">
        <v>0.0</v>
      </c>
      <c r="K370" s="22" t="s">
        <v>92</v>
      </c>
      <c r="L370" s="22">
        <v>5.354681338E9</v>
      </c>
      <c r="M370" s="22" t="s">
        <v>61</v>
      </c>
      <c r="N370" s="22" t="s">
        <v>62</v>
      </c>
      <c r="O370" s="22" t="s">
        <v>609</v>
      </c>
      <c r="P370" s="22" t="s">
        <v>666</v>
      </c>
      <c r="Q370" s="309">
        <f>COUNTIF('Hedef Liste'!A:A,A370)</f>
        <v>1</v>
      </c>
    </row>
    <row r="371" hidden="1">
      <c r="A371" s="22" t="s">
        <v>1966</v>
      </c>
      <c r="B371" s="22" t="s">
        <v>1967</v>
      </c>
      <c r="C371" s="306" t="s">
        <v>3959</v>
      </c>
      <c r="D371" s="22" t="s">
        <v>505</v>
      </c>
      <c r="E371" s="307">
        <v>489.0</v>
      </c>
      <c r="F371" s="310"/>
      <c r="G371" s="307">
        <v>3.0</v>
      </c>
      <c r="H371" s="307">
        <v>2.0</v>
      </c>
      <c r="I371" s="307">
        <v>5.0</v>
      </c>
      <c r="J371" s="308">
        <v>0.6</v>
      </c>
      <c r="K371" s="22" t="s">
        <v>1968</v>
      </c>
      <c r="L371" s="22">
        <v>5.360612556E9</v>
      </c>
      <c r="M371" s="22" t="s">
        <v>71</v>
      </c>
      <c r="N371" s="22" t="s">
        <v>179</v>
      </c>
      <c r="O371" s="22" t="s">
        <v>1969</v>
      </c>
      <c r="P371" s="22" t="s">
        <v>666</v>
      </c>
      <c r="Q371" s="309">
        <f>COUNTIF('Hedef Liste'!A:A,A371)</f>
        <v>1</v>
      </c>
    </row>
    <row r="372" hidden="1">
      <c r="A372" s="22" t="s">
        <v>1850</v>
      </c>
      <c r="B372" s="22" t="s">
        <v>1851</v>
      </c>
      <c r="C372" s="306" t="s">
        <v>3959</v>
      </c>
      <c r="D372" s="22" t="s">
        <v>406</v>
      </c>
      <c r="E372" s="307">
        <v>1343.0</v>
      </c>
      <c r="F372" s="307">
        <v>30.0</v>
      </c>
      <c r="G372" s="307">
        <v>4.0</v>
      </c>
      <c r="H372" s="307">
        <v>12.0</v>
      </c>
      <c r="I372" s="307">
        <v>16.0</v>
      </c>
      <c r="J372" s="308">
        <v>0.25</v>
      </c>
      <c r="K372" s="22" t="s">
        <v>1852</v>
      </c>
      <c r="L372" s="22">
        <v>3.523388684E9</v>
      </c>
      <c r="M372" s="22" t="s">
        <v>71</v>
      </c>
      <c r="N372" s="22" t="s">
        <v>62</v>
      </c>
      <c r="O372" s="22" t="s">
        <v>1853</v>
      </c>
      <c r="P372" s="22" t="s">
        <v>666</v>
      </c>
      <c r="Q372" s="309">
        <f>COUNTIF('Hedef Liste'!A:A,A372)</f>
        <v>1</v>
      </c>
    </row>
    <row r="373" hidden="1">
      <c r="A373" s="22" t="s">
        <v>4299</v>
      </c>
      <c r="B373" s="22" t="s">
        <v>4300</v>
      </c>
      <c r="C373" s="306" t="s">
        <v>3959</v>
      </c>
      <c r="D373" s="22" t="s">
        <v>100</v>
      </c>
      <c r="E373" s="307">
        <v>265.0</v>
      </c>
      <c r="F373" s="307">
        <v>8.0</v>
      </c>
      <c r="G373" s="307">
        <v>64.0</v>
      </c>
      <c r="H373" s="307">
        <v>5.0</v>
      </c>
      <c r="I373" s="307">
        <v>69.0</v>
      </c>
      <c r="J373" s="308">
        <v>0.93</v>
      </c>
      <c r="K373" s="22" t="s">
        <v>2085</v>
      </c>
      <c r="L373" s="22">
        <v>5.522749238E9</v>
      </c>
      <c r="M373" s="22" t="s">
        <v>71</v>
      </c>
      <c r="N373" s="22" t="s">
        <v>2046</v>
      </c>
      <c r="O373" s="22" t="s">
        <v>2086</v>
      </c>
      <c r="P373" s="22" t="s">
        <v>3962</v>
      </c>
      <c r="Q373" s="309">
        <f>COUNTIF('Hedef Liste'!A:A,A373)</f>
        <v>0</v>
      </c>
    </row>
    <row r="374" hidden="1">
      <c r="A374" s="22" t="s">
        <v>4301</v>
      </c>
      <c r="B374" s="22" t="s">
        <v>4302</v>
      </c>
      <c r="C374" s="306" t="s">
        <v>3959</v>
      </c>
      <c r="D374" s="22" t="s">
        <v>100</v>
      </c>
      <c r="E374" s="307">
        <v>1088.0</v>
      </c>
      <c r="F374" s="307">
        <v>28.0</v>
      </c>
      <c r="G374" s="307">
        <v>30.0</v>
      </c>
      <c r="H374" s="307">
        <v>0.0</v>
      </c>
      <c r="I374" s="307">
        <v>30.0</v>
      </c>
      <c r="J374" s="308">
        <v>1.0</v>
      </c>
      <c r="K374" s="22" t="s">
        <v>4303</v>
      </c>
      <c r="L374" s="22">
        <v>5.345838048E9</v>
      </c>
      <c r="M374" s="22" t="s">
        <v>61</v>
      </c>
      <c r="N374" s="22" t="s">
        <v>62</v>
      </c>
      <c r="O374" s="22" t="s">
        <v>4304</v>
      </c>
      <c r="P374" s="22" t="s">
        <v>3962</v>
      </c>
      <c r="Q374" s="309">
        <f>COUNTIF('Hedef Liste'!A:A,A374)</f>
        <v>0</v>
      </c>
    </row>
    <row r="375" hidden="1">
      <c r="A375" s="22" t="s">
        <v>1909</v>
      </c>
      <c r="B375" s="22" t="s">
        <v>1910</v>
      </c>
      <c r="C375" s="306" t="s">
        <v>3959</v>
      </c>
      <c r="D375" s="22" t="s">
        <v>172</v>
      </c>
      <c r="E375" s="307">
        <v>780.0</v>
      </c>
      <c r="F375" s="310"/>
      <c r="G375" s="307">
        <v>3.0</v>
      </c>
      <c r="H375" s="307">
        <v>4.0</v>
      </c>
      <c r="I375" s="307">
        <v>7.0</v>
      </c>
      <c r="J375" s="308">
        <v>0.43</v>
      </c>
      <c r="K375" s="22" t="s">
        <v>1911</v>
      </c>
      <c r="L375" s="22">
        <v>3.52338104E9</v>
      </c>
      <c r="M375" s="22" t="s">
        <v>71</v>
      </c>
      <c r="N375" s="22" t="s">
        <v>1912</v>
      </c>
      <c r="O375" s="22" t="s">
        <v>1913</v>
      </c>
      <c r="P375" s="22" t="s">
        <v>666</v>
      </c>
      <c r="Q375" s="309">
        <f>COUNTIF('Hedef Liste'!A:A,A375)</f>
        <v>1</v>
      </c>
    </row>
    <row r="376" hidden="1">
      <c r="A376" s="22" t="s">
        <v>111</v>
      </c>
      <c r="B376" s="22" t="s">
        <v>112</v>
      </c>
      <c r="C376" s="306" t="s">
        <v>3963</v>
      </c>
      <c r="D376" s="22" t="s">
        <v>100</v>
      </c>
      <c r="E376" s="307">
        <v>2.0</v>
      </c>
      <c r="F376" s="310"/>
      <c r="G376" s="307">
        <v>0.0</v>
      </c>
      <c r="H376" s="307">
        <v>9.0</v>
      </c>
      <c r="I376" s="307">
        <v>9.0</v>
      </c>
      <c r="J376" s="308">
        <v>0.0</v>
      </c>
      <c r="K376" s="22" t="s">
        <v>113</v>
      </c>
      <c r="L376" s="22">
        <v>5.399793981E9</v>
      </c>
      <c r="M376" s="22" t="s">
        <v>47</v>
      </c>
      <c r="N376" s="22" t="s">
        <v>48</v>
      </c>
      <c r="O376" s="22" t="s">
        <v>114</v>
      </c>
      <c r="P376" s="22" t="s">
        <v>666</v>
      </c>
      <c r="Q376" s="309">
        <f>COUNTIF('Hedef Liste'!A:A,A376)</f>
        <v>1</v>
      </c>
    </row>
    <row r="377" hidden="1">
      <c r="A377" s="22" t="s">
        <v>4305</v>
      </c>
      <c r="B377" s="22" t="s">
        <v>4306</v>
      </c>
      <c r="C377" s="306" t="s">
        <v>3959</v>
      </c>
      <c r="D377" s="22" t="s">
        <v>406</v>
      </c>
      <c r="E377" s="307">
        <v>314.0</v>
      </c>
      <c r="F377" s="307">
        <v>3.0</v>
      </c>
      <c r="G377" s="307">
        <v>0.0</v>
      </c>
      <c r="H377" s="307">
        <v>34.0</v>
      </c>
      <c r="I377" s="307">
        <v>34.0</v>
      </c>
      <c r="J377" s="308">
        <v>0.0</v>
      </c>
      <c r="K377" s="22" t="s">
        <v>4307</v>
      </c>
      <c r="L377" s="22">
        <v>5.456955509E9</v>
      </c>
      <c r="M377" s="22" t="s">
        <v>71</v>
      </c>
      <c r="N377" s="22" t="s">
        <v>787</v>
      </c>
      <c r="O377" s="22" t="s">
        <v>4308</v>
      </c>
      <c r="P377" s="22" t="s">
        <v>3962</v>
      </c>
      <c r="Q377" s="309">
        <f>COUNTIF('Hedef Liste'!A:A,A377)</f>
        <v>0</v>
      </c>
    </row>
    <row r="378" hidden="1">
      <c r="A378" s="22" t="s">
        <v>871</v>
      </c>
      <c r="B378" s="22" t="s">
        <v>872</v>
      </c>
      <c r="C378" s="306" t="s">
        <v>3959</v>
      </c>
      <c r="D378" s="22" t="s">
        <v>406</v>
      </c>
      <c r="E378" s="307">
        <v>153.0</v>
      </c>
      <c r="F378" s="310"/>
      <c r="G378" s="307">
        <v>0.0</v>
      </c>
      <c r="H378" s="307">
        <v>8.0</v>
      </c>
      <c r="I378" s="307">
        <v>8.0</v>
      </c>
      <c r="J378" s="308">
        <v>0.0</v>
      </c>
      <c r="K378" s="22" t="s">
        <v>873</v>
      </c>
      <c r="L378" s="22">
        <v>3.523209555E9</v>
      </c>
      <c r="M378" s="22" t="s">
        <v>47</v>
      </c>
      <c r="N378" s="22" t="s">
        <v>874</v>
      </c>
      <c r="O378" s="22" t="s">
        <v>875</v>
      </c>
      <c r="P378" s="22" t="s">
        <v>666</v>
      </c>
      <c r="Q378" s="309">
        <f>COUNTIF('Hedef Liste'!A:A,A378)</f>
        <v>1</v>
      </c>
    </row>
    <row r="379" hidden="1">
      <c r="A379" s="22" t="s">
        <v>1762</v>
      </c>
      <c r="B379" s="22" t="s">
        <v>1763</v>
      </c>
      <c r="C379" s="306" t="s">
        <v>3959</v>
      </c>
      <c r="D379" s="22" t="s">
        <v>406</v>
      </c>
      <c r="E379" s="307">
        <v>1390.0</v>
      </c>
      <c r="F379" s="307">
        <v>8.0</v>
      </c>
      <c r="G379" s="307">
        <v>4.0</v>
      </c>
      <c r="H379" s="307">
        <v>11.0</v>
      </c>
      <c r="I379" s="307">
        <v>15.0</v>
      </c>
      <c r="J379" s="311">
        <v>0.27</v>
      </c>
      <c r="K379" s="22" t="s">
        <v>1764</v>
      </c>
      <c r="L379" s="22">
        <v>3.525022667E9</v>
      </c>
      <c r="M379" s="22" t="s">
        <v>47</v>
      </c>
      <c r="N379" s="22" t="s">
        <v>138</v>
      </c>
      <c r="O379" s="22" t="s">
        <v>1765</v>
      </c>
      <c r="P379" s="22" t="s">
        <v>666</v>
      </c>
      <c r="Q379" s="309">
        <f>COUNTIF('Hedef Liste'!A:A,A379)</f>
        <v>1</v>
      </c>
    </row>
    <row r="380" hidden="1">
      <c r="A380" s="22" t="s">
        <v>2506</v>
      </c>
      <c r="B380" s="22" t="s">
        <v>2507</v>
      </c>
      <c r="C380" s="306" t="s">
        <v>3959</v>
      </c>
      <c r="D380" s="22" t="s">
        <v>406</v>
      </c>
      <c r="E380" s="307">
        <v>790.0</v>
      </c>
      <c r="F380" s="307">
        <v>29.0</v>
      </c>
      <c r="G380" s="307">
        <v>0.0</v>
      </c>
      <c r="H380" s="307">
        <v>25.0</v>
      </c>
      <c r="I380" s="307">
        <v>25.0</v>
      </c>
      <c r="J380" s="308">
        <v>0.0</v>
      </c>
      <c r="K380" s="22" t="s">
        <v>1719</v>
      </c>
      <c r="L380" s="22">
        <v>8.50218363E9</v>
      </c>
      <c r="M380" s="22" t="s">
        <v>61</v>
      </c>
      <c r="N380" s="22" t="s">
        <v>107</v>
      </c>
      <c r="O380" s="22" t="s">
        <v>1720</v>
      </c>
      <c r="P380" s="22" t="s">
        <v>666</v>
      </c>
      <c r="Q380" s="309">
        <f>COUNTIF('Hedef Liste'!A:A,A380)</f>
        <v>1</v>
      </c>
    </row>
    <row r="381" hidden="1">
      <c r="A381" s="22" t="s">
        <v>2005</v>
      </c>
      <c r="B381" s="22" t="s">
        <v>2006</v>
      </c>
      <c r="C381" s="306" t="s">
        <v>3959</v>
      </c>
      <c r="D381" s="22" t="s">
        <v>45</v>
      </c>
      <c r="E381" s="307">
        <v>709.0</v>
      </c>
      <c r="F381" s="307">
        <v>6.0</v>
      </c>
      <c r="G381" s="307">
        <v>0.0</v>
      </c>
      <c r="H381" s="307">
        <v>13.0</v>
      </c>
      <c r="I381" s="307">
        <v>13.0</v>
      </c>
      <c r="J381" s="308">
        <v>0.0</v>
      </c>
      <c r="K381" s="22" t="s">
        <v>2007</v>
      </c>
      <c r="L381" s="22">
        <v>5.452494745E9</v>
      </c>
      <c r="M381" s="22" t="s">
        <v>61</v>
      </c>
      <c r="N381" s="22" t="s">
        <v>4135</v>
      </c>
      <c r="O381" s="22" t="s">
        <v>2008</v>
      </c>
      <c r="P381" s="22" t="s">
        <v>666</v>
      </c>
      <c r="Q381" s="309">
        <f>COUNTIF('Hedef Liste'!A:A,A381)</f>
        <v>1</v>
      </c>
    </row>
    <row r="382" hidden="1">
      <c r="A382" s="22" t="s">
        <v>342</v>
      </c>
      <c r="B382" s="22" t="s">
        <v>343</v>
      </c>
      <c r="C382" s="306" t="s">
        <v>3959</v>
      </c>
      <c r="D382" s="22" t="s">
        <v>59</v>
      </c>
      <c r="E382" s="307">
        <v>124.0</v>
      </c>
      <c r="F382" s="307">
        <v>20.0</v>
      </c>
      <c r="G382" s="307">
        <v>0.0</v>
      </c>
      <c r="H382" s="307">
        <v>8.0</v>
      </c>
      <c r="I382" s="307">
        <v>8.0</v>
      </c>
      <c r="J382" s="308">
        <v>0.0</v>
      </c>
      <c r="K382" s="22" t="s">
        <v>344</v>
      </c>
      <c r="L382" s="22">
        <v>3.52503304E9</v>
      </c>
      <c r="M382" s="22" t="s">
        <v>61</v>
      </c>
      <c r="N382" s="22" t="s">
        <v>62</v>
      </c>
      <c r="O382" s="22" t="s">
        <v>345</v>
      </c>
      <c r="P382" s="22" t="s">
        <v>666</v>
      </c>
      <c r="Q382" s="309">
        <f>COUNTIF('Hedef Liste'!A:A,A382)</f>
        <v>1</v>
      </c>
    </row>
    <row r="383" hidden="1">
      <c r="A383" s="22" t="s">
        <v>2178</v>
      </c>
      <c r="B383" s="22" t="s">
        <v>2179</v>
      </c>
      <c r="C383" s="306" t="s">
        <v>3959</v>
      </c>
      <c r="D383" s="22" t="s">
        <v>45</v>
      </c>
      <c r="E383" s="307">
        <v>871.0</v>
      </c>
      <c r="F383" s="307">
        <v>39.0</v>
      </c>
      <c r="G383" s="307">
        <v>0.0</v>
      </c>
      <c r="H383" s="307">
        <v>17.0</v>
      </c>
      <c r="I383" s="307">
        <v>17.0</v>
      </c>
      <c r="J383" s="308">
        <v>0.0</v>
      </c>
      <c r="K383" s="22" t="s">
        <v>2180</v>
      </c>
      <c r="L383" s="22">
        <v>5.05071383E9</v>
      </c>
      <c r="M383" s="22" t="s">
        <v>61</v>
      </c>
      <c r="N383" s="22" t="s">
        <v>62</v>
      </c>
      <c r="O383" s="22" t="s">
        <v>2181</v>
      </c>
      <c r="P383" s="22" t="s">
        <v>666</v>
      </c>
      <c r="Q383" s="309">
        <f>COUNTIF('Hedef Liste'!A:A,A383)</f>
        <v>1</v>
      </c>
    </row>
    <row r="384" hidden="1">
      <c r="A384" s="22" t="s">
        <v>4309</v>
      </c>
      <c r="B384" s="22" t="s">
        <v>4310</v>
      </c>
      <c r="C384" s="306" t="s">
        <v>3959</v>
      </c>
      <c r="D384" s="22" t="s">
        <v>172</v>
      </c>
      <c r="E384" s="307">
        <v>3728.0</v>
      </c>
      <c r="F384" s="307">
        <v>286.0</v>
      </c>
      <c r="G384" s="307">
        <v>45.0</v>
      </c>
      <c r="H384" s="307">
        <v>7.0</v>
      </c>
      <c r="I384" s="307">
        <v>52.0</v>
      </c>
      <c r="J384" s="308">
        <v>0.87</v>
      </c>
      <c r="K384" s="22" t="s">
        <v>4311</v>
      </c>
      <c r="L384" s="22">
        <v>3.5243808E9</v>
      </c>
      <c r="M384" s="22" t="s">
        <v>61</v>
      </c>
      <c r="N384" s="22" t="s">
        <v>107</v>
      </c>
      <c r="O384" s="22" t="s">
        <v>4312</v>
      </c>
      <c r="P384" s="22" t="s">
        <v>3962</v>
      </c>
      <c r="Q384" s="309">
        <f>COUNTIF('Hedef Liste'!A:A,A384)</f>
        <v>0</v>
      </c>
    </row>
    <row r="385" hidden="1">
      <c r="A385" s="22" t="s">
        <v>4313</v>
      </c>
      <c r="B385" s="22" t="s">
        <v>4314</v>
      </c>
      <c r="C385" s="306" t="s">
        <v>3959</v>
      </c>
      <c r="D385" s="22" t="s">
        <v>172</v>
      </c>
      <c r="E385" s="307">
        <v>18577.0</v>
      </c>
      <c r="F385" s="307">
        <v>799.0</v>
      </c>
      <c r="G385" s="307">
        <v>37.0</v>
      </c>
      <c r="H385" s="307">
        <v>11.0</v>
      </c>
      <c r="I385" s="307">
        <v>48.0</v>
      </c>
      <c r="J385" s="308">
        <v>0.77</v>
      </c>
      <c r="K385" s="22" t="s">
        <v>4315</v>
      </c>
      <c r="L385" s="22">
        <v>3.524310111E9</v>
      </c>
      <c r="M385" s="22" t="s">
        <v>61</v>
      </c>
      <c r="N385" s="22" t="s">
        <v>62</v>
      </c>
      <c r="O385" s="22" t="s">
        <v>4316</v>
      </c>
      <c r="P385" s="22" t="s">
        <v>3962</v>
      </c>
      <c r="Q385" s="309">
        <f>COUNTIF('Hedef Liste'!A:A,A385)</f>
        <v>0</v>
      </c>
    </row>
    <row r="386" hidden="1">
      <c r="A386" s="22" t="s">
        <v>4317</v>
      </c>
      <c r="B386" s="22" t="s">
        <v>4318</v>
      </c>
      <c r="C386" s="306" t="s">
        <v>3959</v>
      </c>
      <c r="D386" s="22" t="s">
        <v>172</v>
      </c>
      <c r="E386" s="307">
        <v>4242.0</v>
      </c>
      <c r="F386" s="310"/>
      <c r="G386" s="307">
        <v>47.0</v>
      </c>
      <c r="H386" s="307">
        <v>13.0</v>
      </c>
      <c r="I386" s="307">
        <v>60.0</v>
      </c>
      <c r="J386" s="308">
        <v>0.78</v>
      </c>
      <c r="K386" s="22" t="s">
        <v>4319</v>
      </c>
      <c r="L386" s="22">
        <v>3.525032111E9</v>
      </c>
      <c r="M386" s="22" t="s">
        <v>47</v>
      </c>
      <c r="N386" s="22" t="s">
        <v>131</v>
      </c>
      <c r="O386" s="22" t="s">
        <v>4320</v>
      </c>
      <c r="P386" s="22" t="s">
        <v>3962</v>
      </c>
      <c r="Q386" s="309">
        <f>COUNTIF('Hedef Liste'!A:A,A386)</f>
        <v>0</v>
      </c>
    </row>
    <row r="387" hidden="1">
      <c r="A387" s="22" t="s">
        <v>4321</v>
      </c>
      <c r="B387" s="22" t="s">
        <v>4322</v>
      </c>
      <c r="C387" s="306" t="s">
        <v>3959</v>
      </c>
      <c r="D387" s="22" t="s">
        <v>100</v>
      </c>
      <c r="E387" s="307">
        <v>692.0</v>
      </c>
      <c r="F387" s="310"/>
      <c r="G387" s="307">
        <v>56.0</v>
      </c>
      <c r="H387" s="307">
        <v>1.0</v>
      </c>
      <c r="I387" s="307">
        <v>57.0</v>
      </c>
      <c r="J387" s="308">
        <v>0.98</v>
      </c>
      <c r="K387" s="22" t="s">
        <v>4323</v>
      </c>
      <c r="L387" s="22">
        <v>5.397935044E9</v>
      </c>
      <c r="M387" s="22" t="s">
        <v>61</v>
      </c>
      <c r="N387" s="22" t="s">
        <v>107</v>
      </c>
      <c r="O387" s="22" t="s">
        <v>4324</v>
      </c>
      <c r="P387" s="22" t="s">
        <v>3962</v>
      </c>
      <c r="Q387" s="309">
        <f>COUNTIF('Hedef Liste'!A:A,A387)</f>
        <v>0</v>
      </c>
    </row>
    <row r="388" hidden="1">
      <c r="A388" s="22" t="s">
        <v>142</v>
      </c>
      <c r="B388" s="22" t="s">
        <v>136</v>
      </c>
      <c r="C388" s="306" t="s">
        <v>3959</v>
      </c>
      <c r="D388" s="22" t="s">
        <v>100</v>
      </c>
      <c r="E388" s="307">
        <v>426.0</v>
      </c>
      <c r="F388" s="307">
        <v>22.0</v>
      </c>
      <c r="G388" s="307">
        <v>0.0</v>
      </c>
      <c r="H388" s="307">
        <v>10.0</v>
      </c>
      <c r="I388" s="307">
        <v>10.0</v>
      </c>
      <c r="J388" s="308">
        <v>0.0</v>
      </c>
      <c r="K388" s="22" t="s">
        <v>143</v>
      </c>
      <c r="L388" s="22">
        <v>5.526300238E9</v>
      </c>
      <c r="M388" s="22" t="s">
        <v>47</v>
      </c>
      <c r="N388" s="22" t="s">
        <v>138</v>
      </c>
      <c r="O388" s="22" t="s">
        <v>144</v>
      </c>
      <c r="P388" s="22" t="s">
        <v>666</v>
      </c>
      <c r="Q388" s="309">
        <f>COUNTIF('Hedef Liste'!A:A,A388)</f>
        <v>1</v>
      </c>
    </row>
    <row r="389" hidden="1">
      <c r="A389" s="22" t="s">
        <v>1661</v>
      </c>
      <c r="B389" s="22" t="s">
        <v>4325</v>
      </c>
      <c r="C389" s="306" t="s">
        <v>3959</v>
      </c>
      <c r="D389" s="22" t="s">
        <v>172</v>
      </c>
      <c r="E389" s="307">
        <v>640.0</v>
      </c>
      <c r="F389" s="307">
        <v>22.0</v>
      </c>
      <c r="G389" s="307">
        <v>4.0</v>
      </c>
      <c r="H389" s="307">
        <v>0.0</v>
      </c>
      <c r="I389" s="307">
        <v>4.0</v>
      </c>
      <c r="J389" s="308">
        <v>1.0</v>
      </c>
      <c r="K389" s="22" t="s">
        <v>802</v>
      </c>
      <c r="L389" s="22">
        <v>3.522474746E9</v>
      </c>
      <c r="M389" s="22" t="s">
        <v>47</v>
      </c>
      <c r="N389" s="22" t="s">
        <v>525</v>
      </c>
      <c r="O389" s="22" t="s">
        <v>1663</v>
      </c>
      <c r="P389" s="22" t="s">
        <v>666</v>
      </c>
      <c r="Q389" s="309">
        <f>COUNTIF('Hedef Liste'!A:A,A389)</f>
        <v>1</v>
      </c>
    </row>
    <row r="390" hidden="1">
      <c r="A390" s="22" t="s">
        <v>1003</v>
      </c>
      <c r="B390" s="22" t="s">
        <v>1004</v>
      </c>
      <c r="C390" s="306" t="s">
        <v>3959</v>
      </c>
      <c r="D390" s="22" t="s">
        <v>69</v>
      </c>
      <c r="E390" s="307">
        <v>196.0</v>
      </c>
      <c r="F390" s="307">
        <v>8.0</v>
      </c>
      <c r="G390" s="307">
        <v>14.0</v>
      </c>
      <c r="H390" s="307">
        <v>42.0</v>
      </c>
      <c r="I390" s="307">
        <v>56.0</v>
      </c>
      <c r="J390" s="308">
        <v>0.25</v>
      </c>
      <c r="K390" s="22" t="s">
        <v>1005</v>
      </c>
      <c r="L390" s="22">
        <v>5.453498641E9</v>
      </c>
      <c r="M390" s="22" t="s">
        <v>61</v>
      </c>
      <c r="N390" s="22" t="s">
        <v>107</v>
      </c>
      <c r="O390" s="22" t="s">
        <v>1006</v>
      </c>
      <c r="P390" s="22" t="s">
        <v>666</v>
      </c>
      <c r="Q390" s="309">
        <f>COUNTIF('Hedef Liste'!A:A,A390)</f>
        <v>1</v>
      </c>
    </row>
    <row r="391" hidden="1">
      <c r="A391" s="22" t="s">
        <v>1199</v>
      </c>
      <c r="B391" s="22" t="s">
        <v>1200</v>
      </c>
      <c r="C391" s="306" t="s">
        <v>3959</v>
      </c>
      <c r="D391" s="22" t="s">
        <v>406</v>
      </c>
      <c r="E391" s="307">
        <v>365.0</v>
      </c>
      <c r="F391" s="307">
        <v>52.0</v>
      </c>
      <c r="G391" s="307">
        <v>0.0</v>
      </c>
      <c r="H391" s="307">
        <v>35.0</v>
      </c>
      <c r="I391" s="307">
        <v>35.0</v>
      </c>
      <c r="J391" s="308">
        <v>0.0</v>
      </c>
      <c r="K391" s="22" t="s">
        <v>1201</v>
      </c>
      <c r="L391" s="22">
        <v>3.525038081E9</v>
      </c>
      <c r="M391" s="22" t="s">
        <v>61</v>
      </c>
      <c r="N391" s="22" t="s">
        <v>62</v>
      </c>
      <c r="O391" s="22" t="s">
        <v>1202</v>
      </c>
      <c r="P391" s="22" t="s">
        <v>666</v>
      </c>
      <c r="Q391" s="309">
        <f>COUNTIF('Hedef Liste'!A:A,A391)</f>
        <v>1</v>
      </c>
    </row>
    <row r="392" hidden="1">
      <c r="A392" s="22" t="s">
        <v>1579</v>
      </c>
      <c r="B392" s="22" t="s">
        <v>1580</v>
      </c>
      <c r="C392" s="306" t="s">
        <v>3959</v>
      </c>
      <c r="D392" s="22" t="s">
        <v>406</v>
      </c>
      <c r="E392" s="307">
        <v>63.0</v>
      </c>
      <c r="F392" s="310"/>
      <c r="G392" s="307">
        <v>0.0</v>
      </c>
      <c r="H392" s="307">
        <v>9.0</v>
      </c>
      <c r="I392" s="307">
        <v>9.0</v>
      </c>
      <c r="J392" s="308">
        <v>0.0</v>
      </c>
      <c r="K392" s="22" t="s">
        <v>1581</v>
      </c>
      <c r="L392" s="22">
        <v>3.52339707E9</v>
      </c>
      <c r="M392" s="22" t="s">
        <v>71</v>
      </c>
      <c r="N392" s="22" t="s">
        <v>1582</v>
      </c>
      <c r="O392" s="22" t="s">
        <v>1583</v>
      </c>
      <c r="P392" s="22" t="s">
        <v>666</v>
      </c>
      <c r="Q392" s="309">
        <f>COUNTIF('Hedef Liste'!A:A,A392)</f>
        <v>1</v>
      </c>
    </row>
    <row r="393" hidden="1">
      <c r="A393" s="22" t="s">
        <v>4326</v>
      </c>
      <c r="B393" s="22" t="s">
        <v>4327</v>
      </c>
      <c r="C393" s="306" t="s">
        <v>3959</v>
      </c>
      <c r="D393" s="22" t="s">
        <v>100</v>
      </c>
      <c r="E393" s="307">
        <v>436.0</v>
      </c>
      <c r="F393" s="307">
        <v>2.0</v>
      </c>
      <c r="G393" s="307">
        <v>66.0</v>
      </c>
      <c r="H393" s="307">
        <v>0.0</v>
      </c>
      <c r="I393" s="307">
        <v>66.0</v>
      </c>
      <c r="J393" s="308">
        <v>1.0</v>
      </c>
      <c r="K393" s="22" t="s">
        <v>4328</v>
      </c>
      <c r="L393" s="22">
        <v>5.421353038E9</v>
      </c>
      <c r="M393" s="22" t="s">
        <v>71</v>
      </c>
      <c r="N393" s="22" t="s">
        <v>797</v>
      </c>
      <c r="O393" s="22" t="s">
        <v>4329</v>
      </c>
      <c r="P393" s="22" t="s">
        <v>3962</v>
      </c>
      <c r="Q393" s="309">
        <f>COUNTIF('Hedef Liste'!A:A,A393)</f>
        <v>0</v>
      </c>
    </row>
    <row r="394" hidden="1">
      <c r="A394" s="22" t="s">
        <v>4330</v>
      </c>
      <c r="B394" s="22" t="s">
        <v>4331</v>
      </c>
      <c r="C394" s="306" t="s">
        <v>3959</v>
      </c>
      <c r="D394" s="22" t="s">
        <v>100</v>
      </c>
      <c r="E394" s="307">
        <v>199.0</v>
      </c>
      <c r="F394" s="307">
        <v>2.0</v>
      </c>
      <c r="G394" s="307">
        <v>38.0</v>
      </c>
      <c r="H394" s="307">
        <v>1.0</v>
      </c>
      <c r="I394" s="307">
        <v>39.0</v>
      </c>
      <c r="J394" s="308">
        <v>0.97</v>
      </c>
      <c r="K394" s="22" t="s">
        <v>4332</v>
      </c>
      <c r="L394" s="22">
        <v>5.5206358E9</v>
      </c>
      <c r="M394" s="22" t="s">
        <v>71</v>
      </c>
      <c r="N394" s="22" t="s">
        <v>1116</v>
      </c>
      <c r="O394" s="22" t="s">
        <v>4333</v>
      </c>
      <c r="P394" s="22" t="s">
        <v>3962</v>
      </c>
      <c r="Q394" s="309">
        <f>COUNTIF('Hedef Liste'!A:A,A394)</f>
        <v>0</v>
      </c>
    </row>
    <row r="395" hidden="1">
      <c r="A395" s="22" t="s">
        <v>4334</v>
      </c>
      <c r="B395" s="22" t="s">
        <v>4335</v>
      </c>
      <c r="C395" s="306" t="s">
        <v>3959</v>
      </c>
      <c r="D395" s="22" t="s">
        <v>100</v>
      </c>
      <c r="E395" s="307">
        <v>595.0</v>
      </c>
      <c r="F395" s="307">
        <v>13.0</v>
      </c>
      <c r="G395" s="307">
        <v>23.0</v>
      </c>
      <c r="H395" s="307">
        <v>3.0</v>
      </c>
      <c r="I395" s="307">
        <v>26.0</v>
      </c>
      <c r="J395" s="308">
        <v>0.88</v>
      </c>
      <c r="K395" s="22" t="s">
        <v>4336</v>
      </c>
      <c r="L395" s="22">
        <v>5.372150556E9</v>
      </c>
      <c r="M395" s="22" t="s">
        <v>71</v>
      </c>
      <c r="N395" s="22" t="s">
        <v>265</v>
      </c>
      <c r="O395" s="22" t="s">
        <v>4337</v>
      </c>
      <c r="P395" s="22" t="s">
        <v>3962</v>
      </c>
      <c r="Q395" s="309">
        <f>COUNTIF('Hedef Liste'!A:A,A395)</f>
        <v>0</v>
      </c>
    </row>
    <row r="396" hidden="1">
      <c r="A396" s="22" t="s">
        <v>4338</v>
      </c>
      <c r="B396" s="22" t="s">
        <v>4339</v>
      </c>
      <c r="C396" s="306" t="s">
        <v>3959</v>
      </c>
      <c r="D396" s="22" t="s">
        <v>100</v>
      </c>
      <c r="E396" s="307">
        <v>182.0</v>
      </c>
      <c r="F396" s="307">
        <v>9.0</v>
      </c>
      <c r="G396" s="307">
        <v>64.0</v>
      </c>
      <c r="H396" s="307">
        <v>7.0</v>
      </c>
      <c r="I396" s="307">
        <v>71.0</v>
      </c>
      <c r="J396" s="308">
        <v>0.9</v>
      </c>
      <c r="K396" s="22" t="s">
        <v>1481</v>
      </c>
      <c r="L396" s="22">
        <v>3.523383737E9</v>
      </c>
      <c r="M396" s="22" t="s">
        <v>71</v>
      </c>
      <c r="N396" s="22" t="s">
        <v>1116</v>
      </c>
      <c r="O396" s="22" t="s">
        <v>4340</v>
      </c>
      <c r="P396" s="22" t="s">
        <v>3962</v>
      </c>
      <c r="Q396" s="309">
        <f>COUNTIF('Hedef Liste'!A:A,A396)</f>
        <v>0</v>
      </c>
    </row>
    <row r="397" hidden="1">
      <c r="A397" s="22" t="s">
        <v>4341</v>
      </c>
      <c r="B397" s="22" t="s">
        <v>4342</v>
      </c>
      <c r="C397" s="306" t="s">
        <v>3959</v>
      </c>
      <c r="D397" s="22" t="s">
        <v>100</v>
      </c>
      <c r="E397" s="307">
        <v>150.0</v>
      </c>
      <c r="F397" s="307">
        <v>3.0</v>
      </c>
      <c r="G397" s="307">
        <v>39.0</v>
      </c>
      <c r="H397" s="307">
        <v>24.0</v>
      </c>
      <c r="I397" s="307">
        <v>63.0</v>
      </c>
      <c r="J397" s="308">
        <v>0.62</v>
      </c>
      <c r="K397" s="22" t="s">
        <v>4343</v>
      </c>
      <c r="L397" s="22">
        <v>5.45554196E9</v>
      </c>
      <c r="M397" s="22" t="s">
        <v>47</v>
      </c>
      <c r="N397" s="22" t="s">
        <v>482</v>
      </c>
      <c r="O397" s="22" t="s">
        <v>4344</v>
      </c>
      <c r="P397" s="22" t="s">
        <v>3962</v>
      </c>
      <c r="Q397" s="309">
        <f>COUNTIF('Hedef Liste'!A:A,A397)</f>
        <v>0</v>
      </c>
    </row>
    <row r="398" hidden="1">
      <c r="A398" s="22" t="s">
        <v>1644</v>
      </c>
      <c r="B398" s="22" t="s">
        <v>1645</v>
      </c>
      <c r="C398" s="306" t="s">
        <v>3959</v>
      </c>
      <c r="D398" s="22" t="s">
        <v>165</v>
      </c>
      <c r="E398" s="310"/>
      <c r="F398" s="310"/>
      <c r="G398" s="307">
        <v>5.0</v>
      </c>
      <c r="H398" s="307">
        <v>2.0</v>
      </c>
      <c r="I398" s="307">
        <v>7.0</v>
      </c>
      <c r="J398" s="308">
        <v>0.71</v>
      </c>
      <c r="K398" s="22" t="s">
        <v>1646</v>
      </c>
      <c r="L398" s="22">
        <v>3.522213137E9</v>
      </c>
      <c r="M398" s="22" t="s">
        <v>47</v>
      </c>
      <c r="N398" s="22" t="s">
        <v>307</v>
      </c>
      <c r="O398" s="22" t="s">
        <v>1647</v>
      </c>
      <c r="P398" s="22" t="s">
        <v>666</v>
      </c>
      <c r="Q398" s="309">
        <f>COUNTIF('Hedef Liste'!A:A,A398)</f>
        <v>1</v>
      </c>
    </row>
    <row r="399" hidden="1">
      <c r="A399" s="22" t="s">
        <v>1059</v>
      </c>
      <c r="B399" s="22" t="s">
        <v>1060</v>
      </c>
      <c r="C399" s="306" t="s">
        <v>3959</v>
      </c>
      <c r="D399" s="22" t="s">
        <v>406</v>
      </c>
      <c r="E399" s="307">
        <v>249.0</v>
      </c>
      <c r="F399" s="307">
        <v>29.0</v>
      </c>
      <c r="G399" s="307">
        <v>16.0</v>
      </c>
      <c r="H399" s="307">
        <v>9.0</v>
      </c>
      <c r="I399" s="307">
        <v>25.0</v>
      </c>
      <c r="J399" s="308">
        <v>0.64</v>
      </c>
      <c r="K399" s="22" t="s">
        <v>1061</v>
      </c>
      <c r="L399" s="22">
        <v>3.52502726E9</v>
      </c>
      <c r="M399" s="22" t="s">
        <v>61</v>
      </c>
      <c r="N399" s="22" t="s">
        <v>250</v>
      </c>
      <c r="O399" s="22" t="s">
        <v>1062</v>
      </c>
      <c r="P399" s="22" t="s">
        <v>666</v>
      </c>
      <c r="Q399" s="309">
        <f>COUNTIF('Hedef Liste'!A:A,A399)</f>
        <v>1</v>
      </c>
    </row>
    <row r="400" hidden="1">
      <c r="A400" s="22" t="s">
        <v>919</v>
      </c>
      <c r="B400" s="22" t="s">
        <v>920</v>
      </c>
      <c r="C400" s="306" t="s">
        <v>3959</v>
      </c>
      <c r="D400" s="22" t="s">
        <v>100</v>
      </c>
      <c r="E400" s="307">
        <v>217.0</v>
      </c>
      <c r="F400" s="307">
        <v>18.0</v>
      </c>
      <c r="G400" s="307">
        <v>11.0</v>
      </c>
      <c r="H400" s="307">
        <v>10.0</v>
      </c>
      <c r="I400" s="307">
        <v>21.0</v>
      </c>
      <c r="J400" s="308">
        <v>0.52</v>
      </c>
      <c r="K400" s="22" t="s">
        <v>921</v>
      </c>
      <c r="L400" s="22">
        <v>3.525031908E9</v>
      </c>
      <c r="M400" s="22" t="s">
        <v>47</v>
      </c>
      <c r="N400" s="22" t="s">
        <v>48</v>
      </c>
      <c r="O400" s="22" t="s">
        <v>922</v>
      </c>
      <c r="P400" s="22" t="s">
        <v>666</v>
      </c>
      <c r="Q400" s="309">
        <f>COUNTIF('Hedef Liste'!A:A,A400)</f>
        <v>1</v>
      </c>
    </row>
    <row r="401" hidden="1">
      <c r="A401" s="22" t="s">
        <v>1753</v>
      </c>
      <c r="B401" s="22" t="s">
        <v>1754</v>
      </c>
      <c r="C401" s="306" t="s">
        <v>3963</v>
      </c>
      <c r="D401" s="22" t="s">
        <v>1755</v>
      </c>
      <c r="E401" s="310"/>
      <c r="F401" s="310"/>
      <c r="G401" s="307">
        <v>0.0</v>
      </c>
      <c r="H401" s="307">
        <v>15.0</v>
      </c>
      <c r="I401" s="307">
        <v>15.0</v>
      </c>
      <c r="J401" s="308">
        <v>0.0</v>
      </c>
      <c r="K401" s="22" t="s">
        <v>959</v>
      </c>
      <c r="L401" s="22">
        <v>5.318748668E9</v>
      </c>
      <c r="M401" s="22" t="s">
        <v>61</v>
      </c>
      <c r="N401" s="22" t="s">
        <v>62</v>
      </c>
      <c r="O401" s="22" t="s">
        <v>960</v>
      </c>
      <c r="P401" s="22" t="s">
        <v>666</v>
      </c>
      <c r="Q401" s="309">
        <f>COUNTIF('Hedef Liste'!A:A,A401)</f>
        <v>1</v>
      </c>
    </row>
    <row r="402" hidden="1">
      <c r="A402" s="22" t="s">
        <v>1783</v>
      </c>
      <c r="B402" s="22" t="s">
        <v>1784</v>
      </c>
      <c r="C402" s="306" t="s">
        <v>3959</v>
      </c>
      <c r="D402" s="22" t="s">
        <v>83</v>
      </c>
      <c r="E402" s="307">
        <v>221.0</v>
      </c>
      <c r="F402" s="307">
        <v>20.0</v>
      </c>
      <c r="G402" s="307">
        <v>0.0</v>
      </c>
      <c r="H402" s="307">
        <v>22.0</v>
      </c>
      <c r="I402" s="307">
        <v>22.0</v>
      </c>
      <c r="J402" s="308">
        <v>0.0</v>
      </c>
      <c r="K402" s="22" t="s">
        <v>1785</v>
      </c>
      <c r="L402" s="22">
        <v>5.54456272E9</v>
      </c>
      <c r="M402" s="22" t="s">
        <v>47</v>
      </c>
      <c r="N402" s="22" t="s">
        <v>640</v>
      </c>
      <c r="O402" s="22" t="s">
        <v>1786</v>
      </c>
      <c r="P402" s="22" t="s">
        <v>666</v>
      </c>
      <c r="Q402" s="309">
        <f>COUNTIF('Hedef Liste'!A:A,A402)</f>
        <v>1</v>
      </c>
    </row>
    <row r="403" hidden="1">
      <c r="A403" s="22" t="s">
        <v>503</v>
      </c>
      <c r="B403" s="22" t="s">
        <v>504</v>
      </c>
      <c r="C403" s="306" t="s">
        <v>3959</v>
      </c>
      <c r="D403" s="22" t="s">
        <v>505</v>
      </c>
      <c r="E403" s="307">
        <v>2963.0</v>
      </c>
      <c r="F403" s="307">
        <v>593.0</v>
      </c>
      <c r="G403" s="307">
        <v>9.0</v>
      </c>
      <c r="H403" s="307">
        <v>13.0</v>
      </c>
      <c r="I403" s="307">
        <v>22.0</v>
      </c>
      <c r="J403" s="308">
        <v>0.41</v>
      </c>
      <c r="K403" s="22" t="s">
        <v>506</v>
      </c>
      <c r="L403" s="22">
        <v>3.522362727E9</v>
      </c>
      <c r="M403" s="22" t="s">
        <v>61</v>
      </c>
      <c r="N403" s="22" t="s">
        <v>250</v>
      </c>
      <c r="O403" s="22" t="s">
        <v>507</v>
      </c>
      <c r="P403" s="22" t="s">
        <v>666</v>
      </c>
      <c r="Q403" s="309">
        <f>COUNTIF('Hedef Liste'!A:A,A403)</f>
        <v>1</v>
      </c>
    </row>
    <row r="404" hidden="1">
      <c r="A404" s="22" t="s">
        <v>313</v>
      </c>
      <c r="B404" s="22" t="s">
        <v>314</v>
      </c>
      <c r="C404" s="306" t="s">
        <v>3959</v>
      </c>
      <c r="D404" s="22" t="s">
        <v>100</v>
      </c>
      <c r="E404" s="307">
        <v>16.0</v>
      </c>
      <c r="F404" s="310"/>
      <c r="G404" s="307">
        <v>9.0</v>
      </c>
      <c r="H404" s="307">
        <v>13.0</v>
      </c>
      <c r="I404" s="307">
        <v>22.0</v>
      </c>
      <c r="J404" s="308">
        <v>0.41</v>
      </c>
      <c r="K404" s="22" t="s">
        <v>315</v>
      </c>
      <c r="L404" s="22">
        <v>3.523550404E9</v>
      </c>
      <c r="M404" s="22" t="s">
        <v>47</v>
      </c>
      <c r="N404" s="22" t="s">
        <v>155</v>
      </c>
      <c r="O404" s="22" t="s">
        <v>316</v>
      </c>
      <c r="P404" s="22" t="s">
        <v>666</v>
      </c>
      <c r="Q404" s="309">
        <f>COUNTIF('Hedef Liste'!A:A,A404)</f>
        <v>1</v>
      </c>
    </row>
    <row r="405" hidden="1">
      <c r="A405" s="22" t="s">
        <v>1892</v>
      </c>
      <c r="B405" s="22" t="s">
        <v>1893</v>
      </c>
      <c r="C405" s="306" t="s">
        <v>3959</v>
      </c>
      <c r="D405" s="22" t="s">
        <v>172</v>
      </c>
      <c r="E405" s="307">
        <v>527.0</v>
      </c>
      <c r="F405" s="307">
        <v>83.0</v>
      </c>
      <c r="G405" s="307">
        <v>12.0</v>
      </c>
      <c r="H405" s="307">
        <v>0.0</v>
      </c>
      <c r="I405" s="307">
        <v>12.0</v>
      </c>
      <c r="J405" s="308">
        <v>1.0</v>
      </c>
      <c r="K405" s="22" t="s">
        <v>1894</v>
      </c>
      <c r="L405" s="22">
        <v>5.013280438E9</v>
      </c>
      <c r="M405" s="22" t="s">
        <v>71</v>
      </c>
      <c r="N405" s="22" t="s">
        <v>224</v>
      </c>
      <c r="O405" s="22" t="s">
        <v>1895</v>
      </c>
      <c r="P405" s="22" t="s">
        <v>666</v>
      </c>
      <c r="Q405" s="309">
        <f>COUNTIF('Hedef Liste'!A:A,A405)</f>
        <v>1</v>
      </c>
    </row>
    <row r="406" hidden="1">
      <c r="A406" s="22" t="s">
        <v>4345</v>
      </c>
      <c r="B406" s="22" t="s">
        <v>4346</v>
      </c>
      <c r="C406" s="306" t="s">
        <v>3963</v>
      </c>
      <c r="D406" s="22" t="s">
        <v>4168</v>
      </c>
      <c r="E406" s="310"/>
      <c r="F406" s="310"/>
      <c r="G406" s="307">
        <v>24.0</v>
      </c>
      <c r="H406" s="307">
        <v>12.0</v>
      </c>
      <c r="I406" s="307">
        <v>36.0</v>
      </c>
      <c r="J406" s="308">
        <v>0.67</v>
      </c>
      <c r="K406" s="22" t="s">
        <v>4347</v>
      </c>
      <c r="L406" s="22">
        <v>5.324648262E9</v>
      </c>
      <c r="M406" s="22" t="s">
        <v>61</v>
      </c>
      <c r="N406" s="22" t="s">
        <v>811</v>
      </c>
      <c r="O406" s="22" t="s">
        <v>4348</v>
      </c>
      <c r="P406" s="22" t="s">
        <v>4349</v>
      </c>
      <c r="Q406" s="309">
        <f>COUNTIF('Hedef Liste'!A:A,A406)</f>
        <v>0</v>
      </c>
    </row>
    <row r="407" hidden="1">
      <c r="A407" s="22" t="s">
        <v>4350</v>
      </c>
      <c r="B407" s="22" t="s">
        <v>4351</v>
      </c>
      <c r="C407" s="306" t="s">
        <v>3959</v>
      </c>
      <c r="D407" s="22" t="s">
        <v>165</v>
      </c>
      <c r="E407" s="307">
        <v>74.0</v>
      </c>
      <c r="F407" s="307">
        <v>4.0</v>
      </c>
      <c r="G407" s="307">
        <v>59.0</v>
      </c>
      <c r="H407" s="307">
        <v>0.0</v>
      </c>
      <c r="I407" s="307">
        <v>59.0</v>
      </c>
      <c r="J407" s="308">
        <v>1.0</v>
      </c>
      <c r="K407" s="22" t="s">
        <v>4150</v>
      </c>
      <c r="L407" s="22">
        <v>9.999999999E9</v>
      </c>
      <c r="M407" s="22" t="s">
        <v>47</v>
      </c>
      <c r="N407" s="22" t="s">
        <v>48</v>
      </c>
      <c r="O407" s="22" t="s">
        <v>4352</v>
      </c>
      <c r="P407" s="22" t="s">
        <v>3962</v>
      </c>
      <c r="Q407" s="309">
        <f>COUNTIF('Hedef Liste'!A:A,A407)</f>
        <v>0</v>
      </c>
    </row>
    <row r="408" hidden="1">
      <c r="A408" s="22" t="s">
        <v>2782</v>
      </c>
      <c r="B408" s="22" t="s">
        <v>4353</v>
      </c>
      <c r="C408" s="306" t="s">
        <v>3959</v>
      </c>
      <c r="D408" s="22" t="s">
        <v>83</v>
      </c>
      <c r="E408" s="307">
        <v>134.0</v>
      </c>
      <c r="F408" s="307">
        <v>28.0</v>
      </c>
      <c r="G408" s="307">
        <v>4.0</v>
      </c>
      <c r="H408" s="307">
        <v>9.0</v>
      </c>
      <c r="I408" s="307">
        <v>13.0</v>
      </c>
      <c r="J408" s="308">
        <v>0.31</v>
      </c>
      <c r="K408" s="22" t="s">
        <v>2767</v>
      </c>
      <c r="L408" s="22">
        <v>5.411701979E9</v>
      </c>
      <c r="M408" s="22" t="s">
        <v>61</v>
      </c>
      <c r="N408" s="22" t="s">
        <v>62</v>
      </c>
      <c r="O408" s="22" t="s">
        <v>2649</v>
      </c>
      <c r="P408" s="22" t="s">
        <v>666</v>
      </c>
      <c r="Q408" s="309">
        <f>COUNTIF('Hedef Liste'!A:A,A408)</f>
        <v>1</v>
      </c>
    </row>
    <row r="409" hidden="1">
      <c r="A409" s="22" t="s">
        <v>2646</v>
      </c>
      <c r="B409" s="22" t="s">
        <v>2647</v>
      </c>
      <c r="C409" s="306" t="s">
        <v>3959</v>
      </c>
      <c r="D409" s="22" t="s">
        <v>165</v>
      </c>
      <c r="E409" s="307">
        <v>3714.0</v>
      </c>
      <c r="F409" s="310"/>
      <c r="G409" s="307">
        <v>0.0</v>
      </c>
      <c r="H409" s="307">
        <v>26.0</v>
      </c>
      <c r="I409" s="307">
        <v>26.0</v>
      </c>
      <c r="J409" s="308">
        <v>0.0</v>
      </c>
      <c r="K409" s="22" t="s">
        <v>2648</v>
      </c>
      <c r="L409" s="22">
        <v>3.524376616E9</v>
      </c>
      <c r="M409" s="22" t="s">
        <v>61</v>
      </c>
      <c r="N409" s="22" t="s">
        <v>62</v>
      </c>
      <c r="O409" s="22" t="s">
        <v>2649</v>
      </c>
      <c r="P409" s="22" t="s">
        <v>666</v>
      </c>
      <c r="Q409" s="309">
        <f>COUNTIF('Hedef Liste'!A:A,A409)</f>
        <v>1</v>
      </c>
    </row>
    <row r="410" hidden="1">
      <c r="A410" s="22" t="s">
        <v>330</v>
      </c>
      <c r="B410" s="22" t="s">
        <v>331</v>
      </c>
      <c r="C410" s="306" t="s">
        <v>3959</v>
      </c>
      <c r="D410" s="22" t="s">
        <v>69</v>
      </c>
      <c r="E410" s="307">
        <v>485.0</v>
      </c>
      <c r="F410" s="307">
        <v>125.0</v>
      </c>
      <c r="G410" s="307">
        <v>27.0</v>
      </c>
      <c r="H410" s="307">
        <v>39.0</v>
      </c>
      <c r="I410" s="307">
        <v>66.0</v>
      </c>
      <c r="J410" s="308">
        <v>0.41</v>
      </c>
      <c r="K410" s="22" t="s">
        <v>332</v>
      </c>
      <c r="L410" s="22">
        <v>5.454619844E9</v>
      </c>
      <c r="M410" s="22" t="s">
        <v>47</v>
      </c>
      <c r="N410" s="22" t="s">
        <v>333</v>
      </c>
      <c r="O410" s="22" t="s">
        <v>334</v>
      </c>
      <c r="P410" s="22" t="s">
        <v>666</v>
      </c>
      <c r="Q410" s="309">
        <f>COUNTIF('Hedef Liste'!A:A,A410)</f>
        <v>1</v>
      </c>
    </row>
    <row r="411" hidden="1">
      <c r="A411" s="22" t="s">
        <v>252</v>
      </c>
      <c r="B411" s="22" t="s">
        <v>253</v>
      </c>
      <c r="C411" s="306" t="s">
        <v>3963</v>
      </c>
      <c r="D411" s="22" t="s">
        <v>100</v>
      </c>
      <c r="E411" s="310"/>
      <c r="F411" s="310"/>
      <c r="G411" s="307">
        <v>9.0</v>
      </c>
      <c r="H411" s="307">
        <v>11.0</v>
      </c>
      <c r="I411" s="307">
        <v>20.0</v>
      </c>
      <c r="J411" s="308">
        <v>0.45</v>
      </c>
      <c r="K411" s="22" t="s">
        <v>254</v>
      </c>
      <c r="L411" s="22">
        <v>5.541120402E9</v>
      </c>
      <c r="M411" s="22" t="s">
        <v>47</v>
      </c>
      <c r="N411" s="22" t="s">
        <v>131</v>
      </c>
      <c r="O411" s="22" t="s">
        <v>255</v>
      </c>
      <c r="P411" s="22" t="s">
        <v>666</v>
      </c>
      <c r="Q411" s="309">
        <f>COUNTIF('Hedef Liste'!A:A,A411)</f>
        <v>1</v>
      </c>
    </row>
    <row r="412" hidden="1">
      <c r="A412" s="22" t="s">
        <v>2833</v>
      </c>
      <c r="B412" s="22" t="s">
        <v>2834</v>
      </c>
      <c r="C412" s="306" t="s">
        <v>3959</v>
      </c>
      <c r="D412" s="22" t="s">
        <v>165</v>
      </c>
      <c r="E412" s="307">
        <v>1052.0</v>
      </c>
      <c r="F412" s="307">
        <v>199.0</v>
      </c>
      <c r="G412" s="307">
        <v>0.0</v>
      </c>
      <c r="H412" s="307">
        <v>12.0</v>
      </c>
      <c r="I412" s="307">
        <v>12.0</v>
      </c>
      <c r="J412" s="308">
        <v>0.0</v>
      </c>
      <c r="K412" s="22" t="s">
        <v>2835</v>
      </c>
      <c r="L412" s="22">
        <v>5.366032431E9</v>
      </c>
      <c r="M412" s="22" t="s">
        <v>47</v>
      </c>
      <c r="N412" s="22" t="s">
        <v>2836</v>
      </c>
      <c r="O412" s="22" t="s">
        <v>2837</v>
      </c>
      <c r="P412" s="22" t="s">
        <v>666</v>
      </c>
      <c r="Q412" s="309">
        <f>COUNTIF('Hedef Liste'!A:A,A412)</f>
        <v>1</v>
      </c>
    </row>
    <row r="413" hidden="1">
      <c r="A413" s="22" t="s">
        <v>4354</v>
      </c>
      <c r="B413" s="22" t="s">
        <v>4355</v>
      </c>
      <c r="C413" s="306" t="s">
        <v>3959</v>
      </c>
      <c r="D413" s="22" t="s">
        <v>100</v>
      </c>
      <c r="E413" s="307">
        <v>371.0</v>
      </c>
      <c r="F413" s="307">
        <v>46.0</v>
      </c>
      <c r="G413" s="307">
        <v>46.0</v>
      </c>
      <c r="H413" s="307">
        <v>11.0</v>
      </c>
      <c r="I413" s="307">
        <v>57.0</v>
      </c>
      <c r="J413" s="308">
        <v>0.81</v>
      </c>
      <c r="K413" s="22" t="s">
        <v>4356</v>
      </c>
      <c r="L413" s="22">
        <v>5.350154038E9</v>
      </c>
      <c r="M413" s="22" t="s">
        <v>47</v>
      </c>
      <c r="N413" s="22" t="s">
        <v>448</v>
      </c>
      <c r="O413" s="22" t="s">
        <v>4357</v>
      </c>
      <c r="P413" s="22" t="s">
        <v>3962</v>
      </c>
      <c r="Q413" s="309">
        <f>COUNTIF('Hedef Liste'!A:A,A413)</f>
        <v>0</v>
      </c>
    </row>
    <row r="414" hidden="1">
      <c r="A414" s="22" t="s">
        <v>4358</v>
      </c>
      <c r="B414" s="22" t="s">
        <v>4359</v>
      </c>
      <c r="C414" s="306" t="s">
        <v>3959</v>
      </c>
      <c r="D414" s="22" t="s">
        <v>45</v>
      </c>
      <c r="E414" s="307">
        <v>7964.0</v>
      </c>
      <c r="F414" s="307">
        <v>66.0</v>
      </c>
      <c r="G414" s="307">
        <v>77.0</v>
      </c>
      <c r="H414" s="307">
        <v>0.0</v>
      </c>
      <c r="I414" s="307">
        <v>77.0</v>
      </c>
      <c r="J414" s="308">
        <v>1.0</v>
      </c>
      <c r="K414" s="22" t="s">
        <v>4360</v>
      </c>
      <c r="L414" s="22">
        <v>2.123363575E9</v>
      </c>
      <c r="M414" s="22" t="s">
        <v>47</v>
      </c>
      <c r="N414" s="22" t="s">
        <v>47</v>
      </c>
      <c r="O414" s="22" t="s">
        <v>4361</v>
      </c>
      <c r="P414" s="22" t="s">
        <v>3962</v>
      </c>
      <c r="Q414" s="309">
        <f>COUNTIF('Hedef Liste'!A:A,A414)</f>
        <v>0</v>
      </c>
    </row>
    <row r="415" hidden="1">
      <c r="A415" s="22" t="s">
        <v>998</v>
      </c>
      <c r="B415" s="22" t="s">
        <v>999</v>
      </c>
      <c r="C415" s="306" t="s">
        <v>3959</v>
      </c>
      <c r="D415" s="22" t="s">
        <v>172</v>
      </c>
      <c r="E415" s="307">
        <v>4493.0</v>
      </c>
      <c r="F415" s="307">
        <v>397.0</v>
      </c>
      <c r="G415" s="307">
        <v>0.0</v>
      </c>
      <c r="H415" s="307">
        <v>19.0</v>
      </c>
      <c r="I415" s="307">
        <v>19.0</v>
      </c>
      <c r="J415" s="308">
        <v>0.0</v>
      </c>
      <c r="K415" s="22" t="s">
        <v>985</v>
      </c>
      <c r="L415" s="22">
        <v>3.524376063E9</v>
      </c>
      <c r="M415" s="22" t="s">
        <v>61</v>
      </c>
      <c r="N415" s="22" t="s">
        <v>1000</v>
      </c>
      <c r="O415" s="22" t="s">
        <v>1001</v>
      </c>
      <c r="P415" s="22" t="s">
        <v>666</v>
      </c>
      <c r="Q415" s="309">
        <f>COUNTIF('Hedef Liste'!A:A,A415)</f>
        <v>1</v>
      </c>
    </row>
    <row r="416" hidden="1">
      <c r="A416" s="22" t="s">
        <v>4362</v>
      </c>
      <c r="B416" s="22" t="s">
        <v>4363</v>
      </c>
      <c r="C416" s="306" t="s">
        <v>3959</v>
      </c>
      <c r="D416" s="22" t="s">
        <v>100</v>
      </c>
      <c r="E416" s="307">
        <v>1.0</v>
      </c>
      <c r="F416" s="310"/>
      <c r="G416" s="307">
        <v>47.0</v>
      </c>
      <c r="H416" s="307">
        <v>15.0</v>
      </c>
      <c r="I416" s="307">
        <v>62.0</v>
      </c>
      <c r="J416" s="308">
        <v>0.76</v>
      </c>
      <c r="K416" s="22" t="s">
        <v>4364</v>
      </c>
      <c r="L416" s="22">
        <v>5.535264172E9</v>
      </c>
      <c r="M416" s="22" t="s">
        <v>71</v>
      </c>
      <c r="N416" s="22" t="s">
        <v>787</v>
      </c>
      <c r="O416" s="22" t="s">
        <v>4365</v>
      </c>
      <c r="P416" s="22" t="s">
        <v>3962</v>
      </c>
      <c r="Q416" s="309">
        <f>COUNTIF('Hedef Liste'!A:A,A416)</f>
        <v>0</v>
      </c>
    </row>
    <row r="417" hidden="1">
      <c r="A417" s="22" t="s">
        <v>2131</v>
      </c>
      <c r="B417" s="22" t="s">
        <v>2132</v>
      </c>
      <c r="C417" s="306" t="s">
        <v>3959</v>
      </c>
      <c r="D417" s="22" t="s">
        <v>172</v>
      </c>
      <c r="E417" s="307">
        <v>3710.0</v>
      </c>
      <c r="F417" s="307">
        <v>149.0</v>
      </c>
      <c r="G417" s="307">
        <v>0.0</v>
      </c>
      <c r="H417" s="307">
        <v>22.0</v>
      </c>
      <c r="I417" s="307">
        <v>22.0</v>
      </c>
      <c r="J417" s="308">
        <v>0.0</v>
      </c>
      <c r="K417" s="22" t="s">
        <v>2133</v>
      </c>
      <c r="L417" s="22">
        <v>5.075646919E9</v>
      </c>
      <c r="M417" s="22" t="s">
        <v>47</v>
      </c>
      <c r="N417" s="22" t="s">
        <v>525</v>
      </c>
      <c r="O417" s="22" t="s">
        <v>2134</v>
      </c>
      <c r="P417" s="22" t="s">
        <v>666</v>
      </c>
      <c r="Q417" s="309">
        <f>COUNTIF('Hedef Liste'!A:A,A417)</f>
        <v>1</v>
      </c>
    </row>
    <row r="418" hidden="1">
      <c r="A418" s="22" t="s">
        <v>411</v>
      </c>
      <c r="B418" s="22" t="s">
        <v>412</v>
      </c>
      <c r="C418" s="306" t="s">
        <v>3959</v>
      </c>
      <c r="D418" s="22" t="s">
        <v>172</v>
      </c>
      <c r="E418" s="307">
        <v>1344.0</v>
      </c>
      <c r="F418" s="310"/>
      <c r="G418" s="307">
        <v>0.0</v>
      </c>
      <c r="H418" s="307">
        <v>15.0</v>
      </c>
      <c r="I418" s="307">
        <v>15.0</v>
      </c>
      <c r="J418" s="308">
        <v>0.0</v>
      </c>
      <c r="K418" s="22" t="s">
        <v>413</v>
      </c>
      <c r="L418" s="22">
        <v>3.522473033E9</v>
      </c>
      <c r="M418" s="22" t="s">
        <v>47</v>
      </c>
      <c r="N418" s="22" t="s">
        <v>48</v>
      </c>
      <c r="O418" s="22" t="s">
        <v>414</v>
      </c>
      <c r="P418" s="22" t="s">
        <v>666</v>
      </c>
      <c r="Q418" s="309">
        <f>COUNTIF('Hedef Liste'!A:A,A418)</f>
        <v>1</v>
      </c>
    </row>
    <row r="419" hidden="1">
      <c r="A419" s="22" t="s">
        <v>1277</v>
      </c>
      <c r="B419" s="22" t="s">
        <v>1278</v>
      </c>
      <c r="C419" s="306" t="s">
        <v>3959</v>
      </c>
      <c r="D419" s="22" t="s">
        <v>406</v>
      </c>
      <c r="E419" s="307">
        <v>2053.0</v>
      </c>
      <c r="F419" s="307">
        <v>48.0</v>
      </c>
      <c r="G419" s="307">
        <v>0.0</v>
      </c>
      <c r="H419" s="307">
        <v>27.0</v>
      </c>
      <c r="I419" s="307">
        <v>27.0</v>
      </c>
      <c r="J419" s="308">
        <v>0.0</v>
      </c>
      <c r="K419" s="22" t="s">
        <v>1279</v>
      </c>
      <c r="L419" s="22">
        <v>3.525031737E9</v>
      </c>
      <c r="M419" s="22" t="s">
        <v>61</v>
      </c>
      <c r="N419" s="22" t="s">
        <v>62</v>
      </c>
      <c r="O419" s="22" t="s">
        <v>1280</v>
      </c>
      <c r="P419" s="22" t="s">
        <v>666</v>
      </c>
      <c r="Q419" s="309">
        <f>COUNTIF('Hedef Liste'!A:A,A419)</f>
        <v>1</v>
      </c>
    </row>
    <row r="420" hidden="1">
      <c r="A420" s="22" t="s">
        <v>4366</v>
      </c>
      <c r="B420" s="22" t="s">
        <v>4367</v>
      </c>
      <c r="C420" s="306" t="s">
        <v>3959</v>
      </c>
      <c r="D420" s="22" t="s">
        <v>100</v>
      </c>
      <c r="E420" s="307">
        <v>407.0</v>
      </c>
      <c r="F420" s="307">
        <v>6.0</v>
      </c>
      <c r="G420" s="307">
        <v>63.0</v>
      </c>
      <c r="H420" s="307">
        <v>0.0</v>
      </c>
      <c r="I420" s="307">
        <v>63.0</v>
      </c>
      <c r="J420" s="308">
        <v>1.0</v>
      </c>
      <c r="K420" s="22" t="s">
        <v>4368</v>
      </c>
      <c r="L420" s="22">
        <v>3.525012295E9</v>
      </c>
      <c r="M420" s="22" t="s">
        <v>71</v>
      </c>
      <c r="N420" s="22" t="s">
        <v>230</v>
      </c>
      <c r="O420" s="22" t="s">
        <v>4369</v>
      </c>
      <c r="P420" s="22" t="s">
        <v>3962</v>
      </c>
      <c r="Q420" s="309">
        <f>COUNTIF('Hedef Liste'!A:A,A420)</f>
        <v>0</v>
      </c>
    </row>
    <row r="421" hidden="1">
      <c r="A421" s="22" t="s">
        <v>238</v>
      </c>
      <c r="B421" s="22" t="s">
        <v>239</v>
      </c>
      <c r="C421" s="306" t="s">
        <v>3959</v>
      </c>
      <c r="D421" s="22" t="s">
        <v>100</v>
      </c>
      <c r="E421" s="307">
        <v>89.0</v>
      </c>
      <c r="F421" s="307">
        <v>1.0</v>
      </c>
      <c r="G421" s="307">
        <v>0.0</v>
      </c>
      <c r="H421" s="307">
        <v>7.0</v>
      </c>
      <c r="I421" s="307">
        <v>7.0</v>
      </c>
      <c r="J421" s="308">
        <v>0.0</v>
      </c>
      <c r="K421" s="22" t="s">
        <v>240</v>
      </c>
      <c r="L421" s="22">
        <v>5.382683726E9</v>
      </c>
      <c r="M421" s="22" t="s">
        <v>47</v>
      </c>
      <c r="N421" s="22" t="s">
        <v>107</v>
      </c>
      <c r="O421" s="22" t="s">
        <v>241</v>
      </c>
      <c r="P421" s="22" t="s">
        <v>666</v>
      </c>
      <c r="Q421" s="309">
        <f>COUNTIF('Hedef Liste'!A:A,A421)</f>
        <v>1</v>
      </c>
    </row>
    <row r="422" hidden="1">
      <c r="A422" s="22" t="s">
        <v>2405</v>
      </c>
      <c r="B422" s="22" t="s">
        <v>2406</v>
      </c>
      <c r="C422" s="306" t="s">
        <v>3963</v>
      </c>
      <c r="D422" s="22" t="s">
        <v>100</v>
      </c>
      <c r="E422" s="307">
        <v>38.0</v>
      </c>
      <c r="F422" s="310"/>
      <c r="G422" s="307">
        <v>0.0</v>
      </c>
      <c r="H422" s="307">
        <v>10.0</v>
      </c>
      <c r="I422" s="307">
        <v>10.0</v>
      </c>
      <c r="J422" s="308">
        <v>0.0</v>
      </c>
      <c r="K422" s="22" t="s">
        <v>2407</v>
      </c>
      <c r="L422" s="22">
        <v>3.525026E9</v>
      </c>
      <c r="M422" s="22" t="s">
        <v>47</v>
      </c>
      <c r="N422" s="22" t="s">
        <v>138</v>
      </c>
      <c r="O422" s="22" t="s">
        <v>2408</v>
      </c>
      <c r="P422" s="22" t="s">
        <v>666</v>
      </c>
      <c r="Q422" s="309">
        <f>COUNTIF('Hedef Liste'!A:A,A422)</f>
        <v>1</v>
      </c>
    </row>
    <row r="423" hidden="1">
      <c r="A423" s="22" t="s">
        <v>4370</v>
      </c>
      <c r="B423" s="22" t="s">
        <v>4371</v>
      </c>
      <c r="C423" s="306" t="s">
        <v>3959</v>
      </c>
      <c r="D423" s="22" t="s">
        <v>172</v>
      </c>
      <c r="E423" s="307">
        <v>4828.0</v>
      </c>
      <c r="F423" s="307">
        <v>247.0</v>
      </c>
      <c r="G423" s="307">
        <v>0.0</v>
      </c>
      <c r="H423" s="307">
        <v>6.0</v>
      </c>
      <c r="I423" s="307">
        <v>6.0</v>
      </c>
      <c r="J423" s="308">
        <v>0.0</v>
      </c>
      <c r="K423" s="22" t="s">
        <v>4372</v>
      </c>
      <c r="L423" s="22">
        <v>3.525024141E9</v>
      </c>
      <c r="M423" s="22" t="s">
        <v>61</v>
      </c>
      <c r="N423" s="22" t="s">
        <v>107</v>
      </c>
      <c r="O423" s="22" t="s">
        <v>4373</v>
      </c>
      <c r="P423" s="22" t="s">
        <v>3962</v>
      </c>
      <c r="Q423" s="309">
        <f>COUNTIF('Hedef Liste'!A:A,A423)</f>
        <v>0</v>
      </c>
    </row>
    <row r="424" hidden="1">
      <c r="A424" s="22" t="s">
        <v>848</v>
      </c>
      <c r="B424" s="22" t="s">
        <v>849</v>
      </c>
      <c r="C424" s="306" t="s">
        <v>3963</v>
      </c>
      <c r="D424" s="22" t="s">
        <v>91</v>
      </c>
      <c r="E424" s="307">
        <v>68.0</v>
      </c>
      <c r="F424" s="310"/>
      <c r="G424" s="307">
        <v>0.0</v>
      </c>
      <c r="H424" s="307">
        <v>13.0</v>
      </c>
      <c r="I424" s="307">
        <v>13.0</v>
      </c>
      <c r="J424" s="308">
        <v>0.0</v>
      </c>
      <c r="K424" s="22" t="s">
        <v>850</v>
      </c>
      <c r="L424" s="22">
        <v>5.530180244E9</v>
      </c>
      <c r="M424" s="22" t="s">
        <v>47</v>
      </c>
      <c r="N424" s="22" t="s">
        <v>107</v>
      </c>
      <c r="O424" s="22" t="s">
        <v>851</v>
      </c>
      <c r="P424" s="22" t="s">
        <v>666</v>
      </c>
      <c r="Q424" s="309">
        <f>COUNTIF('Hedef Liste'!A:A,A424)</f>
        <v>1</v>
      </c>
    </row>
    <row r="425" hidden="1">
      <c r="A425" s="22" t="s">
        <v>4374</v>
      </c>
      <c r="B425" s="22" t="s">
        <v>4375</v>
      </c>
      <c r="C425" s="306" t="s">
        <v>3959</v>
      </c>
      <c r="D425" s="22" t="s">
        <v>100</v>
      </c>
      <c r="E425" s="307">
        <v>240.0</v>
      </c>
      <c r="F425" s="307">
        <v>29.0</v>
      </c>
      <c r="G425" s="307">
        <v>76.0</v>
      </c>
      <c r="H425" s="307">
        <v>9.0</v>
      </c>
      <c r="I425" s="307">
        <v>85.0</v>
      </c>
      <c r="J425" s="308">
        <v>0.89</v>
      </c>
      <c r="K425" s="22" t="s">
        <v>3967</v>
      </c>
      <c r="L425" s="22">
        <v>5.066802034E9</v>
      </c>
      <c r="M425" s="22" t="s">
        <v>71</v>
      </c>
      <c r="N425" s="22" t="s">
        <v>1604</v>
      </c>
      <c r="O425" s="22" t="s">
        <v>4376</v>
      </c>
      <c r="P425" s="22" t="s">
        <v>3962</v>
      </c>
      <c r="Q425" s="309">
        <f>COUNTIF('Hedef Liste'!A:A,A425)</f>
        <v>0</v>
      </c>
    </row>
    <row r="426" hidden="1">
      <c r="A426" s="22" t="s">
        <v>376</v>
      </c>
      <c r="B426" s="22" t="s">
        <v>377</v>
      </c>
      <c r="C426" s="306" t="s">
        <v>3959</v>
      </c>
      <c r="D426" s="22" t="s">
        <v>91</v>
      </c>
      <c r="E426" s="307">
        <v>51.0</v>
      </c>
      <c r="F426" s="307">
        <v>3.0</v>
      </c>
      <c r="G426" s="307">
        <v>0.0</v>
      </c>
      <c r="H426" s="307">
        <v>29.0</v>
      </c>
      <c r="I426" s="307">
        <v>29.0</v>
      </c>
      <c r="J426" s="308">
        <v>0.0</v>
      </c>
      <c r="K426" s="22" t="s">
        <v>378</v>
      </c>
      <c r="L426" s="22">
        <v>3.525040144E9</v>
      </c>
      <c r="M426" s="22" t="s">
        <v>61</v>
      </c>
      <c r="N426" s="22" t="s">
        <v>62</v>
      </c>
      <c r="O426" s="22" t="s">
        <v>379</v>
      </c>
      <c r="P426" s="22" t="s">
        <v>666</v>
      </c>
      <c r="Q426" s="309">
        <f>COUNTIF('Hedef Liste'!A:A,A426)</f>
        <v>1</v>
      </c>
    </row>
    <row r="427" hidden="1">
      <c r="A427" s="22" t="s">
        <v>1291</v>
      </c>
      <c r="B427" s="22" t="s">
        <v>1292</v>
      </c>
      <c r="C427" s="306" t="s">
        <v>3959</v>
      </c>
      <c r="D427" s="22" t="s">
        <v>45</v>
      </c>
      <c r="E427" s="307">
        <v>155.0</v>
      </c>
      <c r="F427" s="310"/>
      <c r="G427" s="307">
        <v>8.0</v>
      </c>
      <c r="H427" s="307">
        <v>17.0</v>
      </c>
      <c r="I427" s="307">
        <v>25.0</v>
      </c>
      <c r="J427" s="308">
        <v>0.32</v>
      </c>
      <c r="K427" s="22" t="s">
        <v>1293</v>
      </c>
      <c r="L427" s="22">
        <v>3.524380747E9</v>
      </c>
      <c r="M427" s="22" t="s">
        <v>61</v>
      </c>
      <c r="N427" s="22" t="s">
        <v>62</v>
      </c>
      <c r="O427" s="22" t="s">
        <v>1294</v>
      </c>
      <c r="P427" s="22" t="s">
        <v>666</v>
      </c>
      <c r="Q427" s="309">
        <f>COUNTIF('Hedef Liste'!A:A,A427)</f>
        <v>1</v>
      </c>
    </row>
    <row r="428" hidden="1">
      <c r="A428" s="22" t="s">
        <v>2607</v>
      </c>
      <c r="B428" s="22" t="s">
        <v>2608</v>
      </c>
      <c r="C428" s="306" t="s">
        <v>3963</v>
      </c>
      <c r="D428" s="22" t="s">
        <v>59</v>
      </c>
      <c r="F428" s="310"/>
      <c r="G428" s="307">
        <v>0.0</v>
      </c>
      <c r="H428" s="307">
        <v>8.0</v>
      </c>
      <c r="I428" s="307">
        <v>8.0</v>
      </c>
      <c r="J428" s="308">
        <v>0.0</v>
      </c>
      <c r="K428" s="22" t="s">
        <v>2609</v>
      </c>
      <c r="L428" s="22">
        <v>5.464053885E9</v>
      </c>
      <c r="M428" s="22" t="s">
        <v>71</v>
      </c>
      <c r="N428" s="22" t="s">
        <v>224</v>
      </c>
      <c r="O428" s="22" t="s">
        <v>2610</v>
      </c>
      <c r="P428" s="22" t="s">
        <v>666</v>
      </c>
      <c r="Q428" s="309">
        <f>COUNTIF('Hedef Liste'!A:A,A428)</f>
        <v>1</v>
      </c>
    </row>
    <row r="429" hidden="1">
      <c r="A429" s="22" t="s">
        <v>2001</v>
      </c>
      <c r="B429" s="22" t="s">
        <v>4377</v>
      </c>
      <c r="C429" s="306" t="s">
        <v>3959</v>
      </c>
      <c r="D429" s="22" t="s">
        <v>69</v>
      </c>
      <c r="F429" s="310"/>
      <c r="G429" s="307">
        <v>0.0</v>
      </c>
      <c r="H429" s="307">
        <v>37.0</v>
      </c>
      <c r="I429" s="307">
        <v>37.0</v>
      </c>
      <c r="J429" s="308">
        <v>0.0</v>
      </c>
      <c r="K429" s="22" t="s">
        <v>2003</v>
      </c>
      <c r="L429" s="22">
        <v>5.372469507E9</v>
      </c>
      <c r="M429" s="22" t="s">
        <v>47</v>
      </c>
      <c r="N429" s="22" t="s">
        <v>408</v>
      </c>
      <c r="O429" s="22" t="s">
        <v>2004</v>
      </c>
      <c r="P429" s="22" t="s">
        <v>666</v>
      </c>
      <c r="Q429" s="309">
        <f>COUNTIF('Hedef Liste'!A:A,A429)</f>
        <v>1</v>
      </c>
    </row>
    <row r="430" hidden="1">
      <c r="A430" s="22" t="s">
        <v>2438</v>
      </c>
      <c r="B430" s="22" t="s">
        <v>4378</v>
      </c>
      <c r="C430" s="306" t="s">
        <v>3959</v>
      </c>
      <c r="D430" s="22" t="s">
        <v>100</v>
      </c>
      <c r="E430" s="307">
        <v>49.0</v>
      </c>
      <c r="F430" s="307">
        <v>5.0</v>
      </c>
      <c r="G430" s="307">
        <v>0.0</v>
      </c>
      <c r="H430" s="307">
        <v>6.0</v>
      </c>
      <c r="I430" s="307">
        <v>6.0</v>
      </c>
      <c r="J430" s="308">
        <v>0.0</v>
      </c>
      <c r="K430" s="22" t="s">
        <v>2440</v>
      </c>
      <c r="L430" s="22">
        <v>3.524371133E9</v>
      </c>
      <c r="M430" s="22" t="s">
        <v>61</v>
      </c>
      <c r="N430" s="22" t="s">
        <v>107</v>
      </c>
      <c r="O430" s="22" t="s">
        <v>2441</v>
      </c>
      <c r="P430" s="22" t="s">
        <v>666</v>
      </c>
      <c r="Q430" s="309">
        <f>COUNTIF('Hedef Liste'!A:A,A430)</f>
        <v>1</v>
      </c>
    </row>
    <row r="431" hidden="1">
      <c r="A431" s="22" t="s">
        <v>4379</v>
      </c>
      <c r="B431" s="22" t="s">
        <v>4380</v>
      </c>
      <c r="C431" s="306" t="s">
        <v>3959</v>
      </c>
      <c r="D431" s="22" t="s">
        <v>45</v>
      </c>
      <c r="E431" s="307">
        <v>15857.0</v>
      </c>
      <c r="F431" s="307">
        <v>252.0</v>
      </c>
      <c r="G431" s="307">
        <v>80.0</v>
      </c>
      <c r="H431" s="307">
        <v>0.0</v>
      </c>
      <c r="I431" s="307">
        <v>80.0</v>
      </c>
      <c r="J431" s="308">
        <v>1.0</v>
      </c>
      <c r="K431" s="22" t="s">
        <v>4360</v>
      </c>
      <c r="L431" s="22">
        <v>2.123363575E9</v>
      </c>
      <c r="M431" s="22" t="s">
        <v>71</v>
      </c>
      <c r="N431" s="22" t="s">
        <v>588</v>
      </c>
      <c r="O431" s="22" t="s">
        <v>4381</v>
      </c>
      <c r="P431" s="22" t="s">
        <v>3962</v>
      </c>
      <c r="Q431" s="309">
        <f>COUNTIF('Hedef Liste'!A:A,A431)</f>
        <v>0</v>
      </c>
    </row>
    <row r="432" hidden="1">
      <c r="A432" s="22" t="s">
        <v>152</v>
      </c>
      <c r="B432" s="22" t="s">
        <v>153</v>
      </c>
      <c r="C432" s="306" t="s">
        <v>3959</v>
      </c>
      <c r="D432" s="22" t="s">
        <v>100</v>
      </c>
      <c r="E432" s="307">
        <v>11.0</v>
      </c>
      <c r="F432" s="307">
        <v>1.0</v>
      </c>
      <c r="G432" s="307">
        <v>11.0</v>
      </c>
      <c r="H432" s="307">
        <v>21.0</v>
      </c>
      <c r="I432" s="307">
        <v>32.0</v>
      </c>
      <c r="J432" s="308">
        <v>0.34</v>
      </c>
      <c r="K432" s="22" t="s">
        <v>154</v>
      </c>
      <c r="L432" s="22">
        <v>5.312730594E9</v>
      </c>
      <c r="M432" s="22" t="s">
        <v>47</v>
      </c>
      <c r="N432" s="22" t="s">
        <v>155</v>
      </c>
      <c r="O432" s="22" t="s">
        <v>156</v>
      </c>
      <c r="P432" s="22" t="s">
        <v>666</v>
      </c>
      <c r="Q432" s="309">
        <f>COUNTIF('Hedef Liste'!A:A,A432)</f>
        <v>1</v>
      </c>
    </row>
    <row r="433" hidden="1">
      <c r="A433" s="22" t="s">
        <v>1370</v>
      </c>
      <c r="B433" s="22" t="s">
        <v>1371</v>
      </c>
      <c r="C433" s="306" t="s">
        <v>3959</v>
      </c>
      <c r="D433" s="22" t="s">
        <v>165</v>
      </c>
      <c r="E433" s="307">
        <v>333.0</v>
      </c>
      <c r="F433" s="307">
        <v>50.0</v>
      </c>
      <c r="G433" s="307">
        <v>8.0</v>
      </c>
      <c r="H433" s="307">
        <v>5.0</v>
      </c>
      <c r="I433" s="307">
        <v>13.0</v>
      </c>
      <c r="J433" s="308">
        <v>0.62</v>
      </c>
      <c r="K433" s="22" t="s">
        <v>1372</v>
      </c>
      <c r="L433" s="22">
        <v>5.368232993E9</v>
      </c>
      <c r="M433" s="22" t="s">
        <v>47</v>
      </c>
      <c r="N433" s="22" t="s">
        <v>525</v>
      </c>
      <c r="O433" s="22" t="s">
        <v>1373</v>
      </c>
      <c r="P433" s="22" t="s">
        <v>666</v>
      </c>
      <c r="Q433" s="309">
        <f>COUNTIF('Hedef Liste'!A:A,A433)</f>
        <v>1</v>
      </c>
    </row>
    <row r="434" hidden="1">
      <c r="A434" s="22" t="s">
        <v>2105</v>
      </c>
      <c r="B434" s="22" t="s">
        <v>2106</v>
      </c>
      <c r="C434" s="306" t="s">
        <v>3959</v>
      </c>
      <c r="D434" s="22" t="s">
        <v>172</v>
      </c>
      <c r="E434" s="307">
        <v>525.0</v>
      </c>
      <c r="F434" s="307">
        <v>51.0</v>
      </c>
      <c r="G434" s="307">
        <v>11.0</v>
      </c>
      <c r="H434" s="307">
        <v>23.0</v>
      </c>
      <c r="I434" s="307">
        <v>34.0</v>
      </c>
      <c r="J434" s="308">
        <v>0.32</v>
      </c>
      <c r="K434" s="22" t="s">
        <v>2107</v>
      </c>
      <c r="L434" s="22">
        <v>3.524373838E9</v>
      </c>
      <c r="M434" s="22" t="s">
        <v>61</v>
      </c>
      <c r="N434" s="22" t="s">
        <v>107</v>
      </c>
      <c r="O434" s="22" t="s">
        <v>2108</v>
      </c>
      <c r="P434" s="22" t="s">
        <v>666</v>
      </c>
      <c r="Q434" s="309">
        <f>COUNTIF('Hedef Liste'!A:A,A434)</f>
        <v>1</v>
      </c>
    </row>
    <row r="435" hidden="1">
      <c r="A435" s="22" t="s">
        <v>881</v>
      </c>
      <c r="B435" s="22" t="s">
        <v>882</v>
      </c>
      <c r="C435" s="306" t="s">
        <v>3959</v>
      </c>
      <c r="D435" s="22" t="s">
        <v>100</v>
      </c>
      <c r="E435" s="307">
        <v>528.0</v>
      </c>
      <c r="F435" s="307">
        <v>2.0</v>
      </c>
      <c r="G435" s="307">
        <v>6.0</v>
      </c>
      <c r="H435" s="307">
        <v>14.0</v>
      </c>
      <c r="I435" s="307">
        <v>20.0</v>
      </c>
      <c r="J435" s="308">
        <v>0.3</v>
      </c>
      <c r="K435" s="22" t="s">
        <v>883</v>
      </c>
      <c r="L435" s="22">
        <v>5.063956745E9</v>
      </c>
      <c r="M435" s="22" t="s">
        <v>47</v>
      </c>
      <c r="N435" s="22" t="s">
        <v>2719</v>
      </c>
      <c r="O435" s="22" t="s">
        <v>885</v>
      </c>
      <c r="P435" s="22" t="s">
        <v>666</v>
      </c>
      <c r="Q435" s="309">
        <f>COUNTIF('Hedef Liste'!A:A,A435)</f>
        <v>1</v>
      </c>
    </row>
    <row r="436" hidden="1">
      <c r="A436" s="22" t="s">
        <v>4382</v>
      </c>
      <c r="B436" s="22" t="s">
        <v>4383</v>
      </c>
      <c r="C436" s="306" t="s">
        <v>3959</v>
      </c>
      <c r="D436" s="22" t="s">
        <v>100</v>
      </c>
      <c r="E436" s="307">
        <v>895.0</v>
      </c>
      <c r="F436" s="307">
        <v>15.0</v>
      </c>
      <c r="G436" s="307">
        <v>40.0</v>
      </c>
      <c r="H436" s="307">
        <v>1.0</v>
      </c>
      <c r="I436" s="307">
        <v>41.0</v>
      </c>
      <c r="J436" s="308">
        <v>0.98</v>
      </c>
      <c r="K436" s="22" t="s">
        <v>3967</v>
      </c>
      <c r="L436" s="22">
        <v>5.050200204E9</v>
      </c>
      <c r="M436" s="22" t="s">
        <v>61</v>
      </c>
      <c r="N436" s="22" t="s">
        <v>4135</v>
      </c>
      <c r="O436" s="22" t="s">
        <v>4384</v>
      </c>
      <c r="P436" s="22" t="s">
        <v>3962</v>
      </c>
      <c r="Q436" s="309">
        <f>COUNTIF('Hedef Liste'!A:A,A436)</f>
        <v>0</v>
      </c>
    </row>
    <row r="437" hidden="1">
      <c r="A437" s="22" t="s">
        <v>2592</v>
      </c>
      <c r="B437" s="22" t="s">
        <v>2593</v>
      </c>
      <c r="C437" s="306" t="s">
        <v>3959</v>
      </c>
      <c r="D437" s="22" t="s">
        <v>172</v>
      </c>
      <c r="E437" s="307">
        <v>107.0</v>
      </c>
      <c r="F437" s="310"/>
      <c r="G437" s="307">
        <v>0.0</v>
      </c>
      <c r="H437" s="307">
        <v>6.0</v>
      </c>
      <c r="I437" s="307">
        <v>6.0</v>
      </c>
      <c r="J437" s="308">
        <v>0.0</v>
      </c>
      <c r="K437" s="22" t="s">
        <v>2594</v>
      </c>
      <c r="L437" s="22">
        <v>5.550121202E9</v>
      </c>
      <c r="M437" s="22" t="s">
        <v>47</v>
      </c>
      <c r="N437" s="22" t="s">
        <v>1091</v>
      </c>
      <c r="O437" s="22" t="s">
        <v>2595</v>
      </c>
      <c r="P437" s="22" t="s">
        <v>666</v>
      </c>
      <c r="Q437" s="309">
        <f>COUNTIF('Hedef Liste'!A:A,A437)</f>
        <v>1</v>
      </c>
    </row>
    <row r="438" hidden="1">
      <c r="A438" s="22" t="s">
        <v>2146</v>
      </c>
      <c r="B438" s="22" t="s">
        <v>4385</v>
      </c>
      <c r="C438" s="306" t="s">
        <v>3959</v>
      </c>
      <c r="D438" s="22" t="s">
        <v>91</v>
      </c>
      <c r="E438" s="307">
        <v>130.0</v>
      </c>
      <c r="F438" s="310"/>
      <c r="G438" s="307">
        <v>1.0</v>
      </c>
      <c r="H438" s="307">
        <v>42.0</v>
      </c>
      <c r="I438" s="307">
        <v>43.0</v>
      </c>
      <c r="J438" s="308">
        <v>0.02</v>
      </c>
      <c r="K438" s="22" t="s">
        <v>223</v>
      </c>
      <c r="L438" s="22">
        <v>5.534434688E9</v>
      </c>
      <c r="M438" s="22" t="s">
        <v>71</v>
      </c>
      <c r="N438" s="22" t="s">
        <v>224</v>
      </c>
      <c r="O438" s="22" t="s">
        <v>2148</v>
      </c>
      <c r="P438" s="22" t="s">
        <v>666</v>
      </c>
      <c r="Q438" s="309">
        <f>COUNTIF('Hedef Liste'!A:A,A438)</f>
        <v>1</v>
      </c>
    </row>
    <row r="439" hidden="1">
      <c r="A439" s="22" t="s">
        <v>1962</v>
      </c>
      <c r="B439" s="22" t="s">
        <v>1963</v>
      </c>
      <c r="C439" s="306" t="s">
        <v>3959</v>
      </c>
      <c r="D439" s="22" t="s">
        <v>165</v>
      </c>
      <c r="E439" s="307">
        <v>27.0</v>
      </c>
      <c r="F439" s="310"/>
      <c r="G439" s="307">
        <v>9.0</v>
      </c>
      <c r="H439" s="307">
        <v>3.0</v>
      </c>
      <c r="I439" s="307">
        <v>12.0</v>
      </c>
      <c r="J439" s="308">
        <v>0.75</v>
      </c>
      <c r="K439" s="22" t="s">
        <v>1964</v>
      </c>
      <c r="L439" s="22">
        <v>3.522200034E9</v>
      </c>
      <c r="M439" s="22" t="s">
        <v>47</v>
      </c>
      <c r="N439" s="22" t="s">
        <v>339</v>
      </c>
      <c r="O439" s="22" t="s">
        <v>1965</v>
      </c>
      <c r="P439" s="22" t="s">
        <v>666</v>
      </c>
      <c r="Q439" s="309">
        <f>COUNTIF('Hedef Liste'!A:A,A439)</f>
        <v>1</v>
      </c>
    </row>
    <row r="440" hidden="1">
      <c r="A440" s="22" t="s">
        <v>1773</v>
      </c>
      <c r="B440" s="22" t="s">
        <v>1774</v>
      </c>
      <c r="C440" s="306" t="s">
        <v>3963</v>
      </c>
      <c r="D440" s="22" t="s">
        <v>59</v>
      </c>
      <c r="E440" s="307">
        <v>9.0</v>
      </c>
      <c r="F440" s="310"/>
      <c r="G440" s="307">
        <v>0.0</v>
      </c>
      <c r="H440" s="307">
        <v>6.0</v>
      </c>
      <c r="I440" s="307">
        <v>6.0</v>
      </c>
      <c r="J440" s="308">
        <v>0.0</v>
      </c>
      <c r="K440" s="22" t="s">
        <v>1775</v>
      </c>
      <c r="L440" s="22">
        <v>5.31457156E9</v>
      </c>
      <c r="M440" s="22" t="s">
        <v>61</v>
      </c>
      <c r="N440" s="22" t="s">
        <v>62</v>
      </c>
      <c r="O440" s="22" t="s">
        <v>1776</v>
      </c>
      <c r="P440" s="22" t="s">
        <v>666</v>
      </c>
      <c r="Q440" s="309">
        <f>COUNTIF('Hedef Liste'!A:A,A440)</f>
        <v>1</v>
      </c>
    </row>
    <row r="441" hidden="1">
      <c r="A441" s="22" t="s">
        <v>2227</v>
      </c>
      <c r="B441" s="22" t="s">
        <v>2228</v>
      </c>
      <c r="C441" s="306" t="s">
        <v>3959</v>
      </c>
      <c r="D441" s="22" t="s">
        <v>91</v>
      </c>
      <c r="E441" s="307">
        <v>191.0</v>
      </c>
      <c r="F441" s="310"/>
      <c r="G441" s="307">
        <v>0.0</v>
      </c>
      <c r="H441" s="307">
        <v>12.0</v>
      </c>
      <c r="I441" s="307">
        <v>12.0</v>
      </c>
      <c r="J441" s="308">
        <v>0.0</v>
      </c>
      <c r="K441" s="22" t="s">
        <v>2229</v>
      </c>
      <c r="L441" s="22">
        <v>5.530619319E9</v>
      </c>
      <c r="M441" s="22" t="s">
        <v>61</v>
      </c>
      <c r="N441" s="22" t="s">
        <v>107</v>
      </c>
      <c r="O441" s="22" t="s">
        <v>2230</v>
      </c>
      <c r="P441" s="22" t="s">
        <v>666</v>
      </c>
      <c r="Q441" s="309">
        <f>COUNTIF('Hedef Liste'!A:A,A441)</f>
        <v>1</v>
      </c>
    </row>
    <row r="442" hidden="1">
      <c r="A442" s="22" t="s">
        <v>2486</v>
      </c>
      <c r="B442" s="22" t="s">
        <v>2487</v>
      </c>
      <c r="C442" s="306" t="s">
        <v>3959</v>
      </c>
      <c r="D442" s="22" t="s">
        <v>45</v>
      </c>
      <c r="E442" s="310"/>
      <c r="F442" s="310"/>
      <c r="G442" s="307">
        <v>0.0</v>
      </c>
      <c r="H442" s="307">
        <v>68.0</v>
      </c>
      <c r="I442" s="307">
        <v>68.0</v>
      </c>
      <c r="J442" s="308">
        <v>0.0</v>
      </c>
      <c r="K442" s="22" t="s">
        <v>2488</v>
      </c>
      <c r="L442" s="22">
        <v>3.525033606E9</v>
      </c>
      <c r="M442" s="22" t="s">
        <v>47</v>
      </c>
      <c r="N442" s="22" t="s">
        <v>47</v>
      </c>
      <c r="O442" s="22" t="s">
        <v>2489</v>
      </c>
      <c r="P442" s="22" t="s">
        <v>666</v>
      </c>
      <c r="Q442" s="309">
        <f>COUNTIF('Hedef Liste'!A:A,A442)</f>
        <v>1</v>
      </c>
    </row>
    <row r="443" hidden="1">
      <c r="A443" s="22" t="s">
        <v>4386</v>
      </c>
      <c r="B443" s="22" t="s">
        <v>4387</v>
      </c>
      <c r="C443" s="306" t="s">
        <v>3959</v>
      </c>
      <c r="D443" s="22" t="s">
        <v>100</v>
      </c>
      <c r="E443" s="307">
        <v>931.0</v>
      </c>
      <c r="F443" s="307">
        <v>91.0</v>
      </c>
      <c r="G443" s="307">
        <v>47.0</v>
      </c>
      <c r="H443" s="307">
        <v>11.0</v>
      </c>
      <c r="I443" s="307">
        <v>58.0</v>
      </c>
      <c r="J443" s="308">
        <v>0.81</v>
      </c>
      <c r="K443" s="22" t="s">
        <v>4388</v>
      </c>
      <c r="L443" s="22">
        <v>5.516781033E9</v>
      </c>
      <c r="M443" s="22" t="s">
        <v>61</v>
      </c>
      <c r="N443" s="22" t="s">
        <v>62</v>
      </c>
      <c r="O443" s="22" t="s">
        <v>4389</v>
      </c>
      <c r="P443" s="22" t="s">
        <v>3962</v>
      </c>
      <c r="Q443" s="309">
        <f>COUNTIF('Hedef Liste'!A:A,A443)</f>
        <v>0</v>
      </c>
    </row>
    <row r="444" hidden="1">
      <c r="A444" s="22" t="s">
        <v>2151</v>
      </c>
      <c r="B444" s="22" t="s">
        <v>2152</v>
      </c>
      <c r="C444" s="306" t="s">
        <v>3959</v>
      </c>
      <c r="D444" s="22" t="s">
        <v>368</v>
      </c>
      <c r="E444" s="310"/>
      <c r="F444" s="310"/>
      <c r="G444" s="307">
        <v>16.0</v>
      </c>
      <c r="H444" s="307">
        <v>4.0</v>
      </c>
      <c r="I444" s="307">
        <v>20.0</v>
      </c>
      <c r="J444" s="308">
        <v>0.8</v>
      </c>
      <c r="K444" s="22" t="s">
        <v>2153</v>
      </c>
      <c r="L444" s="22">
        <v>5.539025891E9</v>
      </c>
      <c r="M444" s="22" t="s">
        <v>61</v>
      </c>
      <c r="N444" s="22" t="s">
        <v>62</v>
      </c>
      <c r="O444" s="22" t="s">
        <v>2154</v>
      </c>
      <c r="P444" s="22" t="s">
        <v>666</v>
      </c>
      <c r="Q444" s="309">
        <f>COUNTIF('Hedef Liste'!A:A,A444)</f>
        <v>1</v>
      </c>
    </row>
    <row r="445" hidden="1">
      <c r="A445" s="22" t="s">
        <v>1648</v>
      </c>
      <c r="B445" s="22" t="s">
        <v>1649</v>
      </c>
      <c r="C445" s="306" t="s">
        <v>3959</v>
      </c>
      <c r="D445" s="22" t="s">
        <v>59</v>
      </c>
      <c r="E445" s="307">
        <v>152.0</v>
      </c>
      <c r="F445" s="310"/>
      <c r="G445" s="307">
        <v>0.0</v>
      </c>
      <c r="H445" s="307">
        <v>6.0</v>
      </c>
      <c r="I445" s="307">
        <v>6.0</v>
      </c>
      <c r="J445" s="308">
        <v>0.0</v>
      </c>
      <c r="K445" s="22" t="s">
        <v>1650</v>
      </c>
      <c r="L445" s="22">
        <v>5.362666563E9</v>
      </c>
      <c r="M445" s="22" t="s">
        <v>71</v>
      </c>
      <c r="N445" s="22" t="s">
        <v>204</v>
      </c>
      <c r="O445" s="22" t="s">
        <v>1651</v>
      </c>
      <c r="P445" s="22" t="s">
        <v>666</v>
      </c>
      <c r="Q445" s="309">
        <f>COUNTIF('Hedef Liste'!A:A,A445)</f>
        <v>1</v>
      </c>
    </row>
    <row r="446" hidden="1">
      <c r="A446" s="22" t="s">
        <v>2412</v>
      </c>
      <c r="B446" s="22" t="s">
        <v>2413</v>
      </c>
      <c r="C446" s="306" t="s">
        <v>3959</v>
      </c>
      <c r="D446" s="22" t="s">
        <v>100</v>
      </c>
      <c r="E446" s="307">
        <v>40.0</v>
      </c>
      <c r="F446" s="307">
        <v>1.0</v>
      </c>
      <c r="G446" s="307">
        <v>5.0</v>
      </c>
      <c r="H446" s="307">
        <v>5.0</v>
      </c>
      <c r="I446" s="307">
        <v>10.0</v>
      </c>
      <c r="J446" s="308">
        <v>0.5</v>
      </c>
      <c r="K446" s="22" t="s">
        <v>2341</v>
      </c>
      <c r="L446" s="22">
        <v>3.524377125E9</v>
      </c>
      <c r="M446" s="22" t="s">
        <v>47</v>
      </c>
      <c r="N446" s="22" t="s">
        <v>4135</v>
      </c>
      <c r="O446" s="22" t="s">
        <v>2342</v>
      </c>
      <c r="P446" s="22" t="s">
        <v>666</v>
      </c>
      <c r="Q446" s="309">
        <f>COUNTIF('Hedef Liste'!A:A,A446)</f>
        <v>1</v>
      </c>
    </row>
    <row r="447" hidden="1">
      <c r="A447" s="22" t="s">
        <v>571</v>
      </c>
      <c r="B447" s="22" t="s">
        <v>572</v>
      </c>
      <c r="C447" s="306" t="s">
        <v>3959</v>
      </c>
      <c r="D447" s="22" t="s">
        <v>453</v>
      </c>
      <c r="E447" s="307">
        <v>2332.0</v>
      </c>
      <c r="F447" s="307">
        <v>11.0</v>
      </c>
      <c r="G447" s="307">
        <v>5.0</v>
      </c>
      <c r="H447" s="307">
        <v>11.0</v>
      </c>
      <c r="I447" s="307">
        <v>16.0</v>
      </c>
      <c r="J447" s="308">
        <v>0.31</v>
      </c>
      <c r="K447" s="22" t="s">
        <v>573</v>
      </c>
      <c r="L447" s="22">
        <v>5.550762538E9</v>
      </c>
      <c r="M447" s="22" t="s">
        <v>61</v>
      </c>
      <c r="N447" s="22" t="s">
        <v>62</v>
      </c>
      <c r="O447" s="22" t="s">
        <v>574</v>
      </c>
      <c r="P447" s="22" t="s">
        <v>666</v>
      </c>
      <c r="Q447" s="309">
        <f>COUNTIF('Hedef Liste'!A:A,A447)</f>
        <v>1</v>
      </c>
    </row>
    <row r="448" hidden="1">
      <c r="A448" s="22" t="s">
        <v>2403</v>
      </c>
      <c r="B448" s="22" t="s">
        <v>2404</v>
      </c>
      <c r="C448" s="306" t="s">
        <v>3959</v>
      </c>
      <c r="D448" s="22" t="s">
        <v>100</v>
      </c>
      <c r="E448" s="307">
        <v>174.0</v>
      </c>
      <c r="F448" s="307">
        <v>10.0</v>
      </c>
      <c r="G448" s="307">
        <v>0.0</v>
      </c>
      <c r="H448" s="307">
        <v>5.0</v>
      </c>
      <c r="I448" s="307">
        <v>5.0</v>
      </c>
      <c r="J448" s="308">
        <v>0.0</v>
      </c>
      <c r="K448" s="22" t="s">
        <v>70</v>
      </c>
      <c r="L448" s="22">
        <v>3.523395958E9</v>
      </c>
      <c r="M448" s="22" t="s">
        <v>71</v>
      </c>
      <c r="N448" s="22" t="s">
        <v>1252</v>
      </c>
      <c r="O448" s="22" t="s">
        <v>73</v>
      </c>
      <c r="P448" s="22" t="s">
        <v>666</v>
      </c>
      <c r="Q448" s="309">
        <f>COUNTIF('Hedef Liste'!A:A,A448)</f>
        <v>1</v>
      </c>
    </row>
    <row r="449" hidden="1">
      <c r="A449" s="22" t="s">
        <v>2302</v>
      </c>
      <c r="B449" s="22" t="s">
        <v>4390</v>
      </c>
      <c r="C449" s="306" t="s">
        <v>3959</v>
      </c>
      <c r="D449" s="22" t="s">
        <v>69</v>
      </c>
      <c r="E449" s="307">
        <v>5.0</v>
      </c>
      <c r="F449" s="310"/>
      <c r="G449" s="307">
        <v>0.0</v>
      </c>
      <c r="H449" s="307">
        <v>12.0</v>
      </c>
      <c r="I449" s="307">
        <v>12.0</v>
      </c>
      <c r="J449" s="308">
        <v>0.0</v>
      </c>
      <c r="K449" s="22" t="s">
        <v>2304</v>
      </c>
      <c r="L449" s="22">
        <v>5.558929456E9</v>
      </c>
      <c r="M449" s="22" t="s">
        <v>47</v>
      </c>
      <c r="N449" s="22" t="s">
        <v>1552</v>
      </c>
      <c r="O449" s="22" t="s">
        <v>2305</v>
      </c>
      <c r="P449" s="22" t="s">
        <v>666</v>
      </c>
      <c r="Q449" s="309">
        <f>COUNTIF('Hedef Liste'!A:A,A449)</f>
        <v>1</v>
      </c>
    </row>
    <row r="450" hidden="1">
      <c r="A450" s="22" t="s">
        <v>741</v>
      </c>
      <c r="B450" s="22" t="s">
        <v>742</v>
      </c>
      <c r="C450" s="306" t="s">
        <v>3959</v>
      </c>
      <c r="D450" s="22" t="s">
        <v>100</v>
      </c>
      <c r="E450" s="307">
        <v>398.0</v>
      </c>
      <c r="F450" s="307">
        <v>21.0</v>
      </c>
      <c r="G450" s="307">
        <v>0.0</v>
      </c>
      <c r="H450" s="307">
        <v>24.0</v>
      </c>
      <c r="I450" s="307">
        <v>24.0</v>
      </c>
      <c r="J450" s="308">
        <v>0.0</v>
      </c>
      <c r="K450" s="22" t="s">
        <v>743</v>
      </c>
      <c r="L450" s="22">
        <v>5.511954538E9</v>
      </c>
      <c r="M450" s="22" t="s">
        <v>71</v>
      </c>
      <c r="N450" s="22" t="s">
        <v>684</v>
      </c>
      <c r="O450" s="22" t="s">
        <v>744</v>
      </c>
      <c r="P450" s="22" t="s">
        <v>666</v>
      </c>
      <c r="Q450" s="309">
        <f>COUNTIF('Hedef Liste'!A:A,A450)</f>
        <v>1</v>
      </c>
    </row>
    <row r="451" hidden="1">
      <c r="A451" s="22" t="s">
        <v>518</v>
      </c>
      <c r="B451" s="22" t="s">
        <v>4391</v>
      </c>
      <c r="C451" s="306" t="s">
        <v>3959</v>
      </c>
      <c r="D451" s="22" t="s">
        <v>69</v>
      </c>
      <c r="E451" s="307">
        <v>331.0</v>
      </c>
      <c r="F451" s="307">
        <v>55.0</v>
      </c>
      <c r="G451" s="307">
        <v>0.0</v>
      </c>
      <c r="H451" s="307">
        <v>16.0</v>
      </c>
      <c r="I451" s="307">
        <v>16.0</v>
      </c>
      <c r="J451" s="308">
        <v>0.0</v>
      </c>
      <c r="K451" s="22" t="s">
        <v>520</v>
      </c>
      <c r="L451" s="22">
        <v>3.528885355E9</v>
      </c>
      <c r="M451" s="22" t="s">
        <v>61</v>
      </c>
      <c r="N451" s="22" t="s">
        <v>62</v>
      </c>
      <c r="O451" s="22" t="s">
        <v>521</v>
      </c>
      <c r="P451" s="22" t="s">
        <v>666</v>
      </c>
      <c r="Q451" s="309">
        <f>COUNTIF('Hedef Liste'!A:A,A451)</f>
        <v>1</v>
      </c>
    </row>
    <row r="452" hidden="1">
      <c r="A452" s="22" t="s">
        <v>1953</v>
      </c>
      <c r="B452" s="22" t="s">
        <v>1954</v>
      </c>
      <c r="C452" s="306" t="s">
        <v>3959</v>
      </c>
      <c r="D452" s="22" t="s">
        <v>172</v>
      </c>
      <c r="E452" s="307">
        <v>438.0</v>
      </c>
      <c r="F452" s="307">
        <v>37.0</v>
      </c>
      <c r="G452" s="307">
        <v>7.0</v>
      </c>
      <c r="H452" s="307">
        <v>11.0</v>
      </c>
      <c r="I452" s="307">
        <v>18.0</v>
      </c>
      <c r="J452" s="308">
        <v>0.39</v>
      </c>
      <c r="K452" s="22" t="s">
        <v>1955</v>
      </c>
      <c r="L452" s="22">
        <v>5.0134138E9</v>
      </c>
      <c r="M452" s="22" t="s">
        <v>47</v>
      </c>
      <c r="N452" s="22" t="s">
        <v>48</v>
      </c>
      <c r="O452" s="22" t="s">
        <v>1956</v>
      </c>
      <c r="P452" s="22" t="s">
        <v>666</v>
      </c>
      <c r="Q452" s="309">
        <f>COUNTIF('Hedef Liste'!A:A,A452)</f>
        <v>1</v>
      </c>
    </row>
    <row r="453" hidden="1">
      <c r="A453" s="22" t="s">
        <v>1301</v>
      </c>
      <c r="B453" s="22" t="s">
        <v>1302</v>
      </c>
      <c r="C453" s="306" t="s">
        <v>3959</v>
      </c>
      <c r="D453" s="22" t="s">
        <v>165</v>
      </c>
      <c r="E453" s="307">
        <v>3077.0</v>
      </c>
      <c r="F453" s="307">
        <v>89.0</v>
      </c>
      <c r="G453" s="307">
        <v>0.0</v>
      </c>
      <c r="H453" s="307">
        <v>27.0</v>
      </c>
      <c r="I453" s="307">
        <v>27.0</v>
      </c>
      <c r="J453" s="308">
        <v>0.0</v>
      </c>
      <c r="K453" s="22" t="s">
        <v>1303</v>
      </c>
      <c r="L453" s="22">
        <v>3.524314249E9</v>
      </c>
      <c r="M453" s="22" t="s">
        <v>61</v>
      </c>
      <c r="N453" s="22" t="s">
        <v>62</v>
      </c>
      <c r="O453" s="22" t="s">
        <v>1304</v>
      </c>
      <c r="P453" s="22" t="s">
        <v>666</v>
      </c>
      <c r="Q453" s="309">
        <f>COUNTIF('Hedef Liste'!A:A,A453)</f>
        <v>1</v>
      </c>
    </row>
    <row r="454" hidden="1">
      <c r="A454" s="22" t="s">
        <v>1930</v>
      </c>
      <c r="B454" s="22" t="s">
        <v>4392</v>
      </c>
      <c r="C454" s="306" t="s">
        <v>3959</v>
      </c>
      <c r="D454" s="22" t="s">
        <v>59</v>
      </c>
      <c r="E454" s="307">
        <v>1022.0</v>
      </c>
      <c r="F454" s="307">
        <v>64.0</v>
      </c>
      <c r="G454" s="307">
        <v>5.0</v>
      </c>
      <c r="H454" s="307">
        <v>14.0</v>
      </c>
      <c r="I454" s="307">
        <v>19.0</v>
      </c>
      <c r="J454" s="308">
        <v>0.26</v>
      </c>
      <c r="K454" s="22" t="s">
        <v>1932</v>
      </c>
      <c r="L454" s="22">
        <v>5.396052538E9</v>
      </c>
      <c r="M454" s="22" t="s">
        <v>61</v>
      </c>
      <c r="N454" s="22" t="s">
        <v>62</v>
      </c>
      <c r="O454" s="22" t="s">
        <v>1933</v>
      </c>
      <c r="P454" s="22" t="s">
        <v>666</v>
      </c>
      <c r="Q454" s="309">
        <f>COUNTIF('Hedef Liste'!A:A,A454)</f>
        <v>1</v>
      </c>
    </row>
    <row r="455" hidden="1">
      <c r="A455" s="22" t="s">
        <v>1630</v>
      </c>
      <c r="B455" s="22" t="s">
        <v>1631</v>
      </c>
      <c r="C455" s="306" t="s">
        <v>3959</v>
      </c>
      <c r="D455" s="22" t="s">
        <v>69</v>
      </c>
      <c r="E455" s="307">
        <v>170.0</v>
      </c>
      <c r="F455" s="310"/>
      <c r="G455" s="307">
        <v>3.0</v>
      </c>
      <c r="H455" s="307">
        <v>2.0</v>
      </c>
      <c r="I455" s="307">
        <v>5.0</v>
      </c>
      <c r="J455" s="308">
        <v>0.6</v>
      </c>
      <c r="K455" s="22" t="s">
        <v>1632</v>
      </c>
      <c r="L455" s="22">
        <v>5.323276738E9</v>
      </c>
      <c r="M455" s="22" t="s">
        <v>71</v>
      </c>
      <c r="N455" s="22" t="s">
        <v>588</v>
      </c>
      <c r="O455" s="22" t="s">
        <v>1633</v>
      </c>
      <c r="P455" s="22" t="s">
        <v>666</v>
      </c>
      <c r="Q455" s="309">
        <f>COUNTIF('Hedef Liste'!A:A,A455)</f>
        <v>1</v>
      </c>
    </row>
    <row r="456" hidden="1">
      <c r="A456" s="22" t="s">
        <v>2312</v>
      </c>
      <c r="B456" s="22" t="s">
        <v>2313</v>
      </c>
      <c r="C456" s="306" t="s">
        <v>3959</v>
      </c>
      <c r="D456" s="22" t="s">
        <v>855</v>
      </c>
      <c r="E456" s="307">
        <v>739.0</v>
      </c>
      <c r="F456" s="307">
        <v>2.0</v>
      </c>
      <c r="G456" s="307">
        <v>0.0</v>
      </c>
      <c r="H456" s="307">
        <v>11.0</v>
      </c>
      <c r="I456" s="307">
        <v>11.0</v>
      </c>
      <c r="J456" s="308">
        <v>0.0</v>
      </c>
      <c r="K456" s="22" t="s">
        <v>2304</v>
      </c>
      <c r="L456" s="22">
        <v>5.558929456E9</v>
      </c>
      <c r="M456" s="22" t="s">
        <v>61</v>
      </c>
      <c r="N456" s="22" t="s">
        <v>250</v>
      </c>
      <c r="O456" s="22" t="s">
        <v>1122</v>
      </c>
      <c r="P456" s="22" t="s">
        <v>666</v>
      </c>
      <c r="Q456" s="309">
        <f>COUNTIF('Hedef Liste'!A:A,A456)</f>
        <v>1</v>
      </c>
    </row>
    <row r="457" hidden="1">
      <c r="A457" s="22" t="s">
        <v>2501</v>
      </c>
      <c r="B457" s="22" t="s">
        <v>2502</v>
      </c>
      <c r="C457" s="306" t="s">
        <v>3963</v>
      </c>
      <c r="D457" s="22" t="s">
        <v>172</v>
      </c>
      <c r="E457" s="307">
        <v>404.0</v>
      </c>
      <c r="F457" s="310"/>
      <c r="G457" s="307">
        <v>0.0</v>
      </c>
      <c r="H457" s="307">
        <v>11.0</v>
      </c>
      <c r="I457" s="307">
        <v>11.0</v>
      </c>
      <c r="J457" s="308">
        <v>0.0</v>
      </c>
      <c r="K457" s="22" t="s">
        <v>2503</v>
      </c>
      <c r="L457" s="22">
        <v>5.353385812E9</v>
      </c>
      <c r="M457" s="22" t="s">
        <v>61</v>
      </c>
      <c r="N457" s="22" t="s">
        <v>62</v>
      </c>
      <c r="O457" s="22" t="s">
        <v>2504</v>
      </c>
      <c r="P457" s="22" t="s">
        <v>666</v>
      </c>
      <c r="Q457" s="309">
        <f>COUNTIF('Hedef Liste'!A:A,A457)</f>
        <v>1</v>
      </c>
    </row>
    <row r="458" hidden="1">
      <c r="A458" s="22" t="s">
        <v>2722</v>
      </c>
      <c r="B458" s="22" t="s">
        <v>2723</v>
      </c>
      <c r="C458" s="306" t="s">
        <v>3959</v>
      </c>
      <c r="D458" s="22" t="s">
        <v>83</v>
      </c>
      <c r="E458" s="307">
        <v>982.0</v>
      </c>
      <c r="F458" s="307">
        <v>21.0</v>
      </c>
      <c r="G458" s="307">
        <v>0.0</v>
      </c>
      <c r="H458" s="307">
        <v>7.0</v>
      </c>
      <c r="I458" s="307">
        <v>7.0</v>
      </c>
      <c r="J458" s="308">
        <v>0.0</v>
      </c>
      <c r="K458" s="22" t="s">
        <v>2027</v>
      </c>
      <c r="L458" s="22">
        <v>5.38376376E9</v>
      </c>
      <c r="M458" s="22" t="s">
        <v>61</v>
      </c>
      <c r="N458" s="22" t="s">
        <v>62</v>
      </c>
      <c r="O458" s="22" t="s">
        <v>2028</v>
      </c>
      <c r="P458" s="22" t="s">
        <v>666</v>
      </c>
      <c r="Q458" s="309">
        <f>COUNTIF('Hedef Liste'!A:A,A458)</f>
        <v>1</v>
      </c>
    </row>
    <row r="459" hidden="1">
      <c r="A459" s="22" t="s">
        <v>1915</v>
      </c>
      <c r="B459" s="22" t="s">
        <v>4393</v>
      </c>
      <c r="C459" s="306" t="s">
        <v>3959</v>
      </c>
      <c r="D459" s="22" t="s">
        <v>69</v>
      </c>
      <c r="E459" s="307">
        <v>442.0</v>
      </c>
      <c r="F459" s="307">
        <v>83.0</v>
      </c>
      <c r="G459" s="307">
        <v>12.0</v>
      </c>
      <c r="H459" s="307">
        <v>28.0</v>
      </c>
      <c r="I459" s="307">
        <v>40.0</v>
      </c>
      <c r="J459" s="308">
        <v>0.3</v>
      </c>
      <c r="K459" s="22" t="s">
        <v>1917</v>
      </c>
      <c r="L459" s="22">
        <v>5.382853402E9</v>
      </c>
      <c r="M459" s="22" t="s">
        <v>47</v>
      </c>
      <c r="N459" s="22" t="s">
        <v>1091</v>
      </c>
      <c r="O459" s="22" t="s">
        <v>1918</v>
      </c>
      <c r="P459" s="22" t="s">
        <v>666</v>
      </c>
      <c r="Q459" s="309">
        <f>COUNTIF('Hedef Liste'!A:A,A459)</f>
        <v>1</v>
      </c>
    </row>
    <row r="460" hidden="1">
      <c r="A460" s="22" t="s">
        <v>961</v>
      </c>
      <c r="B460" s="22" t="s">
        <v>962</v>
      </c>
      <c r="C460" s="306" t="s">
        <v>3959</v>
      </c>
      <c r="D460" s="22" t="s">
        <v>406</v>
      </c>
      <c r="E460" s="307">
        <v>447.0</v>
      </c>
      <c r="F460" s="307">
        <v>19.0</v>
      </c>
      <c r="G460" s="307">
        <v>7.0</v>
      </c>
      <c r="H460" s="307">
        <v>11.0</v>
      </c>
      <c r="I460" s="307">
        <v>18.0</v>
      </c>
      <c r="J460" s="308">
        <v>0.39</v>
      </c>
      <c r="K460" s="22" t="s">
        <v>963</v>
      </c>
      <c r="L460" s="22">
        <v>3.522204848E9</v>
      </c>
      <c r="M460" s="22" t="s">
        <v>47</v>
      </c>
      <c r="N460" s="22" t="s">
        <v>884</v>
      </c>
      <c r="O460" s="22" t="s">
        <v>964</v>
      </c>
      <c r="P460" s="22" t="s">
        <v>666</v>
      </c>
      <c r="Q460" s="309">
        <f>COUNTIF('Hedef Liste'!A:A,A460)</f>
        <v>1</v>
      </c>
    </row>
    <row r="461" hidden="1">
      <c r="A461" s="22" t="s">
        <v>1564</v>
      </c>
      <c r="B461" s="22" t="s">
        <v>1565</v>
      </c>
      <c r="C461" s="306" t="s">
        <v>3959</v>
      </c>
      <c r="D461" s="22" t="s">
        <v>406</v>
      </c>
      <c r="E461" s="307">
        <v>315.0</v>
      </c>
      <c r="F461" s="307">
        <v>2.0</v>
      </c>
      <c r="G461" s="307">
        <v>11.0</v>
      </c>
      <c r="H461" s="307">
        <v>30.0</v>
      </c>
      <c r="I461" s="307">
        <v>41.0</v>
      </c>
      <c r="J461" s="308">
        <v>0.27</v>
      </c>
      <c r="K461" s="22" t="s">
        <v>1566</v>
      </c>
      <c r="L461" s="22">
        <v>5.528421222E9</v>
      </c>
      <c r="M461" s="22" t="s">
        <v>71</v>
      </c>
      <c r="N461" s="22" t="s">
        <v>339</v>
      </c>
      <c r="O461" s="22" t="s">
        <v>1567</v>
      </c>
      <c r="P461" s="22" t="s">
        <v>666</v>
      </c>
      <c r="Q461" s="309">
        <f>COUNTIF('Hedef Liste'!A:A,A461)</f>
        <v>1</v>
      </c>
    </row>
    <row r="462" hidden="1">
      <c r="A462" s="22" t="s">
        <v>4394</v>
      </c>
      <c r="B462" s="22" t="s">
        <v>4395</v>
      </c>
      <c r="C462" s="306" t="s">
        <v>3959</v>
      </c>
      <c r="D462" s="22" t="s">
        <v>91</v>
      </c>
      <c r="E462" s="307">
        <v>143.0</v>
      </c>
      <c r="F462" s="307">
        <v>26.0</v>
      </c>
      <c r="G462" s="307">
        <v>92.0</v>
      </c>
      <c r="H462" s="307">
        <v>0.0</v>
      </c>
      <c r="I462" s="307">
        <v>92.0</v>
      </c>
      <c r="J462" s="308">
        <v>1.0</v>
      </c>
      <c r="K462" s="22" t="s">
        <v>4150</v>
      </c>
      <c r="L462" s="22">
        <v>9.999999999E9</v>
      </c>
      <c r="M462" s="22" t="s">
        <v>47</v>
      </c>
      <c r="N462" s="22" t="s">
        <v>48</v>
      </c>
      <c r="O462" s="22" t="s">
        <v>4352</v>
      </c>
      <c r="P462" s="22" t="s">
        <v>3962</v>
      </c>
      <c r="Q462" s="309">
        <f>COUNTIF('Hedef Liste'!A:A,A462)</f>
        <v>0</v>
      </c>
    </row>
    <row r="463" hidden="1">
      <c r="A463" s="22" t="s">
        <v>4396</v>
      </c>
      <c r="B463" s="22" t="s">
        <v>4397</v>
      </c>
      <c r="C463" s="306" t="s">
        <v>3959</v>
      </c>
      <c r="D463" s="22" t="s">
        <v>45</v>
      </c>
      <c r="E463" s="307">
        <v>2312.0</v>
      </c>
      <c r="F463" s="307">
        <v>275.0</v>
      </c>
      <c r="G463" s="307">
        <v>168.0</v>
      </c>
      <c r="H463" s="307">
        <v>0.0</v>
      </c>
      <c r="I463" s="307">
        <v>168.0</v>
      </c>
      <c r="J463" s="308">
        <v>1.0</v>
      </c>
      <c r="K463" s="22" t="s">
        <v>4150</v>
      </c>
      <c r="L463" s="22">
        <v>9.999999999E9</v>
      </c>
      <c r="M463" s="22" t="s">
        <v>47</v>
      </c>
      <c r="N463" s="22" t="s">
        <v>4135</v>
      </c>
      <c r="O463" s="22" t="s">
        <v>4398</v>
      </c>
      <c r="P463" s="22" t="s">
        <v>3962</v>
      </c>
      <c r="Q463" s="309">
        <f>COUNTIF('Hedef Liste'!A:A,A463)</f>
        <v>0</v>
      </c>
    </row>
    <row r="464" hidden="1">
      <c r="A464" s="22" t="s">
        <v>2368</v>
      </c>
      <c r="B464" s="22" t="s">
        <v>2369</v>
      </c>
      <c r="C464" s="306" t="s">
        <v>3959</v>
      </c>
      <c r="D464" s="22" t="s">
        <v>406</v>
      </c>
      <c r="E464" s="307">
        <v>1512.0</v>
      </c>
      <c r="F464" s="307">
        <v>21.0</v>
      </c>
      <c r="G464" s="307">
        <v>5.0</v>
      </c>
      <c r="H464" s="307">
        <v>1.0</v>
      </c>
      <c r="I464" s="307">
        <v>6.0</v>
      </c>
      <c r="J464" s="308">
        <v>0.83</v>
      </c>
      <c r="K464" s="22" t="s">
        <v>2370</v>
      </c>
      <c r="L464" s="22">
        <v>3.522471199E9</v>
      </c>
      <c r="M464" s="22" t="s">
        <v>47</v>
      </c>
      <c r="N464" s="22" t="s">
        <v>48</v>
      </c>
      <c r="O464" s="22" t="s">
        <v>2371</v>
      </c>
      <c r="P464" s="22" t="s">
        <v>666</v>
      </c>
      <c r="Q464" s="309">
        <f>COUNTIF('Hedef Liste'!A:A,A464)</f>
        <v>1</v>
      </c>
    </row>
    <row r="465" hidden="1">
      <c r="A465" s="22" t="s">
        <v>445</v>
      </c>
      <c r="B465" s="22" t="s">
        <v>446</v>
      </c>
      <c r="C465" s="306" t="s">
        <v>3959</v>
      </c>
      <c r="D465" s="22" t="s">
        <v>172</v>
      </c>
      <c r="E465" s="307">
        <v>433.0</v>
      </c>
      <c r="F465" s="310"/>
      <c r="G465" s="307">
        <v>0.0</v>
      </c>
      <c r="H465" s="307">
        <v>11.0</v>
      </c>
      <c r="I465" s="307">
        <v>11.0</v>
      </c>
      <c r="J465" s="308">
        <v>0.0</v>
      </c>
      <c r="K465" s="22" t="s">
        <v>447</v>
      </c>
      <c r="L465" s="22">
        <v>3.525020306E9</v>
      </c>
      <c r="M465" s="22" t="s">
        <v>47</v>
      </c>
      <c r="N465" s="22" t="s">
        <v>448</v>
      </c>
      <c r="O465" s="22" t="s">
        <v>449</v>
      </c>
      <c r="P465" s="22" t="s">
        <v>666</v>
      </c>
      <c r="Q465" s="309">
        <f>COUNTIF('Hedef Liste'!A:A,A465)</f>
        <v>1</v>
      </c>
    </row>
    <row r="466" hidden="1">
      <c r="A466" s="22" t="s">
        <v>2577</v>
      </c>
      <c r="B466" s="22" t="s">
        <v>2578</v>
      </c>
      <c r="C466" s="306" t="s">
        <v>3959</v>
      </c>
      <c r="D466" s="22" t="s">
        <v>69</v>
      </c>
      <c r="E466" s="307">
        <v>66.0</v>
      </c>
      <c r="F466" s="307">
        <v>17.0</v>
      </c>
      <c r="G466" s="307">
        <v>0.0</v>
      </c>
      <c r="H466" s="307">
        <v>43.0</v>
      </c>
      <c r="I466" s="307">
        <v>43.0</v>
      </c>
      <c r="J466" s="308">
        <v>0.0</v>
      </c>
      <c r="K466" s="22" t="s">
        <v>2579</v>
      </c>
      <c r="L466" s="22">
        <v>3.524313322E9</v>
      </c>
      <c r="M466" s="22" t="s">
        <v>61</v>
      </c>
      <c r="N466" s="22" t="s">
        <v>62</v>
      </c>
      <c r="O466" s="22" t="s">
        <v>2580</v>
      </c>
      <c r="P466" s="22" t="s">
        <v>666</v>
      </c>
      <c r="Q466" s="309">
        <f>COUNTIF('Hedef Liste'!A:A,A466)</f>
        <v>1</v>
      </c>
    </row>
    <row r="467" hidden="1">
      <c r="A467" s="22" t="s">
        <v>2521</v>
      </c>
      <c r="B467" s="22" t="s">
        <v>2518</v>
      </c>
      <c r="C467" s="306" t="s">
        <v>3959</v>
      </c>
      <c r="D467" s="22" t="s">
        <v>406</v>
      </c>
      <c r="E467" s="307">
        <v>85.0</v>
      </c>
      <c r="F467" s="307">
        <v>13.0</v>
      </c>
      <c r="G467" s="307">
        <v>0.0</v>
      </c>
      <c r="H467" s="307">
        <v>59.0</v>
      </c>
      <c r="I467" s="307">
        <v>59.0</v>
      </c>
      <c r="J467" s="308">
        <v>0.0</v>
      </c>
      <c r="K467" s="22" t="s">
        <v>2220</v>
      </c>
      <c r="L467" s="22">
        <v>3.522353435E9</v>
      </c>
      <c r="M467" s="22" t="s">
        <v>71</v>
      </c>
      <c r="N467" s="22" t="s">
        <v>797</v>
      </c>
      <c r="O467" s="22" t="s">
        <v>2522</v>
      </c>
      <c r="P467" s="22" t="s">
        <v>666</v>
      </c>
      <c r="Q467" s="309">
        <f>COUNTIF('Hedef Liste'!A:A,A467)</f>
        <v>1</v>
      </c>
    </row>
    <row r="468" hidden="1">
      <c r="A468" s="22" t="s">
        <v>4399</v>
      </c>
      <c r="B468" s="22" t="s">
        <v>177</v>
      </c>
      <c r="C468" s="306" t="s">
        <v>3959</v>
      </c>
      <c r="D468" s="22" t="s">
        <v>83</v>
      </c>
      <c r="E468" s="307">
        <v>179.0</v>
      </c>
      <c r="F468" s="307">
        <v>45.0</v>
      </c>
      <c r="G468" s="307">
        <v>19.0</v>
      </c>
      <c r="H468" s="307">
        <v>5.0</v>
      </c>
      <c r="I468" s="307">
        <v>24.0</v>
      </c>
      <c r="J468" s="308">
        <v>0.79</v>
      </c>
      <c r="K468" s="22" t="s">
        <v>4400</v>
      </c>
      <c r="L468" s="22">
        <v>5.303839538E9</v>
      </c>
      <c r="M468" s="22" t="s">
        <v>71</v>
      </c>
      <c r="N468" s="22" t="s">
        <v>179</v>
      </c>
      <c r="O468" s="22" t="s">
        <v>180</v>
      </c>
      <c r="P468" s="22" t="s">
        <v>666</v>
      </c>
      <c r="Q468" s="309">
        <f>COUNTIF('Hedef Liste'!A:A,A468)</f>
        <v>0</v>
      </c>
    </row>
    <row r="469" hidden="1">
      <c r="A469" s="22" t="s">
        <v>1336</v>
      </c>
      <c r="B469" s="22" t="s">
        <v>1337</v>
      </c>
      <c r="C469" s="306" t="s">
        <v>3959</v>
      </c>
      <c r="D469" s="22" t="s">
        <v>91</v>
      </c>
      <c r="E469" s="307">
        <v>347.0</v>
      </c>
      <c r="F469" s="307">
        <v>66.0</v>
      </c>
      <c r="G469" s="307">
        <v>10.0</v>
      </c>
      <c r="H469" s="307">
        <v>6.0</v>
      </c>
      <c r="I469" s="307">
        <v>16.0</v>
      </c>
      <c r="J469" s="308">
        <v>0.63</v>
      </c>
      <c r="K469" s="22" t="s">
        <v>1338</v>
      </c>
      <c r="L469" s="22">
        <v>5.5184333E9</v>
      </c>
      <c r="M469" s="22" t="s">
        <v>61</v>
      </c>
      <c r="N469" s="22" t="s">
        <v>62</v>
      </c>
      <c r="O469" s="22" t="s">
        <v>1339</v>
      </c>
      <c r="P469" s="22" t="s">
        <v>666</v>
      </c>
      <c r="Q469" s="309">
        <f>COUNTIF('Hedef Liste'!A:A,A469)</f>
        <v>1</v>
      </c>
    </row>
    <row r="470" hidden="1">
      <c r="A470" s="22" t="s">
        <v>4401</v>
      </c>
      <c r="B470" s="22" t="s">
        <v>4402</v>
      </c>
      <c r="C470" s="306" t="s">
        <v>3959</v>
      </c>
      <c r="D470" s="22" t="s">
        <v>172</v>
      </c>
      <c r="E470" s="307">
        <v>313.0</v>
      </c>
      <c r="F470" s="307">
        <v>119.0</v>
      </c>
      <c r="G470" s="307">
        <v>46.0</v>
      </c>
      <c r="H470" s="307">
        <v>6.0</v>
      </c>
      <c r="I470" s="307">
        <v>52.0</v>
      </c>
      <c r="J470" s="308">
        <v>0.88</v>
      </c>
      <c r="K470" s="22" t="s">
        <v>4403</v>
      </c>
      <c r="L470" s="22">
        <v>3.5232051E9</v>
      </c>
      <c r="M470" s="22" t="s">
        <v>47</v>
      </c>
      <c r="N470" s="22" t="s">
        <v>874</v>
      </c>
      <c r="O470" s="22" t="s">
        <v>4404</v>
      </c>
      <c r="P470" s="22" t="s">
        <v>666</v>
      </c>
      <c r="Q470" s="309">
        <f>COUNTIF('Hedef Liste'!A:A,A470)</f>
        <v>0</v>
      </c>
    </row>
    <row r="471" hidden="1">
      <c r="A471" s="22" t="s">
        <v>4405</v>
      </c>
      <c r="B471" s="22" t="s">
        <v>4406</v>
      </c>
      <c r="C471" s="306" t="s">
        <v>3959</v>
      </c>
      <c r="D471" s="22" t="s">
        <v>100</v>
      </c>
      <c r="E471" s="307">
        <v>111.0</v>
      </c>
      <c r="F471" s="307">
        <v>71.0</v>
      </c>
      <c r="G471" s="307">
        <v>73.0</v>
      </c>
      <c r="H471" s="307">
        <v>6.0</v>
      </c>
      <c r="I471" s="307">
        <v>79.0</v>
      </c>
      <c r="J471" s="308">
        <v>0.92</v>
      </c>
      <c r="K471" s="22" t="s">
        <v>3967</v>
      </c>
      <c r="L471" s="22">
        <v>5.41393879E9</v>
      </c>
      <c r="M471" s="22" t="s">
        <v>71</v>
      </c>
      <c r="N471" s="22" t="s">
        <v>214</v>
      </c>
      <c r="O471" s="22" t="s">
        <v>4407</v>
      </c>
      <c r="P471" s="22" t="s">
        <v>3962</v>
      </c>
      <c r="Q471" s="309">
        <f>COUNTIF('Hedef Liste'!A:A,A471)</f>
        <v>0</v>
      </c>
    </row>
    <row r="472" hidden="1">
      <c r="A472" s="22" t="s">
        <v>1687</v>
      </c>
      <c r="B472" s="22" t="s">
        <v>1688</v>
      </c>
      <c r="C472" s="306" t="s">
        <v>3959</v>
      </c>
      <c r="D472" s="22" t="s">
        <v>1598</v>
      </c>
      <c r="E472" s="307">
        <v>4.0</v>
      </c>
      <c r="F472" s="307">
        <v>1.0</v>
      </c>
      <c r="G472" s="307">
        <v>0.0</v>
      </c>
      <c r="H472" s="307">
        <v>6.0</v>
      </c>
      <c r="I472" s="307">
        <v>6.0</v>
      </c>
      <c r="J472" s="308">
        <v>0.0</v>
      </c>
      <c r="K472" s="22" t="s">
        <v>208</v>
      </c>
      <c r="L472" s="22">
        <v>5.323913197E9</v>
      </c>
      <c r="M472" s="22" t="s">
        <v>71</v>
      </c>
      <c r="N472" s="22" t="s">
        <v>204</v>
      </c>
      <c r="O472" s="22" t="s">
        <v>1685</v>
      </c>
      <c r="P472" s="22" t="s">
        <v>666</v>
      </c>
      <c r="Q472" s="309">
        <f>COUNTIF('Hedef Liste'!A:A,A472)</f>
        <v>1</v>
      </c>
    </row>
    <row r="473" hidden="1">
      <c r="A473" s="22" t="s">
        <v>2675</v>
      </c>
      <c r="B473" s="22" t="s">
        <v>2676</v>
      </c>
      <c r="C473" s="306" t="s">
        <v>3959</v>
      </c>
      <c r="D473" s="22" t="s">
        <v>83</v>
      </c>
      <c r="E473" s="307">
        <v>1.0</v>
      </c>
      <c r="F473" s="310"/>
      <c r="G473" s="307">
        <v>0.0</v>
      </c>
      <c r="H473" s="307">
        <v>20.0</v>
      </c>
      <c r="I473" s="307">
        <v>20.0</v>
      </c>
      <c r="J473" s="308">
        <v>0.0</v>
      </c>
      <c r="K473" s="22" t="s">
        <v>2677</v>
      </c>
      <c r="L473" s="22">
        <v>5.444823802E9</v>
      </c>
      <c r="M473" s="22" t="s">
        <v>71</v>
      </c>
      <c r="N473" s="22" t="s">
        <v>588</v>
      </c>
      <c r="O473" s="22" t="s">
        <v>2678</v>
      </c>
      <c r="P473" s="22" t="s">
        <v>666</v>
      </c>
      <c r="Q473" s="309">
        <f>COUNTIF('Hedef Liste'!A:A,A473)</f>
        <v>1</v>
      </c>
    </row>
    <row r="474" hidden="1">
      <c r="A474" s="22" t="s">
        <v>1731</v>
      </c>
      <c r="B474" s="22" t="s">
        <v>1732</v>
      </c>
      <c r="C474" s="306" t="s">
        <v>3959</v>
      </c>
      <c r="D474" s="22" t="s">
        <v>406</v>
      </c>
      <c r="E474" s="307">
        <v>3851.0</v>
      </c>
      <c r="F474" s="310"/>
      <c r="G474" s="307">
        <v>13.0</v>
      </c>
      <c r="H474" s="307">
        <v>6.0</v>
      </c>
      <c r="I474" s="307">
        <v>19.0</v>
      </c>
      <c r="J474" s="308">
        <v>0.68</v>
      </c>
      <c r="K474" s="22" t="s">
        <v>1733</v>
      </c>
      <c r="L474" s="22">
        <v>3.5243144E9</v>
      </c>
      <c r="M474" s="22" t="s">
        <v>61</v>
      </c>
      <c r="N474" s="22" t="s">
        <v>62</v>
      </c>
      <c r="O474" s="22" t="s">
        <v>1734</v>
      </c>
      <c r="P474" s="22" t="s">
        <v>666</v>
      </c>
      <c r="Q474" s="309">
        <f>COUNTIF('Hedef Liste'!A:A,A474)</f>
        <v>1</v>
      </c>
    </row>
    <row r="475" hidden="1">
      <c r="A475" s="22" t="s">
        <v>2751</v>
      </c>
      <c r="B475" s="22" t="s">
        <v>2752</v>
      </c>
      <c r="C475" s="306" t="s">
        <v>3959</v>
      </c>
      <c r="D475" s="22" t="s">
        <v>406</v>
      </c>
      <c r="E475" s="307">
        <v>656.0</v>
      </c>
      <c r="F475" s="307">
        <v>3.0</v>
      </c>
      <c r="G475" s="307">
        <v>0.0</v>
      </c>
      <c r="H475" s="307">
        <v>12.0</v>
      </c>
      <c r="I475" s="307">
        <v>12.0</v>
      </c>
      <c r="J475" s="308">
        <v>0.0</v>
      </c>
      <c r="K475" s="22" t="s">
        <v>2753</v>
      </c>
      <c r="L475" s="22">
        <v>3.522355003E9</v>
      </c>
      <c r="M475" s="22" t="s">
        <v>71</v>
      </c>
      <c r="N475" s="22" t="s">
        <v>797</v>
      </c>
      <c r="O475" s="22" t="s">
        <v>2754</v>
      </c>
      <c r="P475" s="22" t="s">
        <v>666</v>
      </c>
      <c r="Q475" s="309">
        <f>COUNTIF('Hedef Liste'!A:A,A475)</f>
        <v>1</v>
      </c>
    </row>
    <row r="476" hidden="1">
      <c r="A476" s="22" t="s">
        <v>545</v>
      </c>
      <c r="B476" s="22" t="s">
        <v>546</v>
      </c>
      <c r="C476" s="306" t="s">
        <v>3959</v>
      </c>
      <c r="D476" s="22" t="s">
        <v>69</v>
      </c>
      <c r="E476" s="307">
        <v>73.0</v>
      </c>
      <c r="F476" s="307">
        <v>13.0</v>
      </c>
      <c r="G476" s="307">
        <v>15.0</v>
      </c>
      <c r="H476" s="307">
        <v>18.0</v>
      </c>
      <c r="I476" s="307">
        <v>33.0</v>
      </c>
      <c r="J476" s="308">
        <v>0.45</v>
      </c>
      <c r="K476" s="22" t="s">
        <v>547</v>
      </c>
      <c r="L476" s="22">
        <v>5.457331993E9</v>
      </c>
      <c r="M476" s="22" t="s">
        <v>71</v>
      </c>
      <c r="N476" s="22" t="s">
        <v>209</v>
      </c>
      <c r="O476" s="22" t="s">
        <v>549</v>
      </c>
      <c r="P476" s="22" t="s">
        <v>666</v>
      </c>
      <c r="Q476" s="309">
        <f>COUNTIF('Hedef Liste'!A:A,A476)</f>
        <v>1</v>
      </c>
    </row>
    <row r="477" hidden="1">
      <c r="A477" s="22" t="s">
        <v>211</v>
      </c>
      <c r="B477" s="22" t="s">
        <v>212</v>
      </c>
      <c r="C477" s="306" t="s">
        <v>3959</v>
      </c>
      <c r="D477" s="22" t="s">
        <v>100</v>
      </c>
      <c r="E477" s="307">
        <v>36.0</v>
      </c>
      <c r="F477" s="310"/>
      <c r="G477" s="307">
        <v>7.0</v>
      </c>
      <c r="H477" s="307">
        <v>1.0</v>
      </c>
      <c r="I477" s="307">
        <v>8.0</v>
      </c>
      <c r="J477" s="308">
        <v>0.88</v>
      </c>
      <c r="K477" s="22" t="s">
        <v>213</v>
      </c>
      <c r="L477" s="22">
        <v>5.436649359E9</v>
      </c>
      <c r="M477" s="22" t="s">
        <v>71</v>
      </c>
      <c r="N477" s="22" t="s">
        <v>214</v>
      </c>
      <c r="O477" s="22" t="s">
        <v>215</v>
      </c>
      <c r="P477" s="22" t="s">
        <v>666</v>
      </c>
      <c r="Q477" s="309">
        <f>COUNTIF('Hedef Liste'!A:A,A477)</f>
        <v>1</v>
      </c>
    </row>
    <row r="478" hidden="1">
      <c r="A478" s="22" t="s">
        <v>1461</v>
      </c>
      <c r="B478" s="22" t="s">
        <v>1462</v>
      </c>
      <c r="C478" s="306" t="s">
        <v>3959</v>
      </c>
      <c r="D478" s="22" t="s">
        <v>100</v>
      </c>
      <c r="E478" s="307">
        <v>152.0</v>
      </c>
      <c r="F478" s="310"/>
      <c r="G478" s="307">
        <v>0.0</v>
      </c>
      <c r="H478" s="307">
        <v>14.0</v>
      </c>
      <c r="I478" s="307">
        <v>14.0</v>
      </c>
      <c r="J478" s="308">
        <v>0.0</v>
      </c>
      <c r="K478" s="22" t="s">
        <v>1463</v>
      </c>
      <c r="L478" s="22">
        <v>5.365137938E9</v>
      </c>
      <c r="M478" s="22" t="s">
        <v>61</v>
      </c>
      <c r="N478" s="22" t="s">
        <v>62</v>
      </c>
      <c r="O478" s="22" t="s">
        <v>1464</v>
      </c>
      <c r="P478" s="22" t="s">
        <v>666</v>
      </c>
      <c r="Q478" s="309">
        <f>COUNTIF('Hedef Liste'!A:A,A478)</f>
        <v>1</v>
      </c>
    </row>
    <row r="479" hidden="1">
      <c r="A479" s="22" t="s">
        <v>540</v>
      </c>
      <c r="B479" s="22" t="s">
        <v>541</v>
      </c>
      <c r="C479" s="306" t="s">
        <v>3959</v>
      </c>
      <c r="D479" s="22" t="s">
        <v>406</v>
      </c>
      <c r="E479" s="307">
        <v>430.0</v>
      </c>
      <c r="F479" s="307">
        <v>12.0</v>
      </c>
      <c r="G479" s="307">
        <v>5.0</v>
      </c>
      <c r="H479" s="307">
        <v>1.0</v>
      </c>
      <c r="I479" s="307">
        <v>6.0</v>
      </c>
      <c r="J479" s="308">
        <v>0.83</v>
      </c>
      <c r="K479" s="22" t="s">
        <v>542</v>
      </c>
      <c r="L479" s="22">
        <v>3.523393904E9</v>
      </c>
      <c r="M479" s="22" t="s">
        <v>71</v>
      </c>
      <c r="N479" s="22" t="s">
        <v>543</v>
      </c>
      <c r="O479" s="22" t="s">
        <v>544</v>
      </c>
      <c r="P479" s="22" t="s">
        <v>666</v>
      </c>
      <c r="Q479" s="309">
        <f>COUNTIF('Hedef Liste'!A:A,A479)</f>
        <v>1</v>
      </c>
    </row>
    <row r="480" hidden="1">
      <c r="A480" s="22" t="s">
        <v>1771</v>
      </c>
      <c r="B480" s="22" t="s">
        <v>1767</v>
      </c>
      <c r="C480" s="306" t="s">
        <v>3959</v>
      </c>
      <c r="D480" s="22" t="s">
        <v>406</v>
      </c>
      <c r="E480" s="310"/>
      <c r="F480" s="310"/>
      <c r="G480" s="307">
        <v>0.0</v>
      </c>
      <c r="H480" s="307">
        <v>45.0</v>
      </c>
      <c r="I480" s="307">
        <v>45.0</v>
      </c>
      <c r="J480" s="308">
        <v>0.0</v>
      </c>
      <c r="K480" s="22" t="s">
        <v>1772</v>
      </c>
      <c r="L480" s="22">
        <v>3.526210192E9</v>
      </c>
      <c r="M480" s="22" t="s">
        <v>1769</v>
      </c>
      <c r="N480" s="22" t="s">
        <v>1582</v>
      </c>
      <c r="O480" s="22" t="s">
        <v>1770</v>
      </c>
      <c r="P480" s="22" t="s">
        <v>666</v>
      </c>
      <c r="Q480" s="309">
        <f>COUNTIF('Hedef Liste'!A:A,A480)</f>
        <v>1</v>
      </c>
    </row>
    <row r="481" hidden="1">
      <c r="A481" s="22" t="s">
        <v>1606</v>
      </c>
      <c r="B481" s="22" t="s">
        <v>1607</v>
      </c>
      <c r="C481" s="306" t="s">
        <v>3959</v>
      </c>
      <c r="D481" s="22" t="s">
        <v>165</v>
      </c>
      <c r="E481" s="307">
        <v>672.0</v>
      </c>
      <c r="F481" s="310"/>
      <c r="G481" s="307">
        <v>4.0</v>
      </c>
      <c r="H481" s="307">
        <v>14.0</v>
      </c>
      <c r="I481" s="307">
        <v>18.0</v>
      </c>
      <c r="J481" s="308">
        <v>0.22</v>
      </c>
      <c r="K481" s="22" t="s">
        <v>1608</v>
      </c>
      <c r="L481" s="22">
        <v>3.522321142E9</v>
      </c>
      <c r="M481" s="22" t="s">
        <v>47</v>
      </c>
      <c r="N481" s="22" t="s">
        <v>307</v>
      </c>
      <c r="O481" s="22" t="s">
        <v>1609</v>
      </c>
      <c r="P481" s="22" t="s">
        <v>666</v>
      </c>
      <c r="Q481" s="309">
        <f>COUNTIF('Hedef Liste'!A:A,A481)</f>
        <v>1</v>
      </c>
    </row>
    <row r="482" hidden="1">
      <c r="A482" s="22" t="s">
        <v>2868</v>
      </c>
      <c r="B482" s="22" t="s">
        <v>2869</v>
      </c>
      <c r="C482" s="306" t="s">
        <v>3959</v>
      </c>
      <c r="D482" s="22" t="s">
        <v>45</v>
      </c>
      <c r="E482" s="307">
        <v>4688.0</v>
      </c>
      <c r="F482" s="307">
        <v>191.0</v>
      </c>
      <c r="G482" s="307">
        <v>16.0</v>
      </c>
      <c r="H482" s="307">
        <v>12.0</v>
      </c>
      <c r="I482" s="307">
        <v>28.0</v>
      </c>
      <c r="J482" s="308">
        <v>0.57</v>
      </c>
      <c r="K482" s="22" t="s">
        <v>2870</v>
      </c>
      <c r="L482" s="22">
        <v>8.502274746E9</v>
      </c>
      <c r="M482" s="22" t="s">
        <v>61</v>
      </c>
      <c r="N482" s="22" t="s">
        <v>250</v>
      </c>
      <c r="O482" s="22" t="s">
        <v>2871</v>
      </c>
      <c r="P482" s="22" t="s">
        <v>666</v>
      </c>
      <c r="Q482" s="309">
        <f>COUNTIF('Hedef Liste'!A:A,A482)</f>
        <v>1</v>
      </c>
    </row>
    <row r="483" hidden="1">
      <c r="A483" s="22" t="s">
        <v>256</v>
      </c>
      <c r="B483" s="22" t="s">
        <v>4408</v>
      </c>
      <c r="C483" s="306" t="s">
        <v>3959</v>
      </c>
      <c r="D483" s="22" t="s">
        <v>100</v>
      </c>
      <c r="E483" s="307">
        <v>399.0</v>
      </c>
      <c r="F483" s="307">
        <v>14.0</v>
      </c>
      <c r="G483" s="307">
        <v>0.0</v>
      </c>
      <c r="H483" s="307">
        <v>24.0</v>
      </c>
      <c r="I483" s="307">
        <v>24.0</v>
      </c>
      <c r="J483" s="308">
        <v>0.0</v>
      </c>
      <c r="K483" s="22" t="s">
        <v>258</v>
      </c>
      <c r="L483" s="22">
        <v>5.520655893E9</v>
      </c>
      <c r="M483" s="22" t="s">
        <v>47</v>
      </c>
      <c r="N483" s="22" t="s">
        <v>277</v>
      </c>
      <c r="O483" s="22" t="s">
        <v>4409</v>
      </c>
      <c r="P483" s="22" t="s">
        <v>666</v>
      </c>
      <c r="Q483" s="309">
        <f>COUNTIF('Hedef Liste'!A:A,A483)</f>
        <v>1</v>
      </c>
    </row>
    <row r="484" hidden="1">
      <c r="A484" s="22" t="s">
        <v>382</v>
      </c>
      <c r="B484" s="22" t="s">
        <v>4410</v>
      </c>
      <c r="C484" s="306" t="s">
        <v>3959</v>
      </c>
      <c r="D484" s="22" t="s">
        <v>172</v>
      </c>
      <c r="E484" s="307">
        <v>8.0</v>
      </c>
      <c r="F484" s="307">
        <v>2.0</v>
      </c>
      <c r="G484" s="307">
        <v>16.0</v>
      </c>
      <c r="H484" s="307">
        <v>1.0</v>
      </c>
      <c r="I484" s="307">
        <v>17.0</v>
      </c>
      <c r="J484" s="308">
        <v>0.94</v>
      </c>
      <c r="K484" s="22" t="s">
        <v>384</v>
      </c>
      <c r="L484" s="22">
        <v>3.522322034E9</v>
      </c>
      <c r="M484" s="22" t="s">
        <v>71</v>
      </c>
      <c r="N484" s="22" t="s">
        <v>420</v>
      </c>
      <c r="O484" s="22" t="s">
        <v>4411</v>
      </c>
      <c r="P484" s="22" t="s">
        <v>666</v>
      </c>
      <c r="Q484" s="309">
        <f>COUNTIF('Hedef Liste'!A:A,A484)</f>
        <v>1</v>
      </c>
    </row>
    <row r="485" hidden="1">
      <c r="A485" s="22" t="s">
        <v>657</v>
      </c>
      <c r="B485" s="22" t="s">
        <v>658</v>
      </c>
      <c r="C485" s="306" t="s">
        <v>3959</v>
      </c>
      <c r="D485" s="22" t="s">
        <v>653</v>
      </c>
      <c r="E485" s="307">
        <v>89.0</v>
      </c>
      <c r="F485" s="307">
        <v>11.0</v>
      </c>
      <c r="G485" s="307">
        <v>8.0</v>
      </c>
      <c r="H485" s="307">
        <v>17.0</v>
      </c>
      <c r="I485" s="307">
        <v>25.0</v>
      </c>
      <c r="J485" s="308">
        <v>0.32</v>
      </c>
      <c r="K485" s="22" t="s">
        <v>659</v>
      </c>
      <c r="L485" s="22">
        <v>3.525021252E9</v>
      </c>
      <c r="M485" s="22" t="s">
        <v>47</v>
      </c>
      <c r="N485" s="22" t="s">
        <v>47</v>
      </c>
      <c r="O485" s="22" t="s">
        <v>660</v>
      </c>
      <c r="P485" s="22" t="s">
        <v>666</v>
      </c>
      <c r="Q485" s="309">
        <f>COUNTIF('Hedef Liste'!A:A,A485)</f>
        <v>1</v>
      </c>
    </row>
    <row r="486" hidden="1">
      <c r="A486" s="22" t="s">
        <v>1573</v>
      </c>
      <c r="B486" s="22" t="s">
        <v>1574</v>
      </c>
      <c r="C486" s="306" t="s">
        <v>3959</v>
      </c>
      <c r="D486" s="22" t="s">
        <v>406</v>
      </c>
      <c r="E486" s="307">
        <v>58.0</v>
      </c>
      <c r="F486" s="310"/>
      <c r="G486" s="307">
        <v>0.0</v>
      </c>
      <c r="H486" s="307">
        <v>10.0</v>
      </c>
      <c r="I486" s="307">
        <v>10.0</v>
      </c>
      <c r="J486" s="308">
        <v>0.0</v>
      </c>
      <c r="K486" s="22" t="s">
        <v>1575</v>
      </c>
      <c r="L486" s="22">
        <v>5.467385038E9</v>
      </c>
      <c r="M486" s="22" t="s">
        <v>47</v>
      </c>
      <c r="N486" s="22" t="s">
        <v>1576</v>
      </c>
      <c r="O486" s="22" t="s">
        <v>1577</v>
      </c>
      <c r="P486" s="22" t="s">
        <v>666</v>
      </c>
      <c r="Q486" s="309">
        <f>COUNTIF('Hedef Liste'!A:A,A486)</f>
        <v>1</v>
      </c>
    </row>
    <row r="487" hidden="1">
      <c r="A487" s="22" t="s">
        <v>1705</v>
      </c>
      <c r="B487" s="22" t="s">
        <v>1706</v>
      </c>
      <c r="C487" s="306" t="s">
        <v>3963</v>
      </c>
      <c r="D487" s="22" t="s">
        <v>69</v>
      </c>
      <c r="E487" s="307">
        <v>14.0</v>
      </c>
      <c r="F487" s="310"/>
      <c r="G487" s="307">
        <v>0.0</v>
      </c>
      <c r="H487" s="307">
        <v>3.0</v>
      </c>
      <c r="I487" s="307">
        <v>3.0</v>
      </c>
      <c r="J487" s="308">
        <v>0.0</v>
      </c>
      <c r="K487" s="22" t="s">
        <v>1702</v>
      </c>
      <c r="L487" s="22">
        <v>5.013665001E9</v>
      </c>
      <c r="M487" s="22" t="s">
        <v>61</v>
      </c>
      <c r="N487" s="22" t="s">
        <v>62</v>
      </c>
      <c r="O487" s="22" t="s">
        <v>1703</v>
      </c>
      <c r="P487" s="22" t="s">
        <v>666</v>
      </c>
      <c r="Q487" s="309">
        <f>COUNTIF('Hedef Liste'!A:A,A487)</f>
        <v>1</v>
      </c>
    </row>
    <row r="488" hidden="1">
      <c r="A488" s="22" t="s">
        <v>974</v>
      </c>
      <c r="B488" s="22" t="s">
        <v>975</v>
      </c>
      <c r="C488" s="306" t="s">
        <v>3959</v>
      </c>
      <c r="D488" s="22" t="s">
        <v>172</v>
      </c>
      <c r="E488" s="307">
        <v>892.0</v>
      </c>
      <c r="F488" s="310"/>
      <c r="G488" s="307">
        <v>3.0</v>
      </c>
      <c r="H488" s="307">
        <v>1.0</v>
      </c>
      <c r="I488" s="307">
        <v>4.0</v>
      </c>
      <c r="J488" s="308">
        <v>0.75</v>
      </c>
      <c r="K488" s="22" t="s">
        <v>976</v>
      </c>
      <c r="L488" s="22">
        <v>5.316830438E9</v>
      </c>
      <c r="M488" s="22" t="s">
        <v>47</v>
      </c>
      <c r="N488" s="22" t="s">
        <v>47</v>
      </c>
      <c r="O488" s="22" t="s">
        <v>977</v>
      </c>
      <c r="P488" s="22" t="s">
        <v>666</v>
      </c>
      <c r="Q488" s="309">
        <f>COUNTIF('Hedef Liste'!A:A,A488)</f>
        <v>1</v>
      </c>
    </row>
    <row r="489" hidden="1">
      <c r="A489" s="22" t="s">
        <v>232</v>
      </c>
      <c r="B489" s="22" t="s">
        <v>233</v>
      </c>
      <c r="C489" s="306" t="s">
        <v>3963</v>
      </c>
      <c r="D489" s="22" t="s">
        <v>100</v>
      </c>
      <c r="E489" s="307">
        <v>1.0</v>
      </c>
      <c r="F489" s="310"/>
      <c r="G489" s="307">
        <v>0.0</v>
      </c>
      <c r="H489" s="307">
        <v>7.0</v>
      </c>
      <c r="I489" s="307">
        <v>7.0</v>
      </c>
      <c r="J489" s="308">
        <v>0.0</v>
      </c>
      <c r="K489" s="22" t="s">
        <v>234</v>
      </c>
      <c r="L489" s="22">
        <v>5.427253357E9</v>
      </c>
      <c r="M489" s="22" t="s">
        <v>47</v>
      </c>
      <c r="N489" s="22" t="s">
        <v>48</v>
      </c>
      <c r="O489" s="22" t="s">
        <v>235</v>
      </c>
      <c r="P489" s="22" t="s">
        <v>666</v>
      </c>
      <c r="Q489" s="309">
        <f>COUNTIF('Hedef Liste'!A:A,A489)</f>
        <v>1</v>
      </c>
    </row>
    <row r="490" hidden="1">
      <c r="A490" s="22" t="s">
        <v>1190</v>
      </c>
      <c r="B490" s="22" t="s">
        <v>1191</v>
      </c>
      <c r="C490" s="306" t="s">
        <v>3963</v>
      </c>
      <c r="D490" s="22" t="s">
        <v>165</v>
      </c>
      <c r="E490" s="310"/>
      <c r="F490" s="310"/>
      <c r="G490" s="307">
        <v>8.0</v>
      </c>
      <c r="H490" s="307">
        <v>0.0</v>
      </c>
      <c r="I490" s="307">
        <v>8.0</v>
      </c>
      <c r="J490" s="308">
        <v>1.0</v>
      </c>
      <c r="K490" s="22" t="s">
        <v>1192</v>
      </c>
      <c r="L490" s="22">
        <v>5.302077898E9</v>
      </c>
      <c r="M490" s="22" t="s">
        <v>61</v>
      </c>
      <c r="N490" s="22" t="s">
        <v>250</v>
      </c>
      <c r="O490" s="22" t="s">
        <v>1193</v>
      </c>
      <c r="P490" s="22" t="s">
        <v>666</v>
      </c>
      <c r="Q490" s="309">
        <f>COUNTIF('Hedef Liste'!A:A,A490)</f>
        <v>1</v>
      </c>
    </row>
    <row r="491" hidden="1">
      <c r="A491" s="22" t="s">
        <v>1837</v>
      </c>
      <c r="B491" s="22" t="s">
        <v>1838</v>
      </c>
      <c r="C491" s="306" t="s">
        <v>3959</v>
      </c>
      <c r="D491" s="22" t="s">
        <v>100</v>
      </c>
      <c r="E491" s="307">
        <v>442.0</v>
      </c>
      <c r="F491" s="307">
        <v>31.0</v>
      </c>
      <c r="G491" s="307">
        <v>9.0</v>
      </c>
      <c r="H491" s="307">
        <v>6.0</v>
      </c>
      <c r="I491" s="307">
        <v>15.0</v>
      </c>
      <c r="J491" s="308">
        <v>0.6</v>
      </c>
      <c r="K491" s="22" t="s">
        <v>1839</v>
      </c>
      <c r="L491" s="22">
        <v>5.331583138E9</v>
      </c>
      <c r="M491" s="22" t="s">
        <v>71</v>
      </c>
      <c r="N491" s="22" t="s">
        <v>1582</v>
      </c>
      <c r="O491" s="22" t="s">
        <v>1840</v>
      </c>
      <c r="P491" s="22" t="s">
        <v>666</v>
      </c>
      <c r="Q491" s="309">
        <f>COUNTIF('Hedef Liste'!A:A,A491)</f>
        <v>1</v>
      </c>
    </row>
    <row r="492" hidden="1">
      <c r="A492" s="22" t="s">
        <v>876</v>
      </c>
      <c r="B492" s="22" t="s">
        <v>877</v>
      </c>
      <c r="C492" s="306" t="s">
        <v>3959</v>
      </c>
      <c r="D492" s="22" t="s">
        <v>69</v>
      </c>
      <c r="E492" s="307">
        <v>65.0</v>
      </c>
      <c r="F492" s="307">
        <v>14.0</v>
      </c>
      <c r="G492" s="307">
        <v>62.0</v>
      </c>
      <c r="H492" s="307">
        <v>24.0</v>
      </c>
      <c r="I492" s="307">
        <v>86.0</v>
      </c>
      <c r="J492" s="308">
        <v>0.72</v>
      </c>
      <c r="K492" s="22" t="s">
        <v>878</v>
      </c>
      <c r="L492" s="22">
        <v>3.523325138E9</v>
      </c>
      <c r="M492" s="22" t="s">
        <v>47</v>
      </c>
      <c r="N492" s="22" t="s">
        <v>448</v>
      </c>
      <c r="O492" s="22" t="s">
        <v>879</v>
      </c>
      <c r="P492" s="22" t="s">
        <v>666</v>
      </c>
      <c r="Q492" s="309">
        <f>COUNTIF('Hedef Liste'!A:A,A492)</f>
        <v>1</v>
      </c>
    </row>
    <row r="493" hidden="1">
      <c r="A493" s="22" t="s">
        <v>1845</v>
      </c>
      <c r="B493" s="22" t="s">
        <v>1846</v>
      </c>
      <c r="C493" s="306" t="s">
        <v>3963</v>
      </c>
      <c r="D493" s="22" t="s">
        <v>406</v>
      </c>
      <c r="E493" s="307">
        <v>417.0</v>
      </c>
      <c r="F493" s="310"/>
      <c r="G493" s="307">
        <v>0.0</v>
      </c>
      <c r="H493" s="307">
        <v>18.0</v>
      </c>
      <c r="I493" s="307">
        <v>18.0</v>
      </c>
      <c r="J493" s="308">
        <v>0.0</v>
      </c>
      <c r="K493" s="22" t="s">
        <v>1847</v>
      </c>
      <c r="L493" s="22">
        <v>3.524383858E9</v>
      </c>
      <c r="M493" s="22" t="s">
        <v>61</v>
      </c>
      <c r="N493" s="22" t="s">
        <v>250</v>
      </c>
      <c r="O493" s="22" t="s">
        <v>1848</v>
      </c>
      <c r="P493" s="22" t="s">
        <v>666</v>
      </c>
      <c r="Q493" s="309">
        <f>COUNTIF('Hedef Liste'!A:A,A493)</f>
        <v>1</v>
      </c>
    </row>
    <row r="494" hidden="1">
      <c r="A494" s="22" t="s">
        <v>717</v>
      </c>
      <c r="B494" s="22" t="s">
        <v>718</v>
      </c>
      <c r="C494" s="306" t="s">
        <v>3959</v>
      </c>
      <c r="D494" s="22" t="s">
        <v>165</v>
      </c>
      <c r="E494" s="307">
        <v>375.0</v>
      </c>
      <c r="F494" s="307">
        <v>88.0</v>
      </c>
      <c r="G494" s="307">
        <v>9.0</v>
      </c>
      <c r="H494" s="307">
        <v>14.0</v>
      </c>
      <c r="I494" s="307">
        <v>23.0</v>
      </c>
      <c r="J494" s="308">
        <v>0.39</v>
      </c>
      <c r="K494" s="22" t="s">
        <v>719</v>
      </c>
      <c r="L494" s="22">
        <v>3.524370514E9</v>
      </c>
      <c r="M494" s="22" t="s">
        <v>61</v>
      </c>
      <c r="N494" s="22" t="s">
        <v>107</v>
      </c>
      <c r="O494" s="22" t="s">
        <v>720</v>
      </c>
      <c r="P494" s="22" t="s">
        <v>666</v>
      </c>
      <c r="Q494" s="309">
        <f>COUNTIF('Hedef Liste'!A:A,A494)</f>
        <v>1</v>
      </c>
    </row>
    <row r="495" hidden="1">
      <c r="A495" s="22" t="s">
        <v>2680</v>
      </c>
      <c r="B495" s="22" t="s">
        <v>2681</v>
      </c>
      <c r="C495" s="306" t="s">
        <v>3959</v>
      </c>
      <c r="D495" s="22" t="s">
        <v>172</v>
      </c>
      <c r="E495" s="307">
        <v>1129.0</v>
      </c>
      <c r="F495" s="307">
        <v>42.0</v>
      </c>
      <c r="G495" s="307">
        <v>0.0</v>
      </c>
      <c r="H495" s="307">
        <v>74.0</v>
      </c>
      <c r="I495" s="307">
        <v>74.0</v>
      </c>
      <c r="J495" s="308">
        <v>0.0</v>
      </c>
      <c r="K495" s="22" t="s">
        <v>2682</v>
      </c>
      <c r="L495" s="22">
        <v>3.524372223E9</v>
      </c>
      <c r="M495" s="22" t="s">
        <v>61</v>
      </c>
      <c r="N495" s="22" t="s">
        <v>250</v>
      </c>
      <c r="O495" s="22" t="s">
        <v>2683</v>
      </c>
      <c r="P495" s="22" t="s">
        <v>666</v>
      </c>
      <c r="Q495" s="309">
        <f>COUNTIF('Hedef Liste'!A:A,A495)</f>
        <v>1</v>
      </c>
    </row>
    <row r="496" hidden="1">
      <c r="A496" s="22" t="s">
        <v>1971</v>
      </c>
      <c r="B496" s="22" t="s">
        <v>1972</v>
      </c>
      <c r="C496" s="306" t="s">
        <v>3959</v>
      </c>
      <c r="D496" s="22" t="s">
        <v>69</v>
      </c>
      <c r="F496" s="310"/>
      <c r="G496" s="307">
        <v>0.0</v>
      </c>
      <c r="H496" s="307">
        <v>18.0</v>
      </c>
      <c r="I496" s="307">
        <v>18.0</v>
      </c>
      <c r="J496" s="308">
        <v>0.0</v>
      </c>
      <c r="K496" s="22" t="s">
        <v>1973</v>
      </c>
      <c r="L496" s="22">
        <v>5.074086767E9</v>
      </c>
      <c r="M496" s="22" t="s">
        <v>47</v>
      </c>
      <c r="N496" s="22" t="s">
        <v>1085</v>
      </c>
      <c r="O496" s="22" t="s">
        <v>1974</v>
      </c>
      <c r="P496" s="22" t="s">
        <v>666</v>
      </c>
      <c r="Q496" s="309">
        <f>COUNTIF('Hedef Liste'!A:A,A496)</f>
        <v>1</v>
      </c>
    </row>
    <row r="497" hidden="1">
      <c r="A497" s="22" t="s">
        <v>4412</v>
      </c>
      <c r="B497" s="22" t="s">
        <v>4413</v>
      </c>
      <c r="C497" s="306" t="s">
        <v>3959</v>
      </c>
      <c r="D497" s="22" t="s">
        <v>100</v>
      </c>
      <c r="E497" s="307">
        <v>12.0</v>
      </c>
      <c r="F497" s="307">
        <v>2.0</v>
      </c>
      <c r="G497" s="307">
        <v>65.0</v>
      </c>
      <c r="H497" s="307">
        <v>30.0</v>
      </c>
      <c r="I497" s="307">
        <v>95.0</v>
      </c>
      <c r="J497" s="308">
        <v>0.68</v>
      </c>
      <c r="K497" s="22" t="s">
        <v>4414</v>
      </c>
      <c r="L497" s="22">
        <v>5.317005002E9</v>
      </c>
      <c r="M497" s="22" t="s">
        <v>47</v>
      </c>
      <c r="N497" s="22" t="s">
        <v>1085</v>
      </c>
      <c r="O497" s="22" t="s">
        <v>4415</v>
      </c>
      <c r="P497" s="22" t="s">
        <v>3962</v>
      </c>
      <c r="Q497" s="309">
        <f>COUNTIF('Hedef Liste'!A:A,A497)</f>
        <v>0</v>
      </c>
    </row>
    <row r="498" hidden="1">
      <c r="A498" s="22" t="s">
        <v>466</v>
      </c>
      <c r="B498" s="22" t="s">
        <v>467</v>
      </c>
      <c r="C498" s="306" t="s">
        <v>3963</v>
      </c>
      <c r="D498" s="22" t="s">
        <v>69</v>
      </c>
      <c r="F498" s="310"/>
      <c r="G498" s="307">
        <v>0.0</v>
      </c>
      <c r="H498" s="307">
        <v>13.0</v>
      </c>
      <c r="I498" s="307">
        <v>13.0</v>
      </c>
      <c r="J498" s="308">
        <v>0.0</v>
      </c>
      <c r="K498" s="22" t="s">
        <v>468</v>
      </c>
      <c r="L498" s="22">
        <v>5.418978731E9</v>
      </c>
      <c r="M498" s="22" t="s">
        <v>71</v>
      </c>
      <c r="N498" s="22" t="s">
        <v>179</v>
      </c>
      <c r="O498" s="22" t="s">
        <v>469</v>
      </c>
      <c r="P498" s="22" t="s">
        <v>666</v>
      </c>
      <c r="Q498" s="309">
        <f>COUNTIF('Hedef Liste'!A:A,A498)</f>
        <v>1</v>
      </c>
    </row>
    <row r="499" hidden="1">
      <c r="A499" s="22" t="s">
        <v>745</v>
      </c>
      <c r="B499" s="22" t="s">
        <v>746</v>
      </c>
      <c r="C499" s="306" t="s">
        <v>3959</v>
      </c>
      <c r="D499" s="22" t="s">
        <v>172</v>
      </c>
      <c r="E499" s="310"/>
      <c r="F499" s="310"/>
      <c r="G499" s="307">
        <v>0.0</v>
      </c>
      <c r="H499" s="307">
        <v>13.0</v>
      </c>
      <c r="I499" s="307">
        <v>13.0</v>
      </c>
      <c r="J499" s="308">
        <v>0.0</v>
      </c>
      <c r="K499" s="22" t="s">
        <v>747</v>
      </c>
      <c r="L499" s="22">
        <v>5.41520028E8</v>
      </c>
      <c r="M499" s="22" t="s">
        <v>71</v>
      </c>
      <c r="N499" s="22" t="s">
        <v>748</v>
      </c>
      <c r="O499" s="22" t="s">
        <v>749</v>
      </c>
      <c r="P499" s="22" t="s">
        <v>666</v>
      </c>
      <c r="Q499" s="309">
        <f>COUNTIF('Hedef Liste'!A:A,A499)</f>
        <v>1</v>
      </c>
    </row>
    <row r="500" hidden="1">
      <c r="A500" s="22" t="s">
        <v>2524</v>
      </c>
      <c r="B500" s="22" t="s">
        <v>2525</v>
      </c>
      <c r="C500" s="306" t="s">
        <v>3959</v>
      </c>
      <c r="D500" s="22" t="s">
        <v>172</v>
      </c>
      <c r="E500" s="310"/>
      <c r="F500" s="310"/>
      <c r="G500" s="307">
        <v>0.0</v>
      </c>
      <c r="H500" s="307">
        <v>37.0</v>
      </c>
      <c r="I500" s="307">
        <v>37.0</v>
      </c>
      <c r="J500" s="308">
        <v>0.0</v>
      </c>
      <c r="K500" s="22" t="s">
        <v>2526</v>
      </c>
      <c r="L500" s="22">
        <v>3.52666192E9</v>
      </c>
      <c r="M500" s="22" t="s">
        <v>61</v>
      </c>
      <c r="N500" s="22" t="s">
        <v>107</v>
      </c>
      <c r="O500" s="22" t="s">
        <v>2527</v>
      </c>
      <c r="P500" s="22" t="s">
        <v>666</v>
      </c>
      <c r="Q500" s="309">
        <f>COUNTIF('Hedef Liste'!A:A,A500)</f>
        <v>1</v>
      </c>
    </row>
    <row r="501" hidden="1">
      <c r="A501" s="22" t="s">
        <v>2435</v>
      </c>
      <c r="B501" s="22" t="s">
        <v>2436</v>
      </c>
      <c r="C501" s="306" t="s">
        <v>3959</v>
      </c>
      <c r="D501" s="22" t="s">
        <v>100</v>
      </c>
      <c r="E501" s="307">
        <v>4.0</v>
      </c>
      <c r="F501" s="307">
        <v>4.0</v>
      </c>
      <c r="G501" s="307">
        <v>0.0</v>
      </c>
      <c r="H501" s="307">
        <v>6.0</v>
      </c>
      <c r="I501" s="307">
        <v>6.0</v>
      </c>
      <c r="J501" s="308">
        <v>0.0</v>
      </c>
      <c r="K501" s="22" t="s">
        <v>2437</v>
      </c>
      <c r="L501" s="22">
        <v>3.522280024E9</v>
      </c>
      <c r="M501" s="22" t="s">
        <v>47</v>
      </c>
      <c r="N501" s="22" t="s">
        <v>1552</v>
      </c>
      <c r="O501" s="22" t="s">
        <v>1693</v>
      </c>
      <c r="P501" s="22" t="s">
        <v>666</v>
      </c>
      <c r="Q501" s="309">
        <f>COUNTIF('Hedef Liste'!A:A,A501)</f>
        <v>1</v>
      </c>
    </row>
    <row r="502" hidden="1">
      <c r="A502" s="22" t="s">
        <v>2110</v>
      </c>
      <c r="B502" s="22" t="s">
        <v>2111</v>
      </c>
      <c r="C502" s="306" t="s">
        <v>3959</v>
      </c>
      <c r="D502" s="22" t="s">
        <v>165</v>
      </c>
      <c r="E502" s="307">
        <v>7.0</v>
      </c>
      <c r="F502" s="310"/>
      <c r="G502" s="307">
        <v>0.0</v>
      </c>
      <c r="H502" s="307">
        <v>8.0</v>
      </c>
      <c r="I502" s="307">
        <v>8.0</v>
      </c>
      <c r="J502" s="308">
        <v>0.0</v>
      </c>
      <c r="K502" s="22" t="s">
        <v>2112</v>
      </c>
      <c r="L502" s="22">
        <v>3.524310132E9</v>
      </c>
      <c r="M502" s="22" t="s">
        <v>61</v>
      </c>
      <c r="N502" s="22" t="s">
        <v>62</v>
      </c>
      <c r="O502" s="22" t="s">
        <v>2113</v>
      </c>
      <c r="P502" s="22" t="s">
        <v>666</v>
      </c>
      <c r="Q502" s="309">
        <f>COUNTIF('Hedef Liste'!A:A,A502)</f>
        <v>1</v>
      </c>
    </row>
    <row r="503" hidden="1">
      <c r="A503" s="22" t="s">
        <v>1434</v>
      </c>
      <c r="B503" s="22" t="s">
        <v>1435</v>
      </c>
      <c r="C503" s="306" t="s">
        <v>3959</v>
      </c>
      <c r="D503" s="22" t="s">
        <v>100</v>
      </c>
      <c r="E503" s="307">
        <v>19.0</v>
      </c>
      <c r="F503" s="307">
        <v>14.0</v>
      </c>
      <c r="G503" s="307">
        <v>0.0</v>
      </c>
      <c r="H503" s="307">
        <v>20.0</v>
      </c>
      <c r="I503" s="307">
        <v>20.0</v>
      </c>
      <c r="J503" s="308">
        <v>0.0</v>
      </c>
      <c r="K503" s="22" t="s">
        <v>1436</v>
      </c>
      <c r="L503" s="22">
        <v>5.013331038E9</v>
      </c>
      <c r="M503" s="22" t="s">
        <v>47</v>
      </c>
      <c r="N503" s="22" t="s">
        <v>131</v>
      </c>
      <c r="O503" s="22" t="s">
        <v>1437</v>
      </c>
      <c r="P503" s="22" t="s">
        <v>666</v>
      </c>
      <c r="Q503" s="309">
        <f>COUNTIF('Hedef Liste'!A:A,A503)</f>
        <v>1</v>
      </c>
    </row>
    <row r="504" hidden="1">
      <c r="A504" s="22" t="s">
        <v>1311</v>
      </c>
      <c r="B504" s="22" t="s">
        <v>1312</v>
      </c>
      <c r="C504" s="306" t="s">
        <v>3959</v>
      </c>
      <c r="D504" s="22" t="s">
        <v>172</v>
      </c>
      <c r="E504" s="307">
        <v>20.0</v>
      </c>
      <c r="F504" s="310"/>
      <c r="G504" s="307">
        <v>0.0</v>
      </c>
      <c r="H504" s="307">
        <v>12.0</v>
      </c>
      <c r="I504" s="307">
        <v>12.0</v>
      </c>
      <c r="J504" s="308">
        <v>0.0</v>
      </c>
      <c r="K504" s="22" t="s">
        <v>1313</v>
      </c>
      <c r="L504" s="22">
        <v>3.524313333E9</v>
      </c>
      <c r="M504" s="22" t="s">
        <v>61</v>
      </c>
      <c r="N504" s="22" t="s">
        <v>62</v>
      </c>
      <c r="O504" s="22" t="s">
        <v>1314</v>
      </c>
      <c r="P504" s="22" t="s">
        <v>666</v>
      </c>
      <c r="Q504" s="309">
        <f>COUNTIF('Hedef Liste'!A:A,A504)</f>
        <v>1</v>
      </c>
    </row>
    <row r="505">
      <c r="A505" s="22" t="s">
        <v>2711</v>
      </c>
      <c r="B505" s="22" t="s">
        <v>2712</v>
      </c>
      <c r="C505" s="306" t="s">
        <v>3959</v>
      </c>
      <c r="D505" s="22" t="s">
        <v>406</v>
      </c>
      <c r="E505" s="310"/>
      <c r="F505" s="310"/>
      <c r="G505" s="307">
        <v>0.0</v>
      </c>
      <c r="H505" s="307">
        <v>40.0</v>
      </c>
      <c r="I505" s="307">
        <v>40.0</v>
      </c>
      <c r="J505" s="308">
        <v>0.0</v>
      </c>
      <c r="K505" s="22" t="s">
        <v>1551</v>
      </c>
      <c r="L505" s="22">
        <v>3.522244418E9</v>
      </c>
      <c r="M505" s="22" t="s">
        <v>71</v>
      </c>
      <c r="N505" s="22" t="s">
        <v>588</v>
      </c>
      <c r="O505" s="22" t="s">
        <v>1553</v>
      </c>
      <c r="P505" s="22" t="s">
        <v>666</v>
      </c>
      <c r="Q505" s="309">
        <f>COUNTIF('Hedef Liste'!A:A,A505)</f>
        <v>1</v>
      </c>
    </row>
    <row r="506" hidden="1">
      <c r="A506" s="22" t="s">
        <v>243</v>
      </c>
      <c r="B506" s="22" t="s">
        <v>244</v>
      </c>
      <c r="C506" s="306" t="s">
        <v>3959</v>
      </c>
      <c r="D506" s="22" t="s">
        <v>100</v>
      </c>
      <c r="E506" s="307">
        <v>405.0</v>
      </c>
      <c r="F506" s="307">
        <v>390.0</v>
      </c>
      <c r="G506" s="307">
        <v>0.0</v>
      </c>
      <c r="H506" s="307">
        <v>16.0</v>
      </c>
      <c r="I506" s="307">
        <v>16.0</v>
      </c>
      <c r="J506" s="308">
        <v>0.0</v>
      </c>
      <c r="K506" s="22" t="s">
        <v>245</v>
      </c>
      <c r="L506" s="22">
        <v>5.417382611E9</v>
      </c>
      <c r="M506" s="22" t="s">
        <v>61</v>
      </c>
      <c r="N506" s="22" t="s">
        <v>62</v>
      </c>
      <c r="O506" s="22" t="s">
        <v>246</v>
      </c>
      <c r="P506" s="22" t="s">
        <v>666</v>
      </c>
      <c r="Q506" s="309">
        <f>COUNTIF('Hedef Liste'!A:A,A506)</f>
        <v>1</v>
      </c>
    </row>
    <row r="507" hidden="1">
      <c r="A507" s="22" t="s">
        <v>388</v>
      </c>
      <c r="B507" s="22" t="s">
        <v>389</v>
      </c>
      <c r="C507" s="306" t="s">
        <v>3959</v>
      </c>
      <c r="D507" s="22" t="s">
        <v>83</v>
      </c>
      <c r="E507" s="307">
        <v>572.0</v>
      </c>
      <c r="F507" s="307">
        <v>97.0</v>
      </c>
      <c r="G507" s="307">
        <v>16.0</v>
      </c>
      <c r="H507" s="307">
        <v>9.0</v>
      </c>
      <c r="I507" s="307">
        <v>25.0</v>
      </c>
      <c r="J507" s="308">
        <v>0.64</v>
      </c>
      <c r="K507" s="22" t="s">
        <v>390</v>
      </c>
      <c r="L507" s="22">
        <v>3.522222736E9</v>
      </c>
      <c r="M507" s="22" t="s">
        <v>47</v>
      </c>
      <c r="N507" s="22" t="s">
        <v>391</v>
      </c>
      <c r="O507" s="22" t="s">
        <v>392</v>
      </c>
      <c r="P507" s="22" t="s">
        <v>666</v>
      </c>
      <c r="Q507" s="309">
        <f>COUNTIF('Hedef Liste'!A:A,A507)</f>
        <v>1</v>
      </c>
    </row>
    <row r="508">
      <c r="A508" s="22" t="s">
        <v>2087</v>
      </c>
      <c r="B508" s="22" t="s">
        <v>2088</v>
      </c>
      <c r="C508" s="306" t="s">
        <v>3959</v>
      </c>
      <c r="D508" s="22" t="s">
        <v>69</v>
      </c>
      <c r="E508" s="307">
        <v>65.0</v>
      </c>
      <c r="F508" s="307">
        <v>65.0</v>
      </c>
      <c r="G508" s="307">
        <v>0.0</v>
      </c>
      <c r="H508" s="307">
        <v>23.0</v>
      </c>
      <c r="I508" s="307">
        <v>23.0</v>
      </c>
      <c r="J508" s="308">
        <v>0.0</v>
      </c>
      <c r="K508" s="22" t="s">
        <v>1936</v>
      </c>
      <c r="L508" s="22">
        <v>5.510798018E9</v>
      </c>
      <c r="M508" s="22" t="s">
        <v>61</v>
      </c>
      <c r="N508" s="22" t="s">
        <v>250</v>
      </c>
      <c r="O508" s="22" t="s">
        <v>1937</v>
      </c>
      <c r="P508" s="22" t="s">
        <v>666</v>
      </c>
      <c r="Q508" s="309">
        <f>COUNTIF('Hedef Liste'!A:A,A508)</f>
        <v>1</v>
      </c>
    </row>
    <row r="509" hidden="1">
      <c r="A509" s="22" t="s">
        <v>4416</v>
      </c>
      <c r="B509" s="22" t="s">
        <v>4417</v>
      </c>
      <c r="C509" s="306" t="s">
        <v>3959</v>
      </c>
      <c r="D509" s="22" t="s">
        <v>100</v>
      </c>
      <c r="E509" s="307">
        <v>4.0</v>
      </c>
      <c r="F509" s="307">
        <v>4.0</v>
      </c>
      <c r="G509" s="307">
        <v>49.0</v>
      </c>
      <c r="H509" s="307">
        <v>7.0</v>
      </c>
      <c r="I509" s="307">
        <v>56.0</v>
      </c>
      <c r="J509" s="308">
        <v>0.88</v>
      </c>
      <c r="K509" s="22" t="s">
        <v>3967</v>
      </c>
      <c r="L509" s="22">
        <v>5.304681087E9</v>
      </c>
      <c r="M509" s="22" t="s">
        <v>71</v>
      </c>
      <c r="N509" s="22" t="s">
        <v>214</v>
      </c>
      <c r="O509" s="22" t="s">
        <v>4418</v>
      </c>
      <c r="P509" s="22" t="s">
        <v>3962</v>
      </c>
      <c r="Q509" s="309">
        <f>COUNTIF('Hedef Liste'!A:A,A509)</f>
        <v>0</v>
      </c>
    </row>
    <row r="510">
      <c r="A510" s="22" t="s">
        <v>2478</v>
      </c>
      <c r="B510" s="22" t="s">
        <v>2479</v>
      </c>
      <c r="C510" s="306" t="s">
        <v>3959</v>
      </c>
      <c r="D510" s="22" t="s">
        <v>172</v>
      </c>
      <c r="E510" s="310"/>
      <c r="F510" s="310"/>
      <c r="G510" s="307">
        <v>0.0</v>
      </c>
      <c r="H510" s="307">
        <v>9.0</v>
      </c>
      <c r="I510" s="307">
        <v>9.0</v>
      </c>
      <c r="J510" s="308">
        <v>0.0</v>
      </c>
      <c r="K510" s="22" t="s">
        <v>2480</v>
      </c>
      <c r="L510" s="22">
        <v>3.52330523E9</v>
      </c>
      <c r="M510" s="22" t="s">
        <v>47</v>
      </c>
      <c r="N510" s="22" t="s">
        <v>1054</v>
      </c>
      <c r="O510" s="22" t="s">
        <v>2481</v>
      </c>
      <c r="P510" s="22" t="s">
        <v>666</v>
      </c>
      <c r="Q510" s="309">
        <f>COUNTIF('Hedef Liste'!A:A,A510)</f>
        <v>1</v>
      </c>
    </row>
    <row r="511">
      <c r="A511" s="22" t="s">
        <v>2192</v>
      </c>
      <c r="B511" s="22" t="s">
        <v>2193</v>
      </c>
      <c r="C511" s="306" t="s">
        <v>3959</v>
      </c>
      <c r="D511" s="22" t="s">
        <v>845</v>
      </c>
      <c r="E511" s="307">
        <v>1.0</v>
      </c>
      <c r="F511" s="307">
        <v>1.0</v>
      </c>
      <c r="G511" s="307">
        <v>0.0</v>
      </c>
      <c r="H511" s="307">
        <v>16.0</v>
      </c>
      <c r="I511" s="307">
        <v>16.0</v>
      </c>
      <c r="J511" s="308">
        <v>0.0</v>
      </c>
      <c r="K511" s="22" t="s">
        <v>2194</v>
      </c>
      <c r="L511" s="22">
        <v>3.525020259E9</v>
      </c>
      <c r="M511" s="22" t="s">
        <v>61</v>
      </c>
      <c r="N511" s="22" t="s">
        <v>250</v>
      </c>
      <c r="O511" s="22" t="s">
        <v>2195</v>
      </c>
      <c r="P511" s="22" t="s">
        <v>666</v>
      </c>
      <c r="Q511" s="309">
        <f>COUNTIF('Hedef Liste'!A:A,A511)</f>
        <v>1</v>
      </c>
    </row>
    <row r="512">
      <c r="A512" s="22" t="s">
        <v>790</v>
      </c>
      <c r="B512" s="22" t="s">
        <v>791</v>
      </c>
      <c r="C512" s="306" t="s">
        <v>3959</v>
      </c>
      <c r="D512" s="22" t="s">
        <v>653</v>
      </c>
      <c r="E512" s="307">
        <v>49.0</v>
      </c>
      <c r="F512" s="307">
        <v>49.0</v>
      </c>
      <c r="G512" s="307">
        <v>0.0</v>
      </c>
      <c r="H512" s="307">
        <v>26.0</v>
      </c>
      <c r="I512" s="307">
        <v>26.0</v>
      </c>
      <c r="J512" s="308">
        <v>0.0</v>
      </c>
      <c r="K512" s="22" t="s">
        <v>792</v>
      </c>
      <c r="L512" s="22">
        <v>3.524370002E9</v>
      </c>
      <c r="M512" s="22" t="s">
        <v>61</v>
      </c>
      <c r="N512" s="22" t="s">
        <v>107</v>
      </c>
      <c r="O512" s="22" t="s">
        <v>793</v>
      </c>
      <c r="P512" s="22" t="s">
        <v>666</v>
      </c>
      <c r="Q512" s="309">
        <f>COUNTIF('Hedef Liste'!A:A,A512)</f>
        <v>1</v>
      </c>
    </row>
    <row r="513">
      <c r="A513" s="22" t="s">
        <v>1448</v>
      </c>
      <c r="B513" s="22" t="s">
        <v>1449</v>
      </c>
      <c r="C513" s="306" t="s">
        <v>3959</v>
      </c>
      <c r="D513" s="22" t="s">
        <v>100</v>
      </c>
      <c r="E513" s="307">
        <v>4.0</v>
      </c>
      <c r="F513" s="307">
        <v>4.0</v>
      </c>
      <c r="G513" s="307">
        <v>0.0</v>
      </c>
      <c r="H513" s="307">
        <v>12.0</v>
      </c>
      <c r="I513" s="307">
        <v>12.0</v>
      </c>
      <c r="J513" s="308">
        <v>0.0</v>
      </c>
      <c r="K513" s="22" t="s">
        <v>1450</v>
      </c>
      <c r="L513" s="22">
        <v>5.392228359E9</v>
      </c>
      <c r="M513" s="22" t="s">
        <v>47</v>
      </c>
      <c r="N513" s="22" t="s">
        <v>138</v>
      </c>
      <c r="O513" s="22" t="s">
        <v>1451</v>
      </c>
      <c r="P513" s="22" t="s">
        <v>666</v>
      </c>
      <c r="Q513" s="309">
        <f>COUNTIF('Hedef Liste'!A:A,A513)</f>
        <v>1</v>
      </c>
    </row>
    <row r="514">
      <c r="A514" s="22" t="s">
        <v>1990</v>
      </c>
      <c r="B514" s="22" t="s">
        <v>1991</v>
      </c>
      <c r="C514" s="306" t="s">
        <v>3959</v>
      </c>
      <c r="D514" s="22" t="s">
        <v>100</v>
      </c>
      <c r="E514" s="307">
        <v>5.0</v>
      </c>
      <c r="F514" s="307">
        <v>5.0</v>
      </c>
      <c r="G514" s="307">
        <v>0.0</v>
      </c>
      <c r="H514" s="307">
        <v>9.0</v>
      </c>
      <c r="I514" s="307">
        <v>9.0</v>
      </c>
      <c r="J514" s="308">
        <v>0.0</v>
      </c>
      <c r="K514" s="22" t="s">
        <v>1992</v>
      </c>
      <c r="L514" s="22">
        <v>3.523318866E9</v>
      </c>
      <c r="M514" s="22" t="s">
        <v>47</v>
      </c>
      <c r="N514" s="22" t="s">
        <v>277</v>
      </c>
      <c r="O514" s="22" t="s">
        <v>1993</v>
      </c>
      <c r="P514" s="22" t="s">
        <v>666</v>
      </c>
      <c r="Q514" s="309">
        <f>COUNTIF('Hedef Liste'!A:A,A514)</f>
        <v>1</v>
      </c>
    </row>
    <row r="515" hidden="1">
      <c r="A515" s="22" t="s">
        <v>1438</v>
      </c>
      <c r="B515" s="22" t="s">
        <v>1439</v>
      </c>
      <c r="C515" s="306" t="s">
        <v>3959</v>
      </c>
      <c r="D515" s="22" t="s">
        <v>100</v>
      </c>
      <c r="E515" s="307">
        <v>90.0</v>
      </c>
      <c r="F515" s="307">
        <v>6.0</v>
      </c>
      <c r="G515" s="307">
        <v>0.0</v>
      </c>
      <c r="H515" s="307">
        <v>8.0</v>
      </c>
      <c r="I515" s="307">
        <v>8.0</v>
      </c>
      <c r="J515" s="308">
        <v>0.0</v>
      </c>
      <c r="K515" s="22" t="s">
        <v>1440</v>
      </c>
      <c r="L515" s="22">
        <v>5.066082974E9</v>
      </c>
      <c r="M515" s="22" t="s">
        <v>47</v>
      </c>
      <c r="N515" s="22" t="s">
        <v>1085</v>
      </c>
      <c r="O515" s="22" t="s">
        <v>1441</v>
      </c>
      <c r="P515" s="22" t="s">
        <v>666</v>
      </c>
      <c r="Q515" s="309">
        <f>COUNTIF('Hedef Liste'!A:A,A515)</f>
        <v>1</v>
      </c>
    </row>
    <row r="516" hidden="1">
      <c r="A516" s="22" t="s">
        <v>1088</v>
      </c>
      <c r="B516" s="22" t="s">
        <v>1089</v>
      </c>
      <c r="C516" s="306" t="s">
        <v>3959</v>
      </c>
      <c r="D516" s="22" t="s">
        <v>165</v>
      </c>
      <c r="E516" s="307">
        <v>762.0</v>
      </c>
      <c r="F516" s="307">
        <v>106.0</v>
      </c>
      <c r="G516" s="307">
        <v>0.0</v>
      </c>
      <c r="H516" s="307">
        <v>31.0</v>
      </c>
      <c r="I516" s="307">
        <v>31.0</v>
      </c>
      <c r="J516" s="308">
        <v>0.0</v>
      </c>
      <c r="K516" s="22" t="s">
        <v>1090</v>
      </c>
      <c r="L516" s="22">
        <v>3.523270505E9</v>
      </c>
      <c r="M516" s="22" t="s">
        <v>47</v>
      </c>
      <c r="N516" s="22" t="s">
        <v>1091</v>
      </c>
      <c r="O516" s="22" t="s">
        <v>1092</v>
      </c>
      <c r="P516" s="22" t="s">
        <v>666</v>
      </c>
      <c r="Q516" s="309">
        <f>COUNTIF('Hedef Liste'!A:A,A516)</f>
        <v>1</v>
      </c>
    </row>
    <row r="517" hidden="1">
      <c r="A517" s="22" t="s">
        <v>146</v>
      </c>
      <c r="B517" s="22" t="s">
        <v>147</v>
      </c>
      <c r="C517" s="306" t="s">
        <v>3959</v>
      </c>
      <c r="D517" s="22" t="s">
        <v>100</v>
      </c>
      <c r="E517" s="307">
        <v>10.0</v>
      </c>
      <c r="F517" s="307">
        <v>6.0</v>
      </c>
      <c r="G517" s="307">
        <v>0.0</v>
      </c>
      <c r="H517" s="307">
        <v>13.0</v>
      </c>
      <c r="I517" s="307">
        <v>13.0</v>
      </c>
      <c r="J517" s="308">
        <v>0.0</v>
      </c>
      <c r="K517" s="22" t="s">
        <v>148</v>
      </c>
      <c r="L517" s="22">
        <v>5.345604096E9</v>
      </c>
      <c r="M517" s="22" t="s">
        <v>61</v>
      </c>
      <c r="N517" s="22" t="s">
        <v>62</v>
      </c>
      <c r="O517" s="22" t="s">
        <v>149</v>
      </c>
      <c r="P517" s="22" t="s">
        <v>666</v>
      </c>
      <c r="Q517" s="309">
        <f>COUNTIF('Hedef Liste'!A:A,A517)</f>
        <v>1</v>
      </c>
    </row>
    <row r="518" hidden="1">
      <c r="A518" s="22" t="s">
        <v>1077</v>
      </c>
      <c r="B518" s="22" t="s">
        <v>1078</v>
      </c>
      <c r="C518" s="306" t="s">
        <v>3959</v>
      </c>
      <c r="D518" s="22" t="s">
        <v>453</v>
      </c>
      <c r="E518" s="307">
        <v>47.0</v>
      </c>
      <c r="F518" s="307">
        <v>4.0</v>
      </c>
      <c r="G518" s="307">
        <v>4.0</v>
      </c>
      <c r="H518" s="307">
        <v>5.0</v>
      </c>
      <c r="I518" s="307">
        <v>9.0</v>
      </c>
      <c r="J518" s="308">
        <v>0.44</v>
      </c>
      <c r="K518" s="22" t="s">
        <v>4419</v>
      </c>
      <c r="L518" s="22">
        <v>3.523384906E9</v>
      </c>
      <c r="M518" s="22" t="s">
        <v>71</v>
      </c>
      <c r="N518" s="22" t="s">
        <v>179</v>
      </c>
      <c r="O518" s="22" t="s">
        <v>1080</v>
      </c>
      <c r="P518" s="22" t="s">
        <v>666</v>
      </c>
      <c r="Q518" s="309">
        <f>COUNTIF('Hedef Liste'!A:A,A518)</f>
        <v>1</v>
      </c>
    </row>
    <row r="519" hidden="1">
      <c r="A519" s="22" t="s">
        <v>755</v>
      </c>
      <c r="B519" s="22" t="s">
        <v>756</v>
      </c>
      <c r="C519" s="306" t="s">
        <v>3959</v>
      </c>
      <c r="D519" s="22" t="s">
        <v>165</v>
      </c>
      <c r="E519" s="307">
        <v>1781.0</v>
      </c>
      <c r="F519" s="307">
        <v>1.0</v>
      </c>
      <c r="G519" s="307">
        <v>0.0</v>
      </c>
      <c r="H519" s="307">
        <v>4.0</v>
      </c>
      <c r="I519" s="307">
        <v>4.0</v>
      </c>
      <c r="J519" s="308">
        <v>0.0</v>
      </c>
      <c r="K519" s="22" t="s">
        <v>757</v>
      </c>
      <c r="L519" s="22">
        <v>3.52232317E9</v>
      </c>
      <c r="M519" s="22" t="s">
        <v>47</v>
      </c>
      <c r="N519" s="22" t="s">
        <v>408</v>
      </c>
      <c r="O519" s="22" t="s">
        <v>758</v>
      </c>
      <c r="P519" s="22" t="s">
        <v>666</v>
      </c>
      <c r="Q519" s="309">
        <f>COUNTIF('Hedef Liste'!A:A,A519)</f>
        <v>1</v>
      </c>
    </row>
    <row r="520" hidden="1">
      <c r="A520" s="22" t="s">
        <v>2361</v>
      </c>
      <c r="B520" s="22" t="s">
        <v>2362</v>
      </c>
      <c r="C520" s="306" t="s">
        <v>3959</v>
      </c>
      <c r="D520" s="22" t="s">
        <v>69</v>
      </c>
      <c r="E520" s="307">
        <v>33.0</v>
      </c>
      <c r="F520" s="307">
        <v>11.0</v>
      </c>
      <c r="G520" s="307">
        <v>25.0</v>
      </c>
      <c r="H520" s="307">
        <v>20.0</v>
      </c>
      <c r="I520" s="307">
        <v>45.0</v>
      </c>
      <c r="J520" s="308">
        <v>0.56</v>
      </c>
      <c r="K520" s="22" t="s">
        <v>1396</v>
      </c>
      <c r="L520" s="22">
        <v>3.523440132E9</v>
      </c>
      <c r="M520" s="22" t="s">
        <v>71</v>
      </c>
      <c r="N520" s="22" t="s">
        <v>214</v>
      </c>
      <c r="O520" s="22" t="s">
        <v>1397</v>
      </c>
      <c r="P520" s="22" t="s">
        <v>666</v>
      </c>
      <c r="Q520" s="309">
        <f>COUNTIF('Hedef Liste'!A:A,A520)</f>
        <v>1</v>
      </c>
    </row>
    <row r="521" hidden="1">
      <c r="A521" s="22" t="s">
        <v>4420</v>
      </c>
      <c r="B521" s="22" t="s">
        <v>4421</v>
      </c>
      <c r="C521" s="306" t="s">
        <v>3959</v>
      </c>
      <c r="D521" s="22" t="s">
        <v>172</v>
      </c>
      <c r="E521" s="307">
        <v>2615.0</v>
      </c>
      <c r="F521" s="307">
        <v>473.0</v>
      </c>
      <c r="G521" s="307">
        <v>65.0</v>
      </c>
      <c r="H521" s="307">
        <v>5.0</v>
      </c>
      <c r="I521" s="307">
        <v>70.0</v>
      </c>
      <c r="J521" s="308">
        <v>0.93</v>
      </c>
      <c r="K521" s="22" t="s">
        <v>4422</v>
      </c>
      <c r="L521" s="22">
        <v>5.522909018E9</v>
      </c>
      <c r="M521" s="22" t="s">
        <v>61</v>
      </c>
      <c r="N521" s="22" t="s">
        <v>2639</v>
      </c>
      <c r="O521" s="22" t="s">
        <v>4423</v>
      </c>
      <c r="P521" s="22" t="s">
        <v>666</v>
      </c>
      <c r="Q521" s="309">
        <f>COUNTIF('Hedef Liste'!A:A,A521)</f>
        <v>0</v>
      </c>
    </row>
    <row r="522" hidden="1">
      <c r="A522" s="22" t="s">
        <v>4424</v>
      </c>
      <c r="B522" s="22" t="s">
        <v>4425</v>
      </c>
      <c r="C522" s="306" t="s">
        <v>3959</v>
      </c>
      <c r="D522" s="22" t="s">
        <v>100</v>
      </c>
      <c r="E522" s="307">
        <v>29.0</v>
      </c>
      <c r="F522" s="310"/>
      <c r="G522" s="307">
        <v>82.0</v>
      </c>
      <c r="H522" s="307">
        <v>29.0</v>
      </c>
      <c r="I522" s="307">
        <v>111.0</v>
      </c>
      <c r="J522" s="308">
        <v>0.74</v>
      </c>
      <c r="K522" s="22" t="s">
        <v>4426</v>
      </c>
      <c r="L522" s="22">
        <v>5.072786319E9</v>
      </c>
      <c r="M522" s="22" t="s">
        <v>47</v>
      </c>
      <c r="N522" s="22" t="s">
        <v>1552</v>
      </c>
      <c r="O522" s="22" t="s">
        <v>4427</v>
      </c>
      <c r="P522" s="22" t="s">
        <v>3962</v>
      </c>
      <c r="Q522" s="309">
        <f>COUNTIF('Hedef Liste'!A:A,A522)</f>
        <v>0</v>
      </c>
    </row>
    <row r="523" hidden="1">
      <c r="A523" s="22" t="s">
        <v>2666</v>
      </c>
      <c r="B523" s="22" t="s">
        <v>2667</v>
      </c>
      <c r="C523" s="306" t="s">
        <v>3959</v>
      </c>
      <c r="D523" s="22" t="s">
        <v>406</v>
      </c>
      <c r="E523" s="307">
        <v>15.0</v>
      </c>
      <c r="F523" s="307">
        <v>4.0</v>
      </c>
      <c r="G523" s="307">
        <v>9.0</v>
      </c>
      <c r="H523" s="307">
        <v>0.0</v>
      </c>
      <c r="I523" s="307">
        <v>9.0</v>
      </c>
      <c r="J523" s="308">
        <v>1.0</v>
      </c>
      <c r="K523" s="22" t="s">
        <v>2668</v>
      </c>
      <c r="L523" s="22">
        <v>3.522208081E9</v>
      </c>
      <c r="M523" s="22" t="s">
        <v>47</v>
      </c>
      <c r="N523" s="22" t="s">
        <v>391</v>
      </c>
      <c r="O523" s="22" t="s">
        <v>2669</v>
      </c>
      <c r="P523" s="22" t="s">
        <v>666</v>
      </c>
      <c r="Q523" s="309">
        <f>COUNTIF('Hedef Liste'!A:A,A523)</f>
        <v>1</v>
      </c>
    </row>
    <row r="524" hidden="1">
      <c r="A524" s="22" t="s">
        <v>4428</v>
      </c>
      <c r="B524" s="22" t="s">
        <v>4429</v>
      </c>
      <c r="C524" s="306" t="s">
        <v>3959</v>
      </c>
      <c r="D524" s="22" t="s">
        <v>4168</v>
      </c>
      <c r="E524" s="307">
        <v>64.0</v>
      </c>
      <c r="F524" s="307">
        <v>16.0</v>
      </c>
      <c r="G524" s="307">
        <v>18.0</v>
      </c>
      <c r="H524" s="307">
        <v>9.0</v>
      </c>
      <c r="I524" s="307">
        <v>27.0</v>
      </c>
      <c r="J524" s="308">
        <v>0.67</v>
      </c>
      <c r="K524" s="22" t="s">
        <v>4347</v>
      </c>
      <c r="L524" s="22">
        <v>3.522222194E9</v>
      </c>
      <c r="M524" s="22" t="s">
        <v>47</v>
      </c>
      <c r="N524" s="22" t="s">
        <v>125</v>
      </c>
      <c r="O524" s="22" t="s">
        <v>4430</v>
      </c>
      <c r="P524" s="22" t="s">
        <v>4349</v>
      </c>
      <c r="Q524" s="309">
        <f>COUNTIF('Hedef Liste'!A:A,A524)</f>
        <v>0</v>
      </c>
    </row>
    <row r="525" hidden="1">
      <c r="A525" s="22" t="s">
        <v>1444</v>
      </c>
      <c r="B525" s="22" t="s">
        <v>1445</v>
      </c>
      <c r="C525" s="306" t="s">
        <v>3963</v>
      </c>
      <c r="D525" s="22" t="s">
        <v>100</v>
      </c>
      <c r="E525" s="307">
        <v>1.0</v>
      </c>
      <c r="F525" s="310"/>
      <c r="G525" s="307">
        <v>0.0</v>
      </c>
      <c r="H525" s="307">
        <v>25.0</v>
      </c>
      <c r="I525" s="307">
        <v>25.0</v>
      </c>
      <c r="J525" s="308">
        <v>0.0</v>
      </c>
      <c r="K525" s="22" t="s">
        <v>1446</v>
      </c>
      <c r="L525" s="22">
        <v>5.36352871E9</v>
      </c>
      <c r="M525" s="22" t="s">
        <v>47</v>
      </c>
      <c r="N525" s="22" t="s">
        <v>884</v>
      </c>
      <c r="O525" s="22" t="s">
        <v>1447</v>
      </c>
      <c r="P525" s="22" t="s">
        <v>666</v>
      </c>
      <c r="Q525" s="309">
        <f>COUNTIF('Hedef Liste'!A:A,A525)</f>
        <v>1</v>
      </c>
    </row>
    <row r="526" hidden="1">
      <c r="A526" s="22" t="s">
        <v>800</v>
      </c>
      <c r="B526" s="22" t="s">
        <v>801</v>
      </c>
      <c r="C526" s="306" t="s">
        <v>3959</v>
      </c>
      <c r="D526" s="22" t="s">
        <v>83</v>
      </c>
      <c r="E526" s="307">
        <v>179.0</v>
      </c>
      <c r="F526" s="307">
        <v>54.0</v>
      </c>
      <c r="G526" s="307">
        <v>25.0</v>
      </c>
      <c r="H526" s="307">
        <v>9.0</v>
      </c>
      <c r="I526" s="307">
        <v>34.0</v>
      </c>
      <c r="J526" s="308">
        <v>0.74</v>
      </c>
      <c r="K526" s="22" t="s">
        <v>802</v>
      </c>
      <c r="L526" s="22">
        <v>5.321713877E9</v>
      </c>
      <c r="M526" s="22" t="s">
        <v>71</v>
      </c>
      <c r="N526" s="22" t="s">
        <v>684</v>
      </c>
      <c r="O526" s="22" t="s">
        <v>803</v>
      </c>
      <c r="P526" s="22" t="s">
        <v>666</v>
      </c>
      <c r="Q526" s="309">
        <f>COUNTIF('Hedef Liste'!A:A,A526)</f>
        <v>1</v>
      </c>
    </row>
    <row r="527" hidden="1">
      <c r="A527" s="22" t="s">
        <v>1094</v>
      </c>
      <c r="B527" s="22" t="s">
        <v>1095</v>
      </c>
      <c r="C527" s="306" t="s">
        <v>3959</v>
      </c>
      <c r="D527" s="22" t="s">
        <v>406</v>
      </c>
      <c r="E527" s="307">
        <v>788.0</v>
      </c>
      <c r="F527" s="307">
        <v>48.0</v>
      </c>
      <c r="G527" s="307">
        <v>9.0</v>
      </c>
      <c r="H527" s="307">
        <v>17.0</v>
      </c>
      <c r="I527" s="307">
        <v>26.0</v>
      </c>
      <c r="J527" s="308">
        <v>0.35</v>
      </c>
      <c r="K527" s="22" t="s">
        <v>1096</v>
      </c>
      <c r="L527" s="22">
        <v>3.524380818E9</v>
      </c>
      <c r="M527" s="22" t="s">
        <v>61</v>
      </c>
      <c r="N527" s="22" t="s">
        <v>811</v>
      </c>
      <c r="O527" s="22" t="s">
        <v>1097</v>
      </c>
      <c r="P527" s="22" t="s">
        <v>666</v>
      </c>
      <c r="Q527" s="309">
        <f>COUNTIF('Hedef Liste'!A:A,A527)</f>
        <v>1</v>
      </c>
    </row>
    <row r="528" hidden="1">
      <c r="A528" s="22" t="s">
        <v>585</v>
      </c>
      <c r="B528" s="22" t="s">
        <v>586</v>
      </c>
      <c r="C528" s="306" t="s">
        <v>3959</v>
      </c>
      <c r="D528" s="22" t="s">
        <v>69</v>
      </c>
      <c r="E528" s="307">
        <v>16.0</v>
      </c>
      <c r="F528" s="307">
        <v>5.0</v>
      </c>
      <c r="G528" s="307">
        <v>13.0</v>
      </c>
      <c r="H528" s="307">
        <v>0.0</v>
      </c>
      <c r="I528" s="307">
        <v>13.0</v>
      </c>
      <c r="J528" s="308">
        <v>1.0</v>
      </c>
      <c r="K528" s="22" t="s">
        <v>587</v>
      </c>
      <c r="L528" s="22">
        <v>5.383482466E9</v>
      </c>
      <c r="M528" s="22" t="s">
        <v>71</v>
      </c>
      <c r="N528" s="22" t="s">
        <v>588</v>
      </c>
      <c r="O528" s="22" t="s">
        <v>589</v>
      </c>
      <c r="P528" s="22" t="s">
        <v>666</v>
      </c>
      <c r="Q528" s="309">
        <f>COUNTIF('Hedef Liste'!A:A,A528)</f>
        <v>1</v>
      </c>
    </row>
    <row r="529" hidden="1">
      <c r="A529" s="22" t="s">
        <v>2773</v>
      </c>
      <c r="B529" s="22" t="s">
        <v>2774</v>
      </c>
      <c r="C529" s="306" t="s">
        <v>3959</v>
      </c>
      <c r="D529" s="22" t="s">
        <v>69</v>
      </c>
      <c r="E529" s="307">
        <v>4.0</v>
      </c>
      <c r="F529" s="307">
        <v>1.0</v>
      </c>
      <c r="G529" s="307">
        <v>13.0</v>
      </c>
      <c r="H529" s="307">
        <v>2.0</v>
      </c>
      <c r="I529" s="307">
        <v>15.0</v>
      </c>
      <c r="J529" s="308">
        <v>0.87</v>
      </c>
      <c r="K529" s="22" t="s">
        <v>2775</v>
      </c>
      <c r="L529" s="22">
        <v>5.357609391E9</v>
      </c>
      <c r="M529" s="22" t="s">
        <v>47</v>
      </c>
      <c r="N529" s="22" t="s">
        <v>1054</v>
      </c>
      <c r="O529" s="22" t="s">
        <v>2776</v>
      </c>
      <c r="P529" s="22" t="s">
        <v>666</v>
      </c>
      <c r="Q529" s="309">
        <f>COUNTIF('Hedef Liste'!A:A,A529)</f>
        <v>1</v>
      </c>
    </row>
    <row r="530" hidden="1">
      <c r="A530" s="22" t="s">
        <v>1141</v>
      </c>
      <c r="B530" s="22" t="s">
        <v>1142</v>
      </c>
      <c r="C530" s="306" t="s">
        <v>3959</v>
      </c>
      <c r="D530" s="22" t="s">
        <v>69</v>
      </c>
      <c r="E530" s="307">
        <v>24.0</v>
      </c>
      <c r="F530" s="307">
        <v>12.0</v>
      </c>
      <c r="G530" s="307">
        <v>37.0</v>
      </c>
      <c r="H530" s="307">
        <v>14.0</v>
      </c>
      <c r="I530" s="307">
        <v>51.0</v>
      </c>
      <c r="J530" s="308">
        <v>0.73</v>
      </c>
      <c r="K530" s="22" t="s">
        <v>1143</v>
      </c>
      <c r="L530" s="22">
        <v>5.51007477E9</v>
      </c>
      <c r="M530" s="22" t="s">
        <v>61</v>
      </c>
      <c r="N530" s="22" t="s">
        <v>62</v>
      </c>
      <c r="O530" s="22" t="s">
        <v>1144</v>
      </c>
      <c r="P530" s="22" t="s">
        <v>666</v>
      </c>
      <c r="Q530" s="309">
        <f>COUNTIF('Hedef Liste'!A:A,A530)</f>
        <v>1</v>
      </c>
    </row>
    <row r="531" hidden="1">
      <c r="A531" s="22" t="s">
        <v>603</v>
      </c>
      <c r="B531" s="22" t="s">
        <v>604</v>
      </c>
      <c r="C531" s="306" t="s">
        <v>3959</v>
      </c>
      <c r="D531" s="22" t="s">
        <v>69</v>
      </c>
      <c r="E531" s="307">
        <v>257.0</v>
      </c>
      <c r="F531" s="307">
        <v>163.0</v>
      </c>
      <c r="G531" s="307">
        <v>5.0</v>
      </c>
      <c r="H531" s="307">
        <v>15.0</v>
      </c>
      <c r="I531" s="307">
        <v>20.0</v>
      </c>
      <c r="J531" s="308">
        <v>0.25</v>
      </c>
      <c r="K531" s="22" t="s">
        <v>605</v>
      </c>
      <c r="L531" s="22">
        <v>5.050856626E9</v>
      </c>
      <c r="M531" s="22" t="s">
        <v>61</v>
      </c>
      <c r="N531" s="22" t="s">
        <v>250</v>
      </c>
      <c r="O531" s="22" t="s">
        <v>606</v>
      </c>
      <c r="P531" s="22" t="s">
        <v>666</v>
      </c>
      <c r="Q531" s="309">
        <f>COUNTIF('Hedef Liste'!A:A,A531)</f>
        <v>1</v>
      </c>
    </row>
    <row r="532" hidden="1">
      <c r="A532" s="22" t="s">
        <v>247</v>
      </c>
      <c r="B532" s="22" t="s">
        <v>248</v>
      </c>
      <c r="C532" s="306" t="s">
        <v>3959</v>
      </c>
      <c r="D532" s="22" t="s">
        <v>100</v>
      </c>
      <c r="E532" s="307">
        <v>953.0</v>
      </c>
      <c r="F532" s="307">
        <v>47.0</v>
      </c>
      <c r="G532" s="307">
        <v>0.0</v>
      </c>
      <c r="H532" s="307">
        <v>18.0</v>
      </c>
      <c r="I532" s="307">
        <v>18.0</v>
      </c>
      <c r="J532" s="308">
        <v>0.0</v>
      </c>
      <c r="K532" s="22" t="s">
        <v>249</v>
      </c>
      <c r="L532" s="22">
        <v>3.525013388E9</v>
      </c>
      <c r="M532" s="22" t="s">
        <v>61</v>
      </c>
      <c r="N532" s="22" t="s">
        <v>250</v>
      </c>
      <c r="O532" s="22" t="s">
        <v>251</v>
      </c>
      <c r="P532" s="22" t="s">
        <v>666</v>
      </c>
      <c r="Q532" s="309">
        <f>COUNTIF('Hedef Liste'!A:A,A532)</f>
        <v>1</v>
      </c>
    </row>
    <row r="533" hidden="1">
      <c r="A533" s="22" t="s">
        <v>2612</v>
      </c>
      <c r="B533" s="22" t="s">
        <v>4431</v>
      </c>
      <c r="C533" s="306" t="s">
        <v>3959</v>
      </c>
      <c r="D533" s="22" t="s">
        <v>165</v>
      </c>
      <c r="E533" s="307">
        <v>1638.0</v>
      </c>
      <c r="F533" s="307">
        <v>95.0</v>
      </c>
      <c r="G533" s="307">
        <v>0.0</v>
      </c>
      <c r="H533" s="307">
        <v>24.0</v>
      </c>
      <c r="I533" s="307">
        <v>24.0</v>
      </c>
      <c r="J533" s="308">
        <v>0.0</v>
      </c>
      <c r="K533" s="22" t="s">
        <v>2614</v>
      </c>
      <c r="L533" s="22">
        <v>3.525043494E9</v>
      </c>
      <c r="M533" s="22" t="s">
        <v>47</v>
      </c>
      <c r="N533" s="22" t="s">
        <v>48</v>
      </c>
      <c r="O533" s="22" t="s">
        <v>2615</v>
      </c>
      <c r="P533" s="22" t="s">
        <v>666</v>
      </c>
      <c r="Q533" s="309">
        <f>COUNTIF('Hedef Liste'!A:A,A533)</f>
        <v>1</v>
      </c>
    </row>
    <row r="534" hidden="1">
      <c r="A534" s="22" t="s">
        <v>2215</v>
      </c>
      <c r="B534" s="22" t="s">
        <v>2216</v>
      </c>
      <c r="C534" s="306" t="s">
        <v>3959</v>
      </c>
      <c r="D534" s="22" t="s">
        <v>59</v>
      </c>
      <c r="E534" s="307">
        <v>79.0</v>
      </c>
      <c r="F534" s="310"/>
      <c r="G534" s="307">
        <v>0.0</v>
      </c>
      <c r="H534" s="307">
        <v>5.0</v>
      </c>
      <c r="I534" s="307">
        <v>5.0</v>
      </c>
      <c r="J534" s="308">
        <v>0.0</v>
      </c>
      <c r="K534" s="22" t="s">
        <v>1206</v>
      </c>
      <c r="L534" s="22">
        <v>5.535957876E9</v>
      </c>
      <c r="M534" s="22" t="s">
        <v>61</v>
      </c>
      <c r="N534" s="22" t="s">
        <v>62</v>
      </c>
      <c r="O534" s="22" t="s">
        <v>1207</v>
      </c>
      <c r="P534" s="22" t="s">
        <v>666</v>
      </c>
      <c r="Q534" s="309">
        <f>COUNTIF('Hedef Liste'!A:A,A534)</f>
        <v>1</v>
      </c>
    </row>
    <row r="535" hidden="1">
      <c r="A535" s="22" t="s">
        <v>1456</v>
      </c>
      <c r="B535" s="22" t="s">
        <v>1457</v>
      </c>
      <c r="C535" s="306" t="s">
        <v>3959</v>
      </c>
      <c r="D535" s="22" t="s">
        <v>100</v>
      </c>
      <c r="E535" s="307">
        <v>511.0</v>
      </c>
      <c r="F535" s="307">
        <v>62.0</v>
      </c>
      <c r="G535" s="307">
        <v>0.0</v>
      </c>
      <c r="H535" s="307">
        <v>33.0</v>
      </c>
      <c r="I535" s="307">
        <v>33.0</v>
      </c>
      <c r="J535" s="308">
        <v>0.0</v>
      </c>
      <c r="K535" s="22" t="s">
        <v>1458</v>
      </c>
      <c r="L535" s="22">
        <v>5.418573438E9</v>
      </c>
      <c r="M535" s="22" t="s">
        <v>61</v>
      </c>
      <c r="N535" s="22" t="s">
        <v>811</v>
      </c>
      <c r="O535" s="22" t="s">
        <v>1459</v>
      </c>
      <c r="P535" s="22" t="s">
        <v>666</v>
      </c>
      <c r="Q535" s="309">
        <f>COUNTIF('Hedef Liste'!A:A,A535)</f>
        <v>1</v>
      </c>
    </row>
    <row r="536" hidden="1">
      <c r="A536" s="22" t="s">
        <v>471</v>
      </c>
      <c r="B536" s="22" t="s">
        <v>472</v>
      </c>
      <c r="C536" s="306" t="s">
        <v>3959</v>
      </c>
      <c r="D536" s="22" t="s">
        <v>69</v>
      </c>
      <c r="E536" s="307">
        <v>746.0</v>
      </c>
      <c r="F536" s="307">
        <v>95.0</v>
      </c>
      <c r="G536" s="307">
        <v>0.0</v>
      </c>
      <c r="H536" s="307">
        <v>69.0</v>
      </c>
      <c r="I536" s="307">
        <v>69.0</v>
      </c>
      <c r="J536" s="308">
        <v>0.0</v>
      </c>
      <c r="K536" s="22" t="s">
        <v>332</v>
      </c>
      <c r="L536" s="22">
        <v>5.372150556E9</v>
      </c>
      <c r="M536" s="22" t="s">
        <v>71</v>
      </c>
      <c r="N536" s="22" t="s">
        <v>265</v>
      </c>
      <c r="O536" s="22" t="s">
        <v>473</v>
      </c>
      <c r="P536" s="22" t="s">
        <v>666</v>
      </c>
      <c r="Q536" s="309">
        <f>COUNTIF('Hedef Liste'!A:A,A536)</f>
        <v>1</v>
      </c>
    </row>
    <row r="537" hidden="1">
      <c r="A537" s="22" t="s">
        <v>1878</v>
      </c>
      <c r="B537" s="22" t="s">
        <v>1879</v>
      </c>
      <c r="C537" s="306" t="s">
        <v>3959</v>
      </c>
      <c r="D537" s="22" t="s">
        <v>172</v>
      </c>
      <c r="E537" s="307">
        <v>1693.0</v>
      </c>
      <c r="F537" s="307">
        <v>66.0</v>
      </c>
      <c r="G537" s="307">
        <v>5.0</v>
      </c>
      <c r="H537" s="307">
        <v>7.0</v>
      </c>
      <c r="I537" s="307">
        <v>12.0</v>
      </c>
      <c r="J537" s="308">
        <v>0.42</v>
      </c>
      <c r="K537" s="22" t="s">
        <v>1880</v>
      </c>
      <c r="L537" s="22">
        <v>3.525030141E9</v>
      </c>
      <c r="M537" s="22" t="s">
        <v>71</v>
      </c>
      <c r="N537" s="22" t="s">
        <v>72</v>
      </c>
      <c r="O537" s="22" t="s">
        <v>1881</v>
      </c>
      <c r="P537" s="22" t="s">
        <v>666</v>
      </c>
      <c r="Q537" s="309">
        <f>COUNTIF('Hedef Liste'!A:A,A537)</f>
        <v>1</v>
      </c>
    </row>
    <row r="538" hidden="1">
      <c r="A538" s="22" t="s">
        <v>1282</v>
      </c>
      <c r="B538" s="22" t="s">
        <v>1283</v>
      </c>
      <c r="C538" s="306" t="s">
        <v>3959</v>
      </c>
      <c r="D538" s="22" t="s">
        <v>100</v>
      </c>
      <c r="E538" s="307">
        <v>306.0</v>
      </c>
      <c r="F538" s="307">
        <v>10.0</v>
      </c>
      <c r="G538" s="307">
        <v>7.0</v>
      </c>
      <c r="H538" s="307">
        <v>23.0</v>
      </c>
      <c r="I538" s="307">
        <v>30.0</v>
      </c>
      <c r="J538" s="308">
        <v>0.23</v>
      </c>
      <c r="K538" s="22" t="s">
        <v>1284</v>
      </c>
      <c r="L538" s="22">
        <v>5.333807802E9</v>
      </c>
      <c r="M538" s="22" t="s">
        <v>61</v>
      </c>
      <c r="N538" s="22" t="s">
        <v>62</v>
      </c>
      <c r="O538" s="22" t="s">
        <v>1285</v>
      </c>
      <c r="P538" s="22" t="s">
        <v>666</v>
      </c>
      <c r="Q538" s="309">
        <f>COUNTIF('Hedef Liste'!A:A,A538)</f>
        <v>1</v>
      </c>
    </row>
    <row r="539" hidden="1">
      <c r="A539" s="22" t="s">
        <v>2801</v>
      </c>
      <c r="B539" s="22" t="s">
        <v>2802</v>
      </c>
      <c r="C539" s="306" t="s">
        <v>3959</v>
      </c>
      <c r="D539" s="22" t="s">
        <v>505</v>
      </c>
      <c r="E539" s="307">
        <v>566.0</v>
      </c>
      <c r="F539" s="307">
        <v>38.0</v>
      </c>
      <c r="G539" s="307">
        <v>6.0</v>
      </c>
      <c r="H539" s="307">
        <v>6.0</v>
      </c>
      <c r="I539" s="307">
        <v>12.0</v>
      </c>
      <c r="J539" s="311">
        <v>0.5</v>
      </c>
      <c r="K539" s="22" t="s">
        <v>2803</v>
      </c>
      <c r="L539" s="22">
        <v>3.52502835E9</v>
      </c>
      <c r="M539" s="22" t="s">
        <v>47</v>
      </c>
      <c r="N539" s="22" t="s">
        <v>1158</v>
      </c>
      <c r="O539" s="22" t="s">
        <v>2804</v>
      </c>
      <c r="P539" s="22" t="s">
        <v>666</v>
      </c>
      <c r="Q539" s="309">
        <f>COUNTIF('Hedef Liste'!A:A,A539)</f>
        <v>1</v>
      </c>
    </row>
    <row r="540" hidden="1">
      <c r="A540" s="22" t="s">
        <v>1859</v>
      </c>
      <c r="B540" s="22" t="s">
        <v>1860</v>
      </c>
      <c r="C540" s="306" t="s">
        <v>3959</v>
      </c>
      <c r="D540" s="22" t="s">
        <v>453</v>
      </c>
      <c r="E540" s="307">
        <v>47.0</v>
      </c>
      <c r="F540" s="307">
        <v>6.0</v>
      </c>
      <c r="G540" s="307">
        <v>20.0</v>
      </c>
      <c r="H540" s="307">
        <v>25.0</v>
      </c>
      <c r="I540" s="307">
        <v>45.0</v>
      </c>
      <c r="J540" s="308">
        <v>0.44</v>
      </c>
      <c r="K540" s="22" t="s">
        <v>1861</v>
      </c>
      <c r="L540" s="22">
        <v>5.32563381E9</v>
      </c>
      <c r="M540" s="22" t="s">
        <v>61</v>
      </c>
      <c r="N540" s="22" t="s">
        <v>107</v>
      </c>
      <c r="O540" s="22" t="s">
        <v>1862</v>
      </c>
      <c r="P540" s="22" t="s">
        <v>666</v>
      </c>
      <c r="Q540" s="309">
        <f>COUNTIF('Hedef Liste'!A:A,A540)</f>
        <v>1</v>
      </c>
    </row>
    <row r="541" hidden="1">
      <c r="A541" s="22" t="s">
        <v>2090</v>
      </c>
      <c r="B541" s="22" t="s">
        <v>2091</v>
      </c>
      <c r="C541" s="306" t="s">
        <v>3959</v>
      </c>
      <c r="D541" s="22" t="s">
        <v>406</v>
      </c>
      <c r="E541" s="307">
        <v>76.0</v>
      </c>
      <c r="F541" s="307">
        <v>6.0</v>
      </c>
      <c r="G541" s="307">
        <v>31.0</v>
      </c>
      <c r="H541" s="307">
        <v>5.0</v>
      </c>
      <c r="I541" s="307">
        <v>36.0</v>
      </c>
      <c r="J541" s="308">
        <v>0.86</v>
      </c>
      <c r="K541" s="22" t="s">
        <v>2092</v>
      </c>
      <c r="L541" s="22">
        <v>3.525033888E9</v>
      </c>
      <c r="M541" s="22" t="s">
        <v>71</v>
      </c>
      <c r="N541" s="22" t="s">
        <v>1116</v>
      </c>
      <c r="O541" s="22" t="s">
        <v>2093</v>
      </c>
      <c r="P541" s="22" t="s">
        <v>666</v>
      </c>
      <c r="Q541" s="309">
        <f>COUNTIF('Hedef Liste'!A:A,A541)</f>
        <v>1</v>
      </c>
    </row>
    <row r="542" hidden="1">
      <c r="A542" s="22" t="s">
        <v>170</v>
      </c>
      <c r="B542" s="22" t="s">
        <v>4432</v>
      </c>
      <c r="C542" s="306" t="s">
        <v>3959</v>
      </c>
      <c r="D542" s="22" t="s">
        <v>172</v>
      </c>
      <c r="E542" s="307">
        <v>105.0</v>
      </c>
      <c r="F542" s="307">
        <v>14.0</v>
      </c>
      <c r="G542" s="307">
        <v>13.0</v>
      </c>
      <c r="H542" s="307">
        <v>4.0</v>
      </c>
      <c r="I542" s="307">
        <v>17.0</v>
      </c>
      <c r="J542" s="308">
        <v>0.76</v>
      </c>
      <c r="K542" s="22" t="s">
        <v>173</v>
      </c>
      <c r="L542" s="22">
        <v>3.523201239E9</v>
      </c>
      <c r="M542" s="22" t="s">
        <v>71</v>
      </c>
      <c r="N542" s="22" t="s">
        <v>174</v>
      </c>
      <c r="O542" s="22" t="s">
        <v>175</v>
      </c>
      <c r="P542" s="22" t="s">
        <v>666</v>
      </c>
      <c r="Q542" s="309">
        <f>COUNTIF('Hedef Liste'!A:A,A542)</f>
        <v>1</v>
      </c>
    </row>
    <row r="543" hidden="1">
      <c r="A543" s="22" t="s">
        <v>765</v>
      </c>
      <c r="B543" s="22" t="s">
        <v>766</v>
      </c>
      <c r="C543" s="306" t="s">
        <v>3959</v>
      </c>
      <c r="D543" s="22" t="s">
        <v>172</v>
      </c>
      <c r="E543" s="307">
        <v>742.0</v>
      </c>
      <c r="F543" s="307">
        <v>35.0</v>
      </c>
      <c r="G543" s="307">
        <v>0.0</v>
      </c>
      <c r="H543" s="307">
        <v>12.0</v>
      </c>
      <c r="I543" s="307">
        <v>12.0</v>
      </c>
      <c r="J543" s="311">
        <v>0.0</v>
      </c>
      <c r="K543" s="22" t="s">
        <v>767</v>
      </c>
      <c r="L543" s="22">
        <v>5.551721592E9</v>
      </c>
      <c r="M543" s="22" t="s">
        <v>61</v>
      </c>
      <c r="N543" s="22" t="s">
        <v>62</v>
      </c>
      <c r="O543" s="22" t="s">
        <v>768</v>
      </c>
      <c r="P543" s="22" t="s">
        <v>666</v>
      </c>
      <c r="Q543" s="309">
        <f>COUNTIF('Hedef Liste'!A:A,A543)</f>
        <v>1</v>
      </c>
    </row>
    <row r="544" hidden="1">
      <c r="A544" s="22" t="s">
        <v>721</v>
      </c>
      <c r="B544" s="22" t="s">
        <v>4433</v>
      </c>
      <c r="C544" s="306" t="s">
        <v>3959</v>
      </c>
      <c r="D544" s="22" t="s">
        <v>505</v>
      </c>
      <c r="E544" s="307">
        <v>1162.0</v>
      </c>
      <c r="F544" s="307">
        <v>104.0</v>
      </c>
      <c r="G544" s="307">
        <v>7.0</v>
      </c>
      <c r="H544" s="307">
        <v>11.0</v>
      </c>
      <c r="I544" s="307">
        <v>18.0</v>
      </c>
      <c r="J544" s="311">
        <v>0.39</v>
      </c>
      <c r="K544" s="22" t="s">
        <v>723</v>
      </c>
      <c r="L544" s="22">
        <v>5.427990038E9</v>
      </c>
      <c r="M544" s="22" t="s">
        <v>71</v>
      </c>
      <c r="N544" s="22" t="s">
        <v>420</v>
      </c>
      <c r="O544" s="22" t="s">
        <v>724</v>
      </c>
      <c r="P544" s="22" t="s">
        <v>666</v>
      </c>
      <c r="Q544" s="309">
        <f>COUNTIF('Hedef Liste'!A:A,A544)</f>
        <v>1</v>
      </c>
    </row>
    <row r="545" hidden="1">
      <c r="A545" s="22" t="s">
        <v>1324</v>
      </c>
      <c r="B545" s="22" t="s">
        <v>1325</v>
      </c>
      <c r="C545" s="306" t="s">
        <v>3959</v>
      </c>
      <c r="D545" s="22" t="s">
        <v>69</v>
      </c>
      <c r="E545" s="307">
        <v>8.0</v>
      </c>
      <c r="F545" s="307">
        <v>2.0</v>
      </c>
      <c r="G545" s="307">
        <v>0.0</v>
      </c>
      <c r="H545" s="307">
        <v>15.0</v>
      </c>
      <c r="I545" s="307">
        <v>15.0</v>
      </c>
      <c r="J545" s="308">
        <v>0.0</v>
      </c>
      <c r="K545" s="22" t="s">
        <v>1326</v>
      </c>
      <c r="L545" s="22">
        <v>5.432783838E9</v>
      </c>
      <c r="M545" s="22" t="s">
        <v>71</v>
      </c>
      <c r="N545" s="22" t="s">
        <v>102</v>
      </c>
      <c r="O545" s="22" t="s">
        <v>1327</v>
      </c>
      <c r="P545" s="22" t="s">
        <v>666</v>
      </c>
      <c r="Q545" s="309">
        <f>COUNTIF('Hedef Liste'!A:A,A545)</f>
        <v>1</v>
      </c>
    </row>
    <row r="546" hidden="1">
      <c r="A546" s="22" t="s">
        <v>1316</v>
      </c>
      <c r="B546" s="22" t="s">
        <v>1317</v>
      </c>
      <c r="C546" s="306" t="s">
        <v>3959</v>
      </c>
      <c r="D546" s="22" t="s">
        <v>172</v>
      </c>
      <c r="E546" s="307">
        <v>763.0</v>
      </c>
      <c r="F546" s="310"/>
      <c r="G546" s="307">
        <v>4.0</v>
      </c>
      <c r="H546" s="307">
        <v>8.0</v>
      </c>
      <c r="I546" s="307">
        <v>12.0</v>
      </c>
      <c r="J546" s="308">
        <v>0.33</v>
      </c>
      <c r="K546" s="22" t="s">
        <v>1318</v>
      </c>
      <c r="L546" s="22">
        <v>3.52332212E9</v>
      </c>
      <c r="M546" s="22" t="s">
        <v>47</v>
      </c>
      <c r="N546" s="22" t="s">
        <v>277</v>
      </c>
      <c r="O546" s="22" t="s">
        <v>1319</v>
      </c>
      <c r="P546" s="22" t="s">
        <v>666</v>
      </c>
      <c r="Q546" s="309">
        <f>COUNTIF('Hedef Liste'!A:A,A546)</f>
        <v>1</v>
      </c>
    </row>
    <row r="547">
      <c r="A547" s="22" t="s">
        <v>725</v>
      </c>
      <c r="B547" s="22" t="s">
        <v>726</v>
      </c>
      <c r="C547" s="306" t="s">
        <v>3959</v>
      </c>
      <c r="D547" s="22" t="s">
        <v>172</v>
      </c>
      <c r="E547" s="310"/>
      <c r="F547" s="310"/>
      <c r="G547" s="307">
        <v>0.0</v>
      </c>
      <c r="H547" s="307">
        <v>9.0</v>
      </c>
      <c r="I547" s="307">
        <v>9.0</v>
      </c>
      <c r="J547" s="308">
        <v>0.0</v>
      </c>
      <c r="K547" s="22" t="s">
        <v>727</v>
      </c>
      <c r="L547" s="22">
        <v>5.465961875E9</v>
      </c>
      <c r="M547" s="22" t="s">
        <v>47</v>
      </c>
      <c r="N547" s="22" t="s">
        <v>728</v>
      </c>
      <c r="O547" s="22" t="s">
        <v>729</v>
      </c>
      <c r="P547" s="22" t="s">
        <v>666</v>
      </c>
      <c r="Q547" s="309">
        <f>COUNTIF('Hedef Liste'!A:A,A547)</f>
        <v>1</v>
      </c>
    </row>
    <row r="548" hidden="1">
      <c r="A548" s="22" t="s">
        <v>4434</v>
      </c>
      <c r="B548" s="22" t="s">
        <v>4435</v>
      </c>
      <c r="C548" s="306" t="s">
        <v>3959</v>
      </c>
      <c r="D548" s="22" t="s">
        <v>4168</v>
      </c>
      <c r="E548" s="307">
        <v>2098.0</v>
      </c>
      <c r="F548" s="307">
        <v>72.0</v>
      </c>
      <c r="G548" s="307">
        <v>35.0</v>
      </c>
      <c r="H548" s="307">
        <v>0.0</v>
      </c>
      <c r="I548" s="307">
        <v>35.0</v>
      </c>
      <c r="J548" s="308">
        <v>1.0</v>
      </c>
      <c r="K548" s="22" t="s">
        <v>4436</v>
      </c>
      <c r="L548" s="22">
        <v>3.522314503E9</v>
      </c>
      <c r="M548" s="22" t="s">
        <v>47</v>
      </c>
      <c r="N548" s="22" t="s">
        <v>125</v>
      </c>
      <c r="O548" s="22" t="s">
        <v>4437</v>
      </c>
      <c r="P548" s="22" t="s">
        <v>3962</v>
      </c>
      <c r="Q548" s="309">
        <f>COUNTIF('Hedef Liste'!A:A,A548)</f>
        <v>0</v>
      </c>
    </row>
    <row r="549" hidden="1">
      <c r="A549" s="22" t="s">
        <v>4438</v>
      </c>
      <c r="B549" s="22" t="s">
        <v>4439</v>
      </c>
      <c r="C549" s="306" t="s">
        <v>3959</v>
      </c>
      <c r="D549" s="22" t="s">
        <v>45</v>
      </c>
      <c r="E549" s="307">
        <v>6276.0</v>
      </c>
      <c r="F549" s="307">
        <v>241.0</v>
      </c>
      <c r="G549" s="307">
        <v>89.0</v>
      </c>
      <c r="H549" s="307">
        <v>0.0</v>
      </c>
      <c r="I549" s="307">
        <v>89.0</v>
      </c>
      <c r="J549" s="308">
        <v>1.0</v>
      </c>
      <c r="K549" s="22" t="s">
        <v>4150</v>
      </c>
      <c r="L549" s="22">
        <v>9.999999999E9</v>
      </c>
      <c r="M549" s="22" t="s">
        <v>71</v>
      </c>
      <c r="N549" s="22" t="s">
        <v>684</v>
      </c>
      <c r="O549" s="22" t="s">
        <v>4440</v>
      </c>
      <c r="P549" s="22" t="s">
        <v>3962</v>
      </c>
      <c r="Q549" s="309">
        <f>COUNTIF('Hedef Liste'!A:A,A549)</f>
        <v>0</v>
      </c>
    </row>
    <row r="550" hidden="1">
      <c r="A550" s="22" t="s">
        <v>4441</v>
      </c>
      <c r="B550" s="22" t="s">
        <v>4442</v>
      </c>
      <c r="C550" s="306" t="s">
        <v>3959</v>
      </c>
      <c r="D550" s="22" t="s">
        <v>45</v>
      </c>
      <c r="E550" s="307">
        <v>18977.0</v>
      </c>
      <c r="F550" s="307">
        <v>564.0</v>
      </c>
      <c r="G550" s="307">
        <v>167.0</v>
      </c>
      <c r="H550" s="307">
        <v>0.0</v>
      </c>
      <c r="I550" s="307">
        <v>167.0</v>
      </c>
      <c r="J550" s="308">
        <v>1.0</v>
      </c>
      <c r="K550" s="22" t="s">
        <v>4150</v>
      </c>
      <c r="L550" s="22">
        <v>9.999999999E9</v>
      </c>
      <c r="M550" s="22" t="s">
        <v>71</v>
      </c>
      <c r="N550" s="22" t="s">
        <v>420</v>
      </c>
      <c r="O550" s="22" t="s">
        <v>4443</v>
      </c>
      <c r="P550" s="22" t="s">
        <v>3962</v>
      </c>
      <c r="Q550" s="309">
        <f>COUNTIF('Hedef Liste'!A:A,A550)</f>
        <v>0</v>
      </c>
    </row>
    <row r="551" hidden="1">
      <c r="A551" s="22" t="s">
        <v>4444</v>
      </c>
      <c r="B551" s="22" t="s">
        <v>4445</v>
      </c>
      <c r="C551" s="306" t="s">
        <v>3959</v>
      </c>
      <c r="D551" s="22" t="s">
        <v>172</v>
      </c>
      <c r="E551" s="307">
        <v>4460.0</v>
      </c>
      <c r="F551" s="307">
        <v>102.0</v>
      </c>
      <c r="G551" s="307">
        <v>81.0</v>
      </c>
      <c r="H551" s="307">
        <v>0.0</v>
      </c>
      <c r="I551" s="307">
        <v>81.0</v>
      </c>
      <c r="J551" s="308">
        <v>1.0</v>
      </c>
      <c r="K551" s="22" t="s">
        <v>4150</v>
      </c>
      <c r="L551" s="22">
        <v>9.999999999E9</v>
      </c>
      <c r="M551" s="22" t="s">
        <v>71</v>
      </c>
      <c r="N551" s="22" t="s">
        <v>420</v>
      </c>
      <c r="O551" s="22" t="s">
        <v>4446</v>
      </c>
      <c r="P551" s="22" t="s">
        <v>3962</v>
      </c>
      <c r="Q551" s="309">
        <f>COUNTIF('Hedef Liste'!A:A,A551)</f>
        <v>0</v>
      </c>
    </row>
    <row r="552" hidden="1">
      <c r="A552" s="22" t="s">
        <v>4447</v>
      </c>
      <c r="B552" s="22" t="s">
        <v>4448</v>
      </c>
      <c r="C552" s="306" t="s">
        <v>3959</v>
      </c>
      <c r="D552" s="22" t="s">
        <v>4168</v>
      </c>
      <c r="E552" s="307">
        <v>1613.0</v>
      </c>
      <c r="F552" s="307">
        <v>37.0</v>
      </c>
      <c r="G552" s="307">
        <v>65.0</v>
      </c>
      <c r="H552" s="307">
        <v>0.0</v>
      </c>
      <c r="I552" s="307">
        <v>65.0</v>
      </c>
      <c r="J552" s="308">
        <v>1.0</v>
      </c>
      <c r="K552" s="22" t="s">
        <v>4436</v>
      </c>
      <c r="L552" s="22">
        <v>3.522234941E9</v>
      </c>
      <c r="M552" s="22" t="s">
        <v>47</v>
      </c>
      <c r="N552" s="22" t="s">
        <v>47</v>
      </c>
      <c r="O552" s="22" t="s">
        <v>4449</v>
      </c>
      <c r="P552" s="22" t="s">
        <v>3962</v>
      </c>
      <c r="Q552" s="309">
        <f>COUNTIF('Hedef Liste'!A:A,A552)</f>
        <v>0</v>
      </c>
    </row>
    <row r="553" hidden="1">
      <c r="A553" s="22" t="s">
        <v>122</v>
      </c>
      <c r="B553" s="22" t="s">
        <v>123</v>
      </c>
      <c r="C553" s="306" t="s">
        <v>3959</v>
      </c>
      <c r="D553" s="22" t="s">
        <v>100</v>
      </c>
      <c r="E553" s="307">
        <v>67.0</v>
      </c>
      <c r="F553" s="307">
        <v>5.0</v>
      </c>
      <c r="G553" s="307">
        <v>4.0</v>
      </c>
      <c r="H553" s="307">
        <v>11.0</v>
      </c>
      <c r="I553" s="307">
        <v>15.0</v>
      </c>
      <c r="J553" s="308">
        <v>0.27</v>
      </c>
      <c r="K553" s="22" t="s">
        <v>124</v>
      </c>
      <c r="L553" s="22">
        <v>3.522350515E9</v>
      </c>
      <c r="M553" s="22" t="s">
        <v>47</v>
      </c>
      <c r="N553" s="22" t="s">
        <v>125</v>
      </c>
      <c r="O553" s="22" t="s">
        <v>126</v>
      </c>
      <c r="P553" s="22" t="s">
        <v>666</v>
      </c>
      <c r="Q553" s="309">
        <f>COUNTIF('Hedef Liste'!A:A,A553)</f>
        <v>1</v>
      </c>
    </row>
    <row r="554" hidden="1">
      <c r="A554" s="22" t="s">
        <v>4450</v>
      </c>
      <c r="B554" s="22" t="s">
        <v>4451</v>
      </c>
      <c r="C554" s="306" t="s">
        <v>3959</v>
      </c>
      <c r="D554" s="22" t="s">
        <v>100</v>
      </c>
      <c r="E554" s="310"/>
      <c r="F554" s="310"/>
      <c r="G554" s="307">
        <v>159.0</v>
      </c>
      <c r="H554" s="307">
        <v>13.0</v>
      </c>
      <c r="I554" s="307">
        <v>172.0</v>
      </c>
      <c r="J554" s="311">
        <v>0.92</v>
      </c>
      <c r="K554" s="22" t="s">
        <v>3967</v>
      </c>
      <c r="L554" s="22">
        <v>5.536274246E9</v>
      </c>
      <c r="M554" s="22" t="s">
        <v>61</v>
      </c>
      <c r="N554" s="22" t="s">
        <v>107</v>
      </c>
      <c r="O554" s="22" t="s">
        <v>4452</v>
      </c>
      <c r="P554" s="22" t="s">
        <v>3962</v>
      </c>
      <c r="Q554" s="309">
        <f>COUNTIF('Hedef Liste'!A:A,A554)</f>
        <v>0</v>
      </c>
    </row>
    <row r="555" hidden="1">
      <c r="A555" s="22" t="s">
        <v>2517</v>
      </c>
      <c r="B555" s="22" t="s">
        <v>2518</v>
      </c>
      <c r="C555" s="306" t="s">
        <v>3963</v>
      </c>
      <c r="D555" s="22" t="s">
        <v>406</v>
      </c>
      <c r="E555" s="307">
        <v>1614.0</v>
      </c>
      <c r="F555" s="310"/>
      <c r="G555" s="307">
        <v>0.0</v>
      </c>
      <c r="H555" s="307">
        <v>74.0</v>
      </c>
      <c r="I555" s="307">
        <v>74.0</v>
      </c>
      <c r="J555" s="308">
        <v>0.0</v>
      </c>
      <c r="K555" s="22" t="s">
        <v>2220</v>
      </c>
      <c r="L555" s="22">
        <v>3.522353435E9</v>
      </c>
      <c r="M555" s="22" t="s">
        <v>71</v>
      </c>
      <c r="N555" s="22" t="s">
        <v>797</v>
      </c>
      <c r="O555" s="22" t="s">
        <v>2519</v>
      </c>
      <c r="P555" s="22" t="s">
        <v>666</v>
      </c>
      <c r="Q555" s="309">
        <f>COUNTIF('Hedef Liste'!A:A,A555)</f>
        <v>1</v>
      </c>
    </row>
    <row r="556" hidden="1">
      <c r="A556" s="22" t="s">
        <v>1788</v>
      </c>
      <c r="B556" s="22" t="s">
        <v>1789</v>
      </c>
      <c r="C556" s="306" t="s">
        <v>3959</v>
      </c>
      <c r="D556" s="22" t="s">
        <v>45</v>
      </c>
      <c r="E556" s="307">
        <v>3308.0</v>
      </c>
      <c r="F556" s="310"/>
      <c r="G556" s="307">
        <v>5.0</v>
      </c>
      <c r="H556" s="307">
        <v>10.0</v>
      </c>
      <c r="I556" s="307">
        <v>15.0</v>
      </c>
      <c r="J556" s="308">
        <v>0.33</v>
      </c>
      <c r="K556" s="22" t="s">
        <v>178</v>
      </c>
      <c r="L556" s="22">
        <v>5.303839538E9</v>
      </c>
      <c r="M556" s="22" t="s">
        <v>71</v>
      </c>
      <c r="N556" s="22" t="s">
        <v>179</v>
      </c>
      <c r="O556" s="22" t="s">
        <v>1790</v>
      </c>
      <c r="P556" s="22" t="s">
        <v>666</v>
      </c>
      <c r="Q556" s="309">
        <f>COUNTIF('Hedef Liste'!A:A,A556)</f>
        <v>1</v>
      </c>
    </row>
    <row r="557" hidden="1">
      <c r="A557" s="22" t="s">
        <v>2839</v>
      </c>
      <c r="B557" s="22" t="s">
        <v>2840</v>
      </c>
      <c r="C557" s="306" t="s">
        <v>3959</v>
      </c>
      <c r="D557" s="22" t="s">
        <v>165</v>
      </c>
      <c r="E557" s="307">
        <v>320.0</v>
      </c>
      <c r="F557" s="307">
        <v>176.0</v>
      </c>
      <c r="G557" s="307">
        <v>11.0</v>
      </c>
      <c r="H557" s="307">
        <v>3.0</v>
      </c>
      <c r="I557" s="307">
        <v>14.0</v>
      </c>
      <c r="J557" s="308">
        <v>0.79</v>
      </c>
      <c r="K557" s="22" t="s">
        <v>2841</v>
      </c>
      <c r="L557" s="22">
        <v>3.524383334E9</v>
      </c>
      <c r="M557" s="22" t="s">
        <v>61</v>
      </c>
      <c r="N557" s="22" t="s">
        <v>250</v>
      </c>
      <c r="O557" s="22" t="s">
        <v>2842</v>
      </c>
      <c r="P557" s="22" t="s">
        <v>666</v>
      </c>
      <c r="Q557" s="309">
        <f>COUNTIF('Hedef Liste'!A:A,A557)</f>
        <v>1</v>
      </c>
    </row>
    <row r="558" hidden="1">
      <c r="A558" s="22" t="s">
        <v>599</v>
      </c>
      <c r="B558" s="22" t="s">
        <v>600</v>
      </c>
      <c r="C558" s="306" t="s">
        <v>3959</v>
      </c>
      <c r="D558" s="22" t="s">
        <v>69</v>
      </c>
      <c r="E558" s="307">
        <v>11.0</v>
      </c>
      <c r="F558" s="310"/>
      <c r="G558" s="307">
        <v>11.0</v>
      </c>
      <c r="H558" s="307">
        <v>9.0</v>
      </c>
      <c r="I558" s="307">
        <v>20.0</v>
      </c>
      <c r="J558" s="308">
        <v>0.55</v>
      </c>
      <c r="K558" s="22" t="s">
        <v>601</v>
      </c>
      <c r="L558" s="22">
        <v>5.525001007E9</v>
      </c>
      <c r="M558" s="22" t="s">
        <v>71</v>
      </c>
      <c r="N558" s="22" t="s">
        <v>62</v>
      </c>
      <c r="O558" s="22" t="s">
        <v>602</v>
      </c>
      <c r="P558" s="22" t="s">
        <v>666</v>
      </c>
      <c r="Q558" s="309">
        <f>COUNTIF('Hedef Liste'!A:A,A558)</f>
        <v>1</v>
      </c>
    </row>
    <row r="559" hidden="1">
      <c r="A559" s="22" t="s">
        <v>952</v>
      </c>
      <c r="B559" s="22" t="s">
        <v>953</v>
      </c>
      <c r="C559" s="306" t="s">
        <v>3959</v>
      </c>
      <c r="D559" s="22" t="s">
        <v>406</v>
      </c>
      <c r="E559" s="307">
        <v>20.0</v>
      </c>
      <c r="F559" s="307">
        <v>6.0</v>
      </c>
      <c r="G559" s="307">
        <v>0.0</v>
      </c>
      <c r="H559" s="307">
        <v>32.0</v>
      </c>
      <c r="I559" s="307">
        <v>32.0</v>
      </c>
      <c r="J559" s="308">
        <v>0.0</v>
      </c>
      <c r="K559" s="22" t="s">
        <v>954</v>
      </c>
      <c r="L559" s="22">
        <v>3.524380123E9</v>
      </c>
      <c r="M559" s="22" t="s">
        <v>61</v>
      </c>
      <c r="N559" s="22" t="s">
        <v>62</v>
      </c>
      <c r="O559" s="22" t="s">
        <v>955</v>
      </c>
      <c r="P559" s="22" t="s">
        <v>666</v>
      </c>
      <c r="Q559" s="309">
        <f>COUNTIF('Hedef Liste'!A:A,A559)</f>
        <v>1</v>
      </c>
    </row>
    <row r="560" hidden="1">
      <c r="A560" s="22" t="s">
        <v>1795</v>
      </c>
      <c r="B560" s="22" t="s">
        <v>1793</v>
      </c>
      <c r="C560" s="306" t="s">
        <v>3959</v>
      </c>
      <c r="D560" s="22" t="s">
        <v>45</v>
      </c>
      <c r="E560" s="307">
        <v>181.0</v>
      </c>
      <c r="F560" s="307">
        <v>90.0</v>
      </c>
      <c r="G560" s="307">
        <v>0.0</v>
      </c>
      <c r="H560" s="307">
        <v>15.0</v>
      </c>
      <c r="I560" s="307">
        <v>15.0</v>
      </c>
      <c r="J560" s="308">
        <v>0.0</v>
      </c>
      <c r="K560" s="22" t="s">
        <v>188</v>
      </c>
      <c r="L560" s="22">
        <v>5.331429538E9</v>
      </c>
      <c r="M560" s="22" t="s">
        <v>47</v>
      </c>
      <c r="N560" s="22" t="s">
        <v>125</v>
      </c>
      <c r="O560" s="22" t="s">
        <v>185</v>
      </c>
      <c r="P560" s="22" t="s">
        <v>666</v>
      </c>
      <c r="Q560" s="309">
        <f>COUNTIF('Hedef Liste'!A:A,A560)</f>
        <v>1</v>
      </c>
    </row>
    <row r="561" hidden="1">
      <c r="A561" s="22" t="s">
        <v>4453</v>
      </c>
      <c r="B561" s="22" t="s">
        <v>4454</v>
      </c>
      <c r="C561" s="306" t="s">
        <v>3959</v>
      </c>
      <c r="D561" s="22" t="s">
        <v>100</v>
      </c>
      <c r="E561" s="307">
        <v>50.0</v>
      </c>
      <c r="F561" s="307">
        <v>11.0</v>
      </c>
      <c r="G561" s="307">
        <v>92.0</v>
      </c>
      <c r="H561" s="307">
        <v>89.0</v>
      </c>
      <c r="I561" s="307">
        <v>181.0</v>
      </c>
      <c r="J561" s="308">
        <v>0.51</v>
      </c>
      <c r="K561" s="22" t="s">
        <v>332</v>
      </c>
      <c r="L561" s="22">
        <v>3.5250372E9</v>
      </c>
      <c r="M561" s="22" t="s">
        <v>47</v>
      </c>
      <c r="N561" s="22" t="s">
        <v>477</v>
      </c>
      <c r="O561" s="22" t="s">
        <v>4455</v>
      </c>
      <c r="P561" s="22" t="s">
        <v>3962</v>
      </c>
      <c r="Q561" s="309">
        <f>COUNTIF('Hedef Liste'!A:A,A561)</f>
        <v>0</v>
      </c>
    </row>
    <row r="562" hidden="1">
      <c r="A562" s="22" t="s">
        <v>423</v>
      </c>
      <c r="B562" s="22" t="s">
        <v>424</v>
      </c>
      <c r="C562" s="306" t="s">
        <v>3959</v>
      </c>
      <c r="D562" s="22" t="s">
        <v>368</v>
      </c>
      <c r="E562" s="307">
        <v>4.0</v>
      </c>
      <c r="F562" s="307">
        <v>2.0</v>
      </c>
      <c r="G562" s="307">
        <v>0.0</v>
      </c>
      <c r="H562" s="307">
        <v>34.0</v>
      </c>
      <c r="I562" s="307">
        <v>34.0</v>
      </c>
      <c r="J562" s="308">
        <v>0.0</v>
      </c>
      <c r="K562" s="22" t="s">
        <v>425</v>
      </c>
      <c r="L562" s="22">
        <v>3.523391313E9</v>
      </c>
      <c r="M562" s="22" t="s">
        <v>71</v>
      </c>
      <c r="N562" s="22" t="s">
        <v>204</v>
      </c>
      <c r="O562" s="22" t="s">
        <v>426</v>
      </c>
      <c r="P562" s="22" t="s">
        <v>666</v>
      </c>
      <c r="Q562" s="309">
        <f>COUNTIF('Hedef Liste'!A:A,A562)</f>
        <v>1</v>
      </c>
    </row>
    <row r="563" hidden="1">
      <c r="A563" s="22" t="s">
        <v>4456</v>
      </c>
      <c r="B563" s="22" t="s">
        <v>4457</v>
      </c>
      <c r="C563" s="306" t="s">
        <v>3959</v>
      </c>
      <c r="D563" s="22" t="s">
        <v>45</v>
      </c>
      <c r="E563" s="307">
        <v>194.0</v>
      </c>
      <c r="F563" s="307">
        <v>63.0</v>
      </c>
      <c r="G563" s="307">
        <v>170.0</v>
      </c>
      <c r="H563" s="307">
        <v>0.0</v>
      </c>
      <c r="I563" s="307">
        <v>170.0</v>
      </c>
      <c r="J563" s="308">
        <v>1.0</v>
      </c>
      <c r="K563" s="22" t="s">
        <v>4150</v>
      </c>
      <c r="L563" s="22">
        <v>9.999999999E9</v>
      </c>
      <c r="M563" s="22" t="s">
        <v>71</v>
      </c>
      <c r="N563" s="22" t="s">
        <v>1148</v>
      </c>
      <c r="O563" s="22" t="s">
        <v>4458</v>
      </c>
      <c r="P563" s="22" t="s">
        <v>3962</v>
      </c>
      <c r="Q563" s="309">
        <f>COUNTIF('Hedef Liste'!A:A,A563)</f>
        <v>0</v>
      </c>
    </row>
    <row r="564" hidden="1">
      <c r="A564" s="22" t="s">
        <v>4459</v>
      </c>
      <c r="B564" s="22" t="s">
        <v>4460</v>
      </c>
      <c r="C564" s="306" t="s">
        <v>3959</v>
      </c>
      <c r="D564" s="22" t="s">
        <v>653</v>
      </c>
      <c r="E564" s="307">
        <v>112.0</v>
      </c>
      <c r="F564" s="307">
        <v>28.0</v>
      </c>
      <c r="G564" s="307">
        <v>118.0</v>
      </c>
      <c r="H564" s="307">
        <v>0.0</v>
      </c>
      <c r="I564" s="307">
        <v>118.0</v>
      </c>
      <c r="J564" s="308">
        <v>1.0</v>
      </c>
      <c r="K564" s="22" t="s">
        <v>4150</v>
      </c>
      <c r="L564" s="22">
        <v>9.999999999E9</v>
      </c>
      <c r="M564" s="22" t="s">
        <v>71</v>
      </c>
      <c r="N564" s="22" t="s">
        <v>1148</v>
      </c>
      <c r="O564" s="22" t="s">
        <v>4458</v>
      </c>
      <c r="P564" s="22" t="s">
        <v>3962</v>
      </c>
      <c r="Q564" s="309">
        <f>COUNTIF('Hedef Liste'!A:A,A564)</f>
        <v>0</v>
      </c>
    </row>
    <row r="565" hidden="1">
      <c r="A565" s="22" t="s">
        <v>2354</v>
      </c>
      <c r="B565" s="22" t="s">
        <v>2355</v>
      </c>
      <c r="C565" s="306" t="s">
        <v>3959</v>
      </c>
      <c r="D565" s="22" t="s">
        <v>406</v>
      </c>
      <c r="E565" s="307">
        <v>34.0</v>
      </c>
      <c r="F565" s="307">
        <v>25.0</v>
      </c>
      <c r="G565" s="307">
        <v>20.0</v>
      </c>
      <c r="H565" s="307">
        <v>19.0</v>
      </c>
      <c r="I565" s="307">
        <v>39.0</v>
      </c>
      <c r="J565" s="308">
        <v>0.51</v>
      </c>
      <c r="K565" s="22" t="s">
        <v>2356</v>
      </c>
      <c r="L565" s="22">
        <v>3.529991039E9</v>
      </c>
      <c r="M565" s="22" t="s">
        <v>47</v>
      </c>
      <c r="N565" s="22" t="s">
        <v>1406</v>
      </c>
      <c r="O565" s="22" t="s">
        <v>2357</v>
      </c>
      <c r="P565" s="22" t="s">
        <v>666</v>
      </c>
      <c r="Q565" s="309">
        <f>COUNTIF('Hedef Liste'!A:A,A565)</f>
        <v>1</v>
      </c>
    </row>
    <row r="566" hidden="1">
      <c r="A566" s="22" t="s">
        <v>1619</v>
      </c>
      <c r="B566" s="22" t="s">
        <v>1620</v>
      </c>
      <c r="C566" s="306" t="s">
        <v>3959</v>
      </c>
      <c r="D566" s="22" t="s">
        <v>406</v>
      </c>
      <c r="E566" s="307">
        <v>7.0</v>
      </c>
      <c r="F566" s="307">
        <v>5.0</v>
      </c>
      <c r="G566" s="307">
        <v>0.0</v>
      </c>
      <c r="H566" s="307">
        <v>15.0</v>
      </c>
      <c r="I566" s="307">
        <v>15.0</v>
      </c>
      <c r="J566" s="308">
        <v>0.0</v>
      </c>
      <c r="K566" s="22" t="s">
        <v>1621</v>
      </c>
      <c r="L566" s="22">
        <v>3.522402948E9</v>
      </c>
      <c r="M566" s="22" t="s">
        <v>71</v>
      </c>
      <c r="N566" s="22" t="s">
        <v>679</v>
      </c>
      <c r="O566" s="22" t="s">
        <v>1622</v>
      </c>
      <c r="P566" s="22" t="s">
        <v>666</v>
      </c>
      <c r="Q566" s="309">
        <f>COUNTIF('Hedef Liste'!A:A,A566)</f>
        <v>1</v>
      </c>
    </row>
    <row r="567" hidden="1">
      <c r="A567" s="22" t="s">
        <v>1717</v>
      </c>
      <c r="B567" s="22" t="s">
        <v>1718</v>
      </c>
      <c r="C567" s="306" t="s">
        <v>3959</v>
      </c>
      <c r="D567" s="22" t="s">
        <v>91</v>
      </c>
      <c r="E567" s="307">
        <v>40.0</v>
      </c>
      <c r="F567" s="307">
        <v>33.0</v>
      </c>
      <c r="G567" s="307">
        <v>0.0</v>
      </c>
      <c r="H567" s="307">
        <v>39.0</v>
      </c>
      <c r="I567" s="307">
        <v>39.0</v>
      </c>
      <c r="J567" s="308">
        <v>0.0</v>
      </c>
      <c r="K567" s="22" t="s">
        <v>1719</v>
      </c>
      <c r="L567" s="22">
        <v>8.50218363E9</v>
      </c>
      <c r="M567" s="22" t="s">
        <v>61</v>
      </c>
      <c r="N567" s="22" t="s">
        <v>107</v>
      </c>
      <c r="O567" s="22" t="s">
        <v>1720</v>
      </c>
      <c r="P567" s="22" t="s">
        <v>666</v>
      </c>
      <c r="Q567" s="309">
        <f>COUNTIF('Hedef Liste'!A:A,A567)</f>
        <v>1</v>
      </c>
    </row>
    <row r="568" hidden="1">
      <c r="A568" s="22" t="s">
        <v>1320</v>
      </c>
      <c r="B568" s="22" t="s">
        <v>1321</v>
      </c>
      <c r="C568" s="306" t="s">
        <v>3959</v>
      </c>
      <c r="D568" s="22" t="s">
        <v>172</v>
      </c>
      <c r="E568" s="307">
        <v>38.0</v>
      </c>
      <c r="F568" s="310"/>
      <c r="G568" s="307">
        <v>0.0</v>
      </c>
      <c r="H568" s="307">
        <v>34.0</v>
      </c>
      <c r="I568" s="307">
        <v>34.0</v>
      </c>
      <c r="J568" s="308">
        <v>0.0</v>
      </c>
      <c r="K568" s="22" t="s">
        <v>1322</v>
      </c>
      <c r="L568" s="22">
        <v>3.523209428E9</v>
      </c>
      <c r="M568" s="22" t="s">
        <v>47</v>
      </c>
      <c r="N568" s="22" t="s">
        <v>339</v>
      </c>
      <c r="O568" s="22" t="s">
        <v>1323</v>
      </c>
      <c r="P568" s="22" t="s">
        <v>666</v>
      </c>
      <c r="Q568" s="309">
        <f>COUNTIF('Hedef Liste'!A:A,A568)</f>
        <v>1</v>
      </c>
    </row>
    <row r="569" hidden="1">
      <c r="A569" s="22" t="s">
        <v>1825</v>
      </c>
      <c r="B569" s="22" t="s">
        <v>1826</v>
      </c>
      <c r="C569" s="306" t="s">
        <v>3959</v>
      </c>
      <c r="D569" s="22" t="s">
        <v>406</v>
      </c>
      <c r="E569" s="307">
        <v>158.0</v>
      </c>
      <c r="F569" s="307">
        <v>57.0</v>
      </c>
      <c r="G569" s="307">
        <v>3.0</v>
      </c>
      <c r="H569" s="307">
        <v>13.0</v>
      </c>
      <c r="I569" s="307">
        <v>16.0</v>
      </c>
      <c r="J569" s="308">
        <v>0.19</v>
      </c>
      <c r="K569" s="22" t="s">
        <v>1827</v>
      </c>
      <c r="L569" s="22">
        <v>3.52241414E9</v>
      </c>
      <c r="M569" s="22" t="s">
        <v>71</v>
      </c>
      <c r="N569" s="22" t="s">
        <v>1828</v>
      </c>
      <c r="O569" s="22" t="s">
        <v>1829</v>
      </c>
      <c r="P569" s="22" t="s">
        <v>666</v>
      </c>
      <c r="Q569" s="309">
        <f>COUNTIF('Hedef Liste'!A:A,A569)</f>
        <v>1</v>
      </c>
    </row>
    <row r="570" hidden="1">
      <c r="A570" s="22" t="s">
        <v>1887</v>
      </c>
      <c r="B570" s="22" t="s">
        <v>1888</v>
      </c>
      <c r="C570" s="306" t="s">
        <v>3959</v>
      </c>
      <c r="D570" s="22" t="s">
        <v>172</v>
      </c>
      <c r="E570" s="310"/>
      <c r="F570" s="310"/>
      <c r="G570" s="307">
        <v>0.0</v>
      </c>
      <c r="H570" s="307">
        <v>3.0</v>
      </c>
      <c r="I570" s="307">
        <v>3.0</v>
      </c>
      <c r="J570" s="308">
        <v>0.0</v>
      </c>
      <c r="K570" s="22" t="s">
        <v>1889</v>
      </c>
      <c r="L570" s="22">
        <v>3.5222344E9</v>
      </c>
      <c r="M570" s="22" t="s">
        <v>71</v>
      </c>
      <c r="N570" s="22" t="s">
        <v>588</v>
      </c>
      <c r="O570" s="22" t="s">
        <v>1890</v>
      </c>
      <c r="P570" s="22" t="s">
        <v>666</v>
      </c>
      <c r="Q570" s="309">
        <f>COUNTIF('Hedef Liste'!A:A,A570)</f>
        <v>1</v>
      </c>
    </row>
    <row r="571" hidden="1">
      <c r="A571" s="22" t="s">
        <v>2825</v>
      </c>
      <c r="B571" s="22" t="s">
        <v>2826</v>
      </c>
      <c r="C571" s="306" t="s">
        <v>3959</v>
      </c>
      <c r="D571" s="22" t="s">
        <v>165</v>
      </c>
      <c r="E571" s="307">
        <v>80.0</v>
      </c>
      <c r="F571" s="307">
        <v>35.0</v>
      </c>
      <c r="G571" s="307">
        <v>9.0</v>
      </c>
      <c r="H571" s="307">
        <v>0.0</v>
      </c>
      <c r="I571" s="307">
        <v>9.0</v>
      </c>
      <c r="J571" s="308">
        <v>1.0</v>
      </c>
      <c r="K571" s="22" t="s">
        <v>2827</v>
      </c>
      <c r="L571" s="22">
        <v>3.522211799E9</v>
      </c>
      <c r="M571" s="22" t="s">
        <v>71</v>
      </c>
      <c r="N571" s="22" t="s">
        <v>1814</v>
      </c>
      <c r="O571" s="22" t="s">
        <v>2828</v>
      </c>
      <c r="P571" s="22" t="s">
        <v>666</v>
      </c>
      <c r="Q571" s="309">
        <f>COUNTIF('Hedef Liste'!A:A,A571)</f>
        <v>1</v>
      </c>
    </row>
    <row r="572" hidden="1">
      <c r="A572" s="22" t="s">
        <v>1923</v>
      </c>
      <c r="B572" s="22" t="s">
        <v>1924</v>
      </c>
      <c r="C572" s="306" t="s">
        <v>3959</v>
      </c>
      <c r="D572" s="22" t="s">
        <v>69</v>
      </c>
      <c r="E572" s="307">
        <v>14.0</v>
      </c>
      <c r="F572" s="307">
        <v>11.0</v>
      </c>
      <c r="G572" s="307">
        <v>0.0</v>
      </c>
      <c r="H572" s="307">
        <v>5.0</v>
      </c>
      <c r="I572" s="307">
        <v>5.0</v>
      </c>
      <c r="J572" s="308">
        <v>0.0</v>
      </c>
      <c r="K572" s="22" t="s">
        <v>1925</v>
      </c>
      <c r="L572" s="22">
        <v>5.454363838E9</v>
      </c>
      <c r="M572" s="22" t="s">
        <v>71</v>
      </c>
      <c r="N572" s="22" t="s">
        <v>214</v>
      </c>
      <c r="O572" s="22" t="s">
        <v>1926</v>
      </c>
      <c r="P572" s="22" t="s">
        <v>666</v>
      </c>
      <c r="Q572" s="309">
        <f>COUNTIF('Hedef Liste'!A:A,A572)</f>
        <v>1</v>
      </c>
    </row>
    <row r="573" hidden="1">
      <c r="A573" s="22" t="s">
        <v>2829</v>
      </c>
      <c r="B573" s="22" t="s">
        <v>2830</v>
      </c>
      <c r="C573" s="306" t="s">
        <v>3959</v>
      </c>
      <c r="D573" s="22" t="s">
        <v>165</v>
      </c>
      <c r="E573" s="307">
        <v>112.0</v>
      </c>
      <c r="F573" s="307">
        <v>66.0</v>
      </c>
      <c r="G573" s="307">
        <v>0.0</v>
      </c>
      <c r="H573" s="307">
        <v>7.0</v>
      </c>
      <c r="I573" s="307">
        <v>7.0</v>
      </c>
      <c r="J573" s="308">
        <v>0.0</v>
      </c>
      <c r="K573" s="22" t="s">
        <v>2827</v>
      </c>
      <c r="L573" s="22">
        <v>3.523387812E9</v>
      </c>
      <c r="M573" s="22" t="s">
        <v>71</v>
      </c>
      <c r="N573" s="22" t="s">
        <v>62</v>
      </c>
      <c r="O573" s="22" t="s">
        <v>2831</v>
      </c>
      <c r="P573" s="22" t="s">
        <v>666</v>
      </c>
      <c r="Q573" s="309">
        <f>COUNTIF('Hedef Liste'!A:A,A573)</f>
        <v>1</v>
      </c>
    </row>
    <row r="574" hidden="1">
      <c r="A574" s="22" t="s">
        <v>1419</v>
      </c>
      <c r="B574" s="22" t="s">
        <v>1420</v>
      </c>
      <c r="C574" s="306" t="s">
        <v>3959</v>
      </c>
      <c r="D574" s="22" t="s">
        <v>100</v>
      </c>
      <c r="E574" s="307">
        <v>21.0</v>
      </c>
      <c r="F574" s="307">
        <v>11.0</v>
      </c>
      <c r="G574" s="307">
        <v>23.0</v>
      </c>
      <c r="H574" s="307">
        <v>21.0</v>
      </c>
      <c r="I574" s="307">
        <v>44.0</v>
      </c>
      <c r="J574" s="308">
        <v>0.52</v>
      </c>
      <c r="K574" s="22" t="s">
        <v>1421</v>
      </c>
      <c r="L574" s="22">
        <v>5.550640338E9</v>
      </c>
      <c r="M574" s="22" t="s">
        <v>47</v>
      </c>
      <c r="N574" s="22" t="s">
        <v>477</v>
      </c>
      <c r="O574" s="22" t="s">
        <v>1422</v>
      </c>
      <c r="P574" s="22" t="s">
        <v>666</v>
      </c>
      <c r="Q574" s="309">
        <f>COUNTIF('Hedef Liste'!A:A,A574)</f>
        <v>1</v>
      </c>
    </row>
    <row r="575" hidden="1">
      <c r="A575" s="22" t="s">
        <v>1792</v>
      </c>
      <c r="B575" s="22" t="s">
        <v>1793</v>
      </c>
      <c r="C575" s="306" t="s">
        <v>3963</v>
      </c>
      <c r="D575" s="22" t="s">
        <v>45</v>
      </c>
      <c r="E575" s="307">
        <v>10.0</v>
      </c>
      <c r="F575" s="310"/>
      <c r="G575" s="307">
        <v>0.0</v>
      </c>
      <c r="H575" s="307">
        <v>15.0</v>
      </c>
      <c r="I575" s="307">
        <v>15.0</v>
      </c>
      <c r="J575" s="308">
        <v>0.0</v>
      </c>
      <c r="K575" s="22" t="s">
        <v>184</v>
      </c>
      <c r="L575" s="22">
        <v>5.331429538E9</v>
      </c>
      <c r="M575" s="22" t="s">
        <v>47</v>
      </c>
      <c r="N575" s="22" t="s">
        <v>125</v>
      </c>
      <c r="O575" s="22" t="s">
        <v>185</v>
      </c>
      <c r="P575" s="22" t="s">
        <v>666</v>
      </c>
      <c r="Q575" s="309">
        <f>COUNTIF('Hedef Liste'!A:A,A575)</f>
        <v>1</v>
      </c>
    </row>
    <row r="576" hidden="1">
      <c r="A576" s="22" t="s">
        <v>4461</v>
      </c>
      <c r="B576" s="22" t="s">
        <v>4462</v>
      </c>
      <c r="C576" s="306" t="s">
        <v>3959</v>
      </c>
      <c r="D576" s="22" t="s">
        <v>100</v>
      </c>
      <c r="E576" s="307">
        <v>91.0</v>
      </c>
      <c r="F576" s="307">
        <v>37.0</v>
      </c>
      <c r="G576" s="307">
        <v>67.0</v>
      </c>
      <c r="H576" s="307">
        <v>1.0</v>
      </c>
      <c r="I576" s="307">
        <v>68.0</v>
      </c>
      <c r="J576" s="308">
        <v>0.99</v>
      </c>
      <c r="K576" s="22" t="s">
        <v>1902</v>
      </c>
      <c r="L576" s="22">
        <v>5.41352026E9</v>
      </c>
      <c r="M576" s="22" t="s">
        <v>47</v>
      </c>
      <c r="N576" s="22" t="s">
        <v>401</v>
      </c>
      <c r="O576" s="22" t="s">
        <v>4463</v>
      </c>
      <c r="P576" s="22" t="s">
        <v>3962</v>
      </c>
      <c r="Q576" s="309">
        <f>COUNTIF('Hedef Liste'!A:A,A576)</f>
        <v>0</v>
      </c>
    </row>
    <row r="577" hidden="1">
      <c r="A577" s="22" t="s">
        <v>1219</v>
      </c>
      <c r="B577" s="22" t="s">
        <v>1220</v>
      </c>
      <c r="C577" s="306" t="s">
        <v>3959</v>
      </c>
      <c r="D577" s="22" t="s">
        <v>165</v>
      </c>
      <c r="E577" s="310"/>
      <c r="F577" s="310"/>
      <c r="G577" s="307">
        <v>0.0</v>
      </c>
      <c r="H577" s="307">
        <v>20.0</v>
      </c>
      <c r="I577" s="307">
        <v>20.0</v>
      </c>
      <c r="J577" s="308">
        <v>0.0</v>
      </c>
      <c r="K577" s="22" t="s">
        <v>1221</v>
      </c>
      <c r="L577" s="22">
        <v>5.541356933E9</v>
      </c>
      <c r="M577" s="22" t="s">
        <v>61</v>
      </c>
      <c r="N577" s="22" t="s">
        <v>62</v>
      </c>
      <c r="O577" s="22" t="s">
        <v>1222</v>
      </c>
      <c r="P577" s="22" t="s">
        <v>666</v>
      </c>
      <c r="Q577" s="309">
        <f>COUNTIF('Hedef Liste'!A:A,A577)</f>
        <v>1</v>
      </c>
    </row>
    <row r="578" hidden="1">
      <c r="A578" s="22" t="s">
        <v>637</v>
      </c>
      <c r="B578" s="22" t="s">
        <v>638</v>
      </c>
      <c r="C578" s="306" t="s">
        <v>3959</v>
      </c>
      <c r="D578" s="22" t="s">
        <v>100</v>
      </c>
      <c r="E578" s="310"/>
      <c r="F578" s="310"/>
      <c r="G578" s="307">
        <v>8.0</v>
      </c>
      <c r="H578" s="307">
        <v>0.0</v>
      </c>
      <c r="I578" s="307">
        <v>8.0</v>
      </c>
      <c r="J578" s="308">
        <v>1.0</v>
      </c>
      <c r="K578" s="22" t="s">
        <v>639</v>
      </c>
      <c r="L578" s="22">
        <v>5.304804817E9</v>
      </c>
      <c r="M578" s="22" t="s">
        <v>47</v>
      </c>
      <c r="N578" s="22" t="s">
        <v>640</v>
      </c>
      <c r="O578" s="22" t="s">
        <v>641</v>
      </c>
      <c r="P578" s="22" t="s">
        <v>666</v>
      </c>
      <c r="Q578" s="309">
        <f>COUNTIF('Hedef Liste'!A:A,A578)</f>
        <v>1</v>
      </c>
    </row>
    <row r="579" hidden="1">
      <c r="A579" s="22" t="s">
        <v>1452</v>
      </c>
      <c r="B579" s="22" t="s">
        <v>1453</v>
      </c>
      <c r="C579" s="306" t="s">
        <v>3959</v>
      </c>
      <c r="D579" s="22" t="s">
        <v>100</v>
      </c>
      <c r="E579" s="307">
        <v>1.0</v>
      </c>
      <c r="F579" s="307">
        <v>1.0</v>
      </c>
      <c r="G579" s="307">
        <v>0.0</v>
      </c>
      <c r="H579" s="307">
        <v>13.0</v>
      </c>
      <c r="I579" s="307">
        <v>13.0</v>
      </c>
      <c r="J579" s="308">
        <v>0.0</v>
      </c>
      <c r="K579" s="22" t="s">
        <v>1454</v>
      </c>
      <c r="L579" s="22">
        <v>3.524374647E9</v>
      </c>
      <c r="M579" s="22" t="s">
        <v>61</v>
      </c>
      <c r="N579" s="22" t="s">
        <v>1000</v>
      </c>
      <c r="O579" s="22" t="s">
        <v>1455</v>
      </c>
      <c r="P579" s="22" t="s">
        <v>666</v>
      </c>
      <c r="Q579" s="309">
        <f>COUNTIF('Hedef Liste'!A:A,A579)</f>
        <v>1</v>
      </c>
    </row>
    <row r="580" hidden="1">
      <c r="A580" s="22" t="s">
        <v>1041</v>
      </c>
      <c r="B580" s="22" t="s">
        <v>1042</v>
      </c>
      <c r="C580" s="306" t="s">
        <v>3959</v>
      </c>
      <c r="D580" s="22" t="s">
        <v>69</v>
      </c>
      <c r="F580" s="310"/>
      <c r="G580" s="307">
        <v>0.0</v>
      </c>
      <c r="H580" s="307">
        <v>29.0</v>
      </c>
      <c r="I580" s="307">
        <v>29.0</v>
      </c>
      <c r="J580" s="311">
        <v>0.0</v>
      </c>
      <c r="K580" s="22" t="s">
        <v>1043</v>
      </c>
      <c r="L580" s="22">
        <v>5.38511225E9</v>
      </c>
      <c r="M580" s="22" t="s">
        <v>47</v>
      </c>
      <c r="N580" s="22" t="s">
        <v>107</v>
      </c>
      <c r="O580" s="22" t="s">
        <v>1044</v>
      </c>
      <c r="P580" s="22" t="s">
        <v>666</v>
      </c>
      <c r="Q580" s="309">
        <f>COUNTIF('Hedef Liste'!A:A,A580)</f>
        <v>1</v>
      </c>
    </row>
    <row r="581">
      <c r="A581" s="22" t="s">
        <v>1259</v>
      </c>
      <c r="B581" s="22" t="s">
        <v>1260</v>
      </c>
      <c r="C581" s="306" t="s">
        <v>3959</v>
      </c>
      <c r="D581" s="22" t="s">
        <v>100</v>
      </c>
      <c r="E581" s="307">
        <v>12.0</v>
      </c>
      <c r="F581" s="307">
        <v>12.0</v>
      </c>
      <c r="G581" s="307">
        <v>0.0</v>
      </c>
      <c r="H581" s="307">
        <v>11.0</v>
      </c>
      <c r="I581" s="307">
        <v>11.0</v>
      </c>
      <c r="J581" s="308">
        <v>0.0</v>
      </c>
      <c r="K581" s="22" t="s">
        <v>1261</v>
      </c>
      <c r="L581" s="22">
        <v>5.394363923E9</v>
      </c>
      <c r="M581" s="22" t="s">
        <v>61</v>
      </c>
      <c r="N581" s="22" t="s">
        <v>62</v>
      </c>
      <c r="O581" s="22" t="s">
        <v>1262</v>
      </c>
      <c r="P581" s="22" t="s">
        <v>666</v>
      </c>
      <c r="Q581" s="309">
        <f>COUNTIF('Hedef Liste'!A:A,A581)</f>
        <v>1</v>
      </c>
    </row>
    <row r="582" hidden="1">
      <c r="A582" s="22" t="s">
        <v>1653</v>
      </c>
      <c r="B582" s="22" t="s">
        <v>1654</v>
      </c>
      <c r="C582" s="306" t="s">
        <v>3959</v>
      </c>
      <c r="D582" s="22" t="s">
        <v>172</v>
      </c>
      <c r="E582" s="307">
        <v>14.0</v>
      </c>
      <c r="F582" s="307">
        <v>9.0</v>
      </c>
      <c r="G582" s="307">
        <v>0.0</v>
      </c>
      <c r="H582" s="307">
        <v>8.0</v>
      </c>
      <c r="I582" s="307">
        <v>8.0</v>
      </c>
      <c r="J582" s="311">
        <v>0.0</v>
      </c>
      <c r="K582" s="22" t="s">
        <v>1655</v>
      </c>
      <c r="L582" s="22">
        <v>5.057643203E9</v>
      </c>
      <c r="M582" s="22" t="s">
        <v>47</v>
      </c>
      <c r="N582" s="22" t="s">
        <v>307</v>
      </c>
      <c r="O582" s="22" t="s">
        <v>1656</v>
      </c>
      <c r="P582" s="22" t="s">
        <v>666</v>
      </c>
      <c r="Q582" s="309">
        <f>COUNTIF('Hedef Liste'!A:A,A582)</f>
        <v>1</v>
      </c>
    </row>
    <row r="583" hidden="1">
      <c r="A583" s="22" t="s">
        <v>779</v>
      </c>
      <c r="B583" s="22" t="s">
        <v>780</v>
      </c>
      <c r="C583" s="306" t="s">
        <v>3959</v>
      </c>
      <c r="D583" s="22" t="s">
        <v>653</v>
      </c>
      <c r="E583" s="307">
        <v>161.0</v>
      </c>
      <c r="F583" s="307">
        <v>45.0</v>
      </c>
      <c r="G583" s="307">
        <v>0.0</v>
      </c>
      <c r="H583" s="307">
        <v>30.0</v>
      </c>
      <c r="I583" s="307">
        <v>30.0</v>
      </c>
      <c r="J583" s="308">
        <v>0.0</v>
      </c>
      <c r="K583" s="22" t="s">
        <v>781</v>
      </c>
      <c r="L583" s="22">
        <v>3.523395566E9</v>
      </c>
      <c r="M583" s="22" t="s">
        <v>71</v>
      </c>
      <c r="N583" s="22" t="s">
        <v>62</v>
      </c>
      <c r="O583" s="22" t="s">
        <v>782</v>
      </c>
      <c r="P583" s="22" t="s">
        <v>666</v>
      </c>
      <c r="Q583" s="309">
        <f>COUNTIF('Hedef Liste'!A:A,A583)</f>
        <v>1</v>
      </c>
    </row>
    <row r="584" hidden="1">
      <c r="A584" s="22" t="s">
        <v>4464</v>
      </c>
      <c r="B584" s="22" t="s">
        <v>4465</v>
      </c>
      <c r="C584" s="306" t="s">
        <v>3959</v>
      </c>
      <c r="D584" s="22" t="s">
        <v>845</v>
      </c>
      <c r="E584" s="307">
        <v>6.0</v>
      </c>
      <c r="F584" s="307">
        <v>3.0</v>
      </c>
      <c r="G584" s="307">
        <v>39.0</v>
      </c>
      <c r="H584" s="307">
        <v>15.0</v>
      </c>
      <c r="I584" s="307">
        <v>54.0</v>
      </c>
      <c r="J584" s="308">
        <v>0.72</v>
      </c>
      <c r="K584" s="22" t="s">
        <v>4466</v>
      </c>
      <c r="L584" s="22">
        <v>3.523153E9</v>
      </c>
      <c r="M584" s="22" t="s">
        <v>71</v>
      </c>
      <c r="N584" s="22" t="s">
        <v>174</v>
      </c>
      <c r="O584" s="22" t="s">
        <v>4467</v>
      </c>
      <c r="P584" s="22" t="s">
        <v>4349</v>
      </c>
      <c r="Q584" s="309">
        <f>COUNTIF('Hedef Liste'!A:A,A584)</f>
        <v>0</v>
      </c>
    </row>
    <row r="585" hidden="1">
      <c r="A585" s="22" t="s">
        <v>4468</v>
      </c>
      <c r="B585" s="22" t="s">
        <v>4469</v>
      </c>
      <c r="C585" s="306" t="s">
        <v>3959</v>
      </c>
      <c r="D585" s="22" t="s">
        <v>91</v>
      </c>
      <c r="E585" s="307">
        <v>7163.0</v>
      </c>
      <c r="F585" s="307">
        <v>92.0</v>
      </c>
      <c r="G585" s="307">
        <v>137.0</v>
      </c>
      <c r="H585" s="307">
        <v>16.0</v>
      </c>
      <c r="I585" s="307">
        <v>153.0</v>
      </c>
      <c r="J585" s="308">
        <v>0.9</v>
      </c>
      <c r="K585" s="22" t="s">
        <v>4470</v>
      </c>
      <c r="L585" s="22">
        <v>3.525031802E9</v>
      </c>
      <c r="M585" s="22" t="s">
        <v>61</v>
      </c>
      <c r="N585" s="22" t="s">
        <v>62</v>
      </c>
      <c r="O585" s="22" t="s">
        <v>4471</v>
      </c>
      <c r="P585" s="22" t="s">
        <v>3962</v>
      </c>
      <c r="Q585" s="309">
        <f>COUNTIF('Hedef Liste'!A:A,A585)</f>
        <v>0</v>
      </c>
    </row>
    <row r="586" hidden="1">
      <c r="A586" s="22" t="s">
        <v>4472</v>
      </c>
      <c r="B586" s="22" t="s">
        <v>4473</v>
      </c>
      <c r="C586" s="306" t="s">
        <v>3959</v>
      </c>
      <c r="D586" s="22" t="s">
        <v>45</v>
      </c>
      <c r="E586" s="307">
        <v>255.0</v>
      </c>
      <c r="F586" s="307">
        <v>239.0</v>
      </c>
      <c r="G586" s="307">
        <v>117.0</v>
      </c>
      <c r="H586" s="307">
        <v>0.0</v>
      </c>
      <c r="I586" s="307">
        <v>117.0</v>
      </c>
      <c r="J586" s="308">
        <v>1.0</v>
      </c>
      <c r="K586" s="22" t="s">
        <v>4150</v>
      </c>
      <c r="L586" s="22">
        <v>9.999999999E9</v>
      </c>
      <c r="M586" s="22" t="s">
        <v>61</v>
      </c>
      <c r="N586" s="22" t="s">
        <v>62</v>
      </c>
      <c r="O586" s="22" t="s">
        <v>4474</v>
      </c>
      <c r="P586" s="22" t="s">
        <v>3962</v>
      </c>
      <c r="Q586" s="309">
        <f>COUNTIF('Hedef Liste'!A:A,A586)</f>
        <v>0</v>
      </c>
    </row>
    <row r="587" hidden="1">
      <c r="A587" s="22" t="s">
        <v>1601</v>
      </c>
      <c r="B587" s="22" t="s">
        <v>1602</v>
      </c>
      <c r="C587" s="306" t="s">
        <v>3959</v>
      </c>
      <c r="D587" s="22" t="s">
        <v>406</v>
      </c>
      <c r="E587" s="307">
        <v>29.0</v>
      </c>
      <c r="F587" s="307">
        <v>20.0</v>
      </c>
      <c r="G587" s="307">
        <v>0.0</v>
      </c>
      <c r="H587" s="307">
        <v>12.0</v>
      </c>
      <c r="I587" s="307">
        <v>12.0</v>
      </c>
      <c r="J587" s="308">
        <v>0.0</v>
      </c>
      <c r="K587" s="22" t="s">
        <v>1603</v>
      </c>
      <c r="L587" s="22">
        <v>3.523511558E9</v>
      </c>
      <c r="M587" s="22" t="s">
        <v>71</v>
      </c>
      <c r="N587" s="22" t="s">
        <v>1604</v>
      </c>
      <c r="O587" s="22" t="s">
        <v>1605</v>
      </c>
      <c r="P587" s="22" t="s">
        <v>666</v>
      </c>
      <c r="Q587" s="309">
        <f>COUNTIF('Hedef Liste'!A:A,A587)</f>
        <v>1</v>
      </c>
    </row>
    <row r="588" hidden="1">
      <c r="A588" s="22" t="s">
        <v>1403</v>
      </c>
      <c r="B588" s="22" t="s">
        <v>1404</v>
      </c>
      <c r="C588" s="306" t="s">
        <v>3959</v>
      </c>
      <c r="D588" s="22" t="s">
        <v>100</v>
      </c>
      <c r="E588" s="307">
        <v>115.0</v>
      </c>
      <c r="F588" s="307">
        <v>16.0</v>
      </c>
      <c r="G588" s="307">
        <v>1.0</v>
      </c>
      <c r="H588" s="307">
        <v>30.0</v>
      </c>
      <c r="I588" s="307">
        <v>31.0</v>
      </c>
      <c r="J588" s="308">
        <v>0.03</v>
      </c>
      <c r="K588" s="22" t="s">
        <v>1405</v>
      </c>
      <c r="L588" s="22">
        <v>5.455929245E9</v>
      </c>
      <c r="M588" s="22" t="s">
        <v>71</v>
      </c>
      <c r="N588" s="22" t="s">
        <v>1406</v>
      </c>
      <c r="O588" s="22" t="s">
        <v>1407</v>
      </c>
      <c r="P588" s="22" t="s">
        <v>666</v>
      </c>
      <c r="Q588" s="309">
        <f>COUNTIF('Hedef Liste'!A:A,A588)</f>
        <v>1</v>
      </c>
    </row>
    <row r="589" hidden="1">
      <c r="A589" s="22" t="s">
        <v>965</v>
      </c>
      <c r="B589" s="22" t="s">
        <v>966</v>
      </c>
      <c r="C589" s="306" t="s">
        <v>3959</v>
      </c>
      <c r="D589" s="22" t="s">
        <v>69</v>
      </c>
      <c r="E589" s="307">
        <v>223.0</v>
      </c>
      <c r="F589" s="307">
        <v>77.0</v>
      </c>
      <c r="G589" s="307">
        <v>0.0</v>
      </c>
      <c r="H589" s="307">
        <v>32.0</v>
      </c>
      <c r="I589" s="307">
        <v>32.0</v>
      </c>
      <c r="J589" s="311">
        <v>0.0</v>
      </c>
      <c r="K589" s="22" t="s">
        <v>967</v>
      </c>
      <c r="L589" s="22">
        <v>3.52503E9</v>
      </c>
      <c r="M589" s="22" t="s">
        <v>47</v>
      </c>
      <c r="N589" s="22" t="s">
        <v>536</v>
      </c>
      <c r="O589" s="22" t="s">
        <v>968</v>
      </c>
      <c r="P589" s="22" t="s">
        <v>666</v>
      </c>
      <c r="Q589" s="309">
        <f>COUNTIF('Hedef Liste'!A:A,A589)</f>
        <v>1</v>
      </c>
    </row>
    <row r="590" hidden="1">
      <c r="A590" s="22" t="s">
        <v>2745</v>
      </c>
      <c r="B590" s="22" t="s">
        <v>2746</v>
      </c>
      <c r="C590" s="306" t="s">
        <v>3959</v>
      </c>
      <c r="D590" s="22" t="s">
        <v>406</v>
      </c>
      <c r="E590" s="307">
        <v>1.0</v>
      </c>
      <c r="F590" s="310"/>
      <c r="G590" s="307">
        <v>0.0</v>
      </c>
      <c r="H590" s="307">
        <v>39.0</v>
      </c>
      <c r="I590" s="307">
        <v>39.0</v>
      </c>
      <c r="J590" s="308">
        <v>0.0</v>
      </c>
      <c r="K590" s="22" t="s">
        <v>2743</v>
      </c>
      <c r="L590" s="22">
        <v>5.534083175E9</v>
      </c>
      <c r="M590" s="22" t="s">
        <v>47</v>
      </c>
      <c r="N590" s="22" t="s">
        <v>47</v>
      </c>
      <c r="O590" s="22" t="s">
        <v>2744</v>
      </c>
      <c r="P590" s="22" t="s">
        <v>666</v>
      </c>
      <c r="Q590" s="309">
        <f>COUNTIF('Hedef Liste'!A:A,A590)</f>
        <v>1</v>
      </c>
    </row>
    <row r="591" hidden="1">
      <c r="A591" s="22" t="s">
        <v>4475</v>
      </c>
      <c r="B591" s="22" t="s">
        <v>4476</v>
      </c>
      <c r="C591" s="306" t="s">
        <v>3959</v>
      </c>
      <c r="D591" s="22" t="s">
        <v>653</v>
      </c>
      <c r="E591" s="307">
        <v>1494.0</v>
      </c>
      <c r="F591" s="307">
        <v>661.0</v>
      </c>
      <c r="G591" s="307">
        <v>74.0</v>
      </c>
      <c r="H591" s="307">
        <v>7.0</v>
      </c>
      <c r="I591" s="307">
        <v>81.0</v>
      </c>
      <c r="J591" s="308">
        <v>0.91</v>
      </c>
      <c r="K591" s="22" t="s">
        <v>4422</v>
      </c>
      <c r="L591" s="22">
        <v>3.525025454E9</v>
      </c>
      <c r="M591" s="22" t="s">
        <v>61</v>
      </c>
      <c r="N591" s="22" t="s">
        <v>107</v>
      </c>
      <c r="O591" s="22" t="s">
        <v>4477</v>
      </c>
      <c r="P591" s="22" t="s">
        <v>666</v>
      </c>
      <c r="Q591" s="309">
        <f>COUNTIF('Hedef Liste'!A:A,A591)</f>
        <v>0</v>
      </c>
    </row>
    <row r="592" hidden="1">
      <c r="A592" s="22" t="s">
        <v>1475</v>
      </c>
      <c r="B592" s="22" t="s">
        <v>1476</v>
      </c>
      <c r="C592" s="306" t="s">
        <v>3959</v>
      </c>
      <c r="D592" s="22" t="s">
        <v>845</v>
      </c>
      <c r="E592" s="307">
        <v>6.0</v>
      </c>
      <c r="F592" s="310"/>
      <c r="G592" s="307">
        <v>9.0</v>
      </c>
      <c r="H592" s="307">
        <v>63.0</v>
      </c>
      <c r="I592" s="307">
        <v>72.0</v>
      </c>
      <c r="J592" s="308">
        <v>0.13</v>
      </c>
      <c r="K592" s="22" t="s">
        <v>1477</v>
      </c>
      <c r="L592" s="22">
        <v>3.52333305E9</v>
      </c>
      <c r="M592" s="22" t="s">
        <v>47</v>
      </c>
      <c r="N592" s="22" t="s">
        <v>47</v>
      </c>
      <c r="O592" s="22" t="s">
        <v>1478</v>
      </c>
      <c r="P592" s="22" t="s">
        <v>666</v>
      </c>
      <c r="Q592" s="309">
        <f>COUNTIF('Hedef Liste'!A:A,A592)</f>
        <v>1</v>
      </c>
    </row>
    <row r="593" hidden="1">
      <c r="A593" s="22" t="s">
        <v>1537</v>
      </c>
      <c r="B593" s="22" t="s">
        <v>1538</v>
      </c>
      <c r="C593" s="306" t="s">
        <v>3959</v>
      </c>
      <c r="D593" s="22" t="s">
        <v>172</v>
      </c>
      <c r="E593" s="307">
        <v>46.0</v>
      </c>
      <c r="F593" s="307">
        <v>10.0</v>
      </c>
      <c r="G593" s="307">
        <v>0.0</v>
      </c>
      <c r="H593" s="307">
        <v>11.0</v>
      </c>
      <c r="I593" s="307">
        <v>11.0</v>
      </c>
      <c r="J593" s="308">
        <v>0.0</v>
      </c>
      <c r="K593" s="22" t="s">
        <v>1534</v>
      </c>
      <c r="L593" s="22">
        <v>3.523441334E9</v>
      </c>
      <c r="M593" s="22" t="s">
        <v>71</v>
      </c>
      <c r="N593" s="22" t="s">
        <v>548</v>
      </c>
      <c r="O593" s="22" t="s">
        <v>1539</v>
      </c>
      <c r="P593" s="22" t="s">
        <v>666</v>
      </c>
      <c r="Q593" s="309">
        <f>COUNTIF('Hedef Liste'!A:A,A593)</f>
        <v>1</v>
      </c>
    </row>
    <row r="594" hidden="1">
      <c r="A594" s="22" t="s">
        <v>4478</v>
      </c>
      <c r="B594" s="22" t="s">
        <v>4479</v>
      </c>
      <c r="C594" s="306" t="s">
        <v>3959</v>
      </c>
      <c r="D594" s="22" t="s">
        <v>100</v>
      </c>
      <c r="E594" s="307">
        <v>79.0</v>
      </c>
      <c r="F594" s="307">
        <v>9.0</v>
      </c>
      <c r="G594" s="307">
        <v>77.0</v>
      </c>
      <c r="H594" s="307">
        <v>8.0</v>
      </c>
      <c r="I594" s="307">
        <v>85.0</v>
      </c>
      <c r="J594" s="308">
        <v>0.91</v>
      </c>
      <c r="K594" s="22" t="s">
        <v>3967</v>
      </c>
      <c r="L594" s="22">
        <v>5.309615069E9</v>
      </c>
      <c r="M594" s="22" t="s">
        <v>71</v>
      </c>
      <c r="N594" s="22" t="s">
        <v>588</v>
      </c>
      <c r="O594" s="22" t="s">
        <v>4480</v>
      </c>
      <c r="P594" s="22" t="s">
        <v>3962</v>
      </c>
      <c r="Q594" s="309">
        <f>COUNTIF('Hedef Liste'!A:A,A594)</f>
        <v>0</v>
      </c>
    </row>
    <row r="595" hidden="1">
      <c r="A595" s="22" t="s">
        <v>187</v>
      </c>
      <c r="B595" s="22" t="s">
        <v>183</v>
      </c>
      <c r="C595" s="306" t="s">
        <v>3959</v>
      </c>
      <c r="D595" s="22" t="s">
        <v>83</v>
      </c>
      <c r="E595" s="307">
        <v>53.0</v>
      </c>
      <c r="F595" s="307">
        <v>14.0</v>
      </c>
      <c r="G595" s="307">
        <v>0.0</v>
      </c>
      <c r="H595" s="307">
        <v>26.0</v>
      </c>
      <c r="I595" s="307">
        <v>26.0</v>
      </c>
      <c r="J595" s="308">
        <v>0.0</v>
      </c>
      <c r="K595" s="22" t="s">
        <v>188</v>
      </c>
      <c r="L595" s="22">
        <v>5.331429538E9</v>
      </c>
      <c r="M595" s="22" t="s">
        <v>47</v>
      </c>
      <c r="N595" s="22" t="s">
        <v>125</v>
      </c>
      <c r="O595" s="22" t="s">
        <v>185</v>
      </c>
      <c r="P595" s="22" t="s">
        <v>666</v>
      </c>
      <c r="Q595" s="309">
        <f>COUNTIF('Hedef Liste'!A:A,A595)</f>
        <v>1</v>
      </c>
    </row>
    <row r="596" hidden="1">
      <c r="A596" s="22" t="s">
        <v>1928</v>
      </c>
      <c r="B596" s="22" t="s">
        <v>1929</v>
      </c>
      <c r="C596" s="306" t="s">
        <v>3959</v>
      </c>
      <c r="D596" s="22" t="s">
        <v>368</v>
      </c>
      <c r="E596" s="307">
        <v>2857.0</v>
      </c>
      <c r="F596" s="307">
        <v>85.0</v>
      </c>
      <c r="G596" s="307">
        <v>0.0</v>
      </c>
      <c r="H596" s="307">
        <v>36.0</v>
      </c>
      <c r="I596" s="307">
        <v>36.0</v>
      </c>
      <c r="J596" s="308">
        <v>0.0</v>
      </c>
      <c r="K596" s="22" t="s">
        <v>605</v>
      </c>
      <c r="L596" s="22">
        <v>5.050856626E9</v>
      </c>
      <c r="M596" s="22" t="s">
        <v>61</v>
      </c>
      <c r="N596" s="22" t="s">
        <v>250</v>
      </c>
      <c r="O596" s="22" t="s">
        <v>606</v>
      </c>
      <c r="P596" s="22" t="s">
        <v>666</v>
      </c>
      <c r="Q596" s="309">
        <f>COUNTIF('Hedef Liste'!A:A,A596)</f>
        <v>1</v>
      </c>
    </row>
    <row r="597" hidden="1">
      <c r="A597" s="22" t="s">
        <v>4481</v>
      </c>
      <c r="B597" s="22" t="s">
        <v>4482</v>
      </c>
      <c r="C597" s="306" t="s">
        <v>3959</v>
      </c>
      <c r="D597" s="22" t="s">
        <v>100</v>
      </c>
      <c r="E597" s="307">
        <v>58.0</v>
      </c>
      <c r="F597" s="307">
        <v>18.0</v>
      </c>
      <c r="G597" s="307">
        <v>70.0</v>
      </c>
      <c r="H597" s="307">
        <v>0.0</v>
      </c>
      <c r="I597" s="307">
        <v>70.0</v>
      </c>
      <c r="J597" s="311">
        <v>1.0</v>
      </c>
      <c r="K597" s="22" t="s">
        <v>4483</v>
      </c>
      <c r="L597" s="22">
        <v>5.312604638E9</v>
      </c>
      <c r="M597" s="22" t="s">
        <v>47</v>
      </c>
      <c r="N597" s="22" t="s">
        <v>131</v>
      </c>
      <c r="O597" s="22" t="s">
        <v>4484</v>
      </c>
      <c r="P597" s="22" t="s">
        <v>3962</v>
      </c>
      <c r="Q597" s="309">
        <f>COUNTIF('Hedef Liste'!A:A,A597)</f>
        <v>0</v>
      </c>
    </row>
    <row r="598" hidden="1">
      <c r="A598" s="22" t="s">
        <v>4485</v>
      </c>
      <c r="B598" s="22" t="s">
        <v>4486</v>
      </c>
      <c r="C598" s="306" t="s">
        <v>3959</v>
      </c>
      <c r="D598" s="22" t="s">
        <v>100</v>
      </c>
      <c r="E598" s="307">
        <v>7.0</v>
      </c>
      <c r="F598" s="310"/>
      <c r="G598" s="307">
        <v>92.0</v>
      </c>
      <c r="H598" s="307">
        <v>89.0</v>
      </c>
      <c r="I598" s="307">
        <v>181.0</v>
      </c>
      <c r="J598" s="311">
        <v>0.51</v>
      </c>
      <c r="K598" s="22" t="s">
        <v>4487</v>
      </c>
      <c r="L598" s="22">
        <v>3.522311112E9</v>
      </c>
      <c r="M598" s="22" t="s">
        <v>71</v>
      </c>
      <c r="N598" s="22" t="s">
        <v>684</v>
      </c>
      <c r="O598" s="22" t="s">
        <v>4488</v>
      </c>
      <c r="P598" s="22" t="s">
        <v>3962</v>
      </c>
      <c r="Q598" s="309">
        <f>COUNTIF('Hedef Liste'!A:A,A598)</f>
        <v>0</v>
      </c>
    </row>
    <row r="599" hidden="1">
      <c r="A599" s="22" t="s">
        <v>2208</v>
      </c>
      <c r="B599" s="22" t="s">
        <v>2209</v>
      </c>
      <c r="C599" s="306" t="s">
        <v>3959</v>
      </c>
      <c r="D599" s="22" t="s">
        <v>165</v>
      </c>
      <c r="E599" s="307">
        <v>45.0</v>
      </c>
      <c r="F599" s="307">
        <v>25.0</v>
      </c>
      <c r="G599" s="307">
        <v>6.0</v>
      </c>
      <c r="H599" s="307">
        <v>10.0</v>
      </c>
      <c r="I599" s="307">
        <v>16.0</v>
      </c>
      <c r="J599" s="308">
        <v>0.38</v>
      </c>
      <c r="K599" s="22" t="s">
        <v>2210</v>
      </c>
      <c r="L599" s="22">
        <v>3.522200021E9</v>
      </c>
      <c r="M599" s="22" t="s">
        <v>47</v>
      </c>
      <c r="N599" s="22" t="s">
        <v>884</v>
      </c>
      <c r="O599" s="22" t="s">
        <v>2211</v>
      </c>
      <c r="P599" s="22" t="s">
        <v>666</v>
      </c>
      <c r="Q599" s="309">
        <f>COUNTIF('Hedef Liste'!A:A,A599)</f>
        <v>1</v>
      </c>
    </row>
    <row r="600" hidden="1">
      <c r="A600" s="22" t="s">
        <v>1366</v>
      </c>
      <c r="B600" s="22" t="s">
        <v>1367</v>
      </c>
      <c r="C600" s="306" t="s">
        <v>3959</v>
      </c>
      <c r="D600" s="22" t="s">
        <v>83</v>
      </c>
      <c r="E600" s="307">
        <v>54.0</v>
      </c>
      <c r="F600" s="307">
        <v>2.0</v>
      </c>
      <c r="G600" s="307">
        <v>0.0</v>
      </c>
      <c r="H600" s="307">
        <v>13.0</v>
      </c>
      <c r="I600" s="307">
        <v>13.0</v>
      </c>
      <c r="J600" s="308">
        <v>0.0</v>
      </c>
      <c r="K600" s="22" t="s">
        <v>1368</v>
      </c>
      <c r="L600" s="22">
        <v>5.013735338E9</v>
      </c>
      <c r="M600" s="22" t="s">
        <v>47</v>
      </c>
      <c r="N600" s="22" t="s">
        <v>138</v>
      </c>
      <c r="O600" s="22" t="s">
        <v>1369</v>
      </c>
      <c r="P600" s="22" t="s">
        <v>666</v>
      </c>
      <c r="Q600" s="309">
        <f>COUNTIF('Hedef Liste'!A:A,A600)</f>
        <v>1</v>
      </c>
    </row>
    <row r="601" hidden="1">
      <c r="A601" s="22" t="s">
        <v>4489</v>
      </c>
      <c r="B601" s="22" t="s">
        <v>4490</v>
      </c>
      <c r="C601" s="306" t="s">
        <v>3959</v>
      </c>
      <c r="D601" s="22" t="s">
        <v>100</v>
      </c>
      <c r="E601" s="307">
        <v>4.0</v>
      </c>
      <c r="F601" s="310"/>
      <c r="G601" s="307">
        <v>65.0</v>
      </c>
      <c r="H601" s="307">
        <v>0.0</v>
      </c>
      <c r="I601" s="307">
        <v>65.0</v>
      </c>
      <c r="J601" s="311">
        <v>1.0</v>
      </c>
      <c r="K601" s="22" t="s">
        <v>4491</v>
      </c>
      <c r="L601" s="22">
        <v>5.339260928E9</v>
      </c>
      <c r="M601" s="22" t="s">
        <v>71</v>
      </c>
      <c r="N601" s="22" t="s">
        <v>209</v>
      </c>
      <c r="O601" s="22" t="s">
        <v>4492</v>
      </c>
      <c r="P601" s="22" t="s">
        <v>3962</v>
      </c>
      <c r="Q601" s="309">
        <f>COUNTIF('Hedef Liste'!A:A,A601)</f>
        <v>0</v>
      </c>
    </row>
    <row r="602" hidden="1">
      <c r="A602" s="22" t="s">
        <v>4493</v>
      </c>
      <c r="B602" s="22" t="s">
        <v>4494</v>
      </c>
      <c r="C602" s="306" t="s">
        <v>3959</v>
      </c>
      <c r="D602" s="22" t="s">
        <v>45</v>
      </c>
      <c r="E602" s="307">
        <v>11384.0</v>
      </c>
      <c r="F602" s="307">
        <v>338.0</v>
      </c>
      <c r="G602" s="307">
        <v>157.0</v>
      </c>
      <c r="H602" s="307">
        <v>0.0</v>
      </c>
      <c r="I602" s="307">
        <v>157.0</v>
      </c>
      <c r="J602" s="311">
        <v>1.0</v>
      </c>
      <c r="K602" s="22" t="s">
        <v>4150</v>
      </c>
      <c r="L602" s="22">
        <v>9.999999999E9</v>
      </c>
      <c r="M602" s="22" t="s">
        <v>47</v>
      </c>
      <c r="N602" s="22" t="s">
        <v>271</v>
      </c>
      <c r="O602" s="22" t="s">
        <v>4495</v>
      </c>
      <c r="P602" s="22" t="s">
        <v>3962</v>
      </c>
      <c r="Q602" s="309">
        <f>COUNTIF('Hedef Liste'!A:A,A602)</f>
        <v>0</v>
      </c>
    </row>
    <row r="603" hidden="1">
      <c r="A603" s="22" t="s">
        <v>509</v>
      </c>
      <c r="B603" s="22" t="s">
        <v>510</v>
      </c>
      <c r="C603" s="306" t="s">
        <v>3959</v>
      </c>
      <c r="D603" s="22" t="s">
        <v>505</v>
      </c>
      <c r="E603" s="307">
        <v>10604.0</v>
      </c>
      <c r="F603" s="307">
        <v>279.0</v>
      </c>
      <c r="G603" s="307">
        <v>0.0</v>
      </c>
      <c r="H603" s="307">
        <v>4.0</v>
      </c>
      <c r="I603" s="307">
        <v>4.0</v>
      </c>
      <c r="J603" s="308">
        <v>0.0</v>
      </c>
      <c r="K603" s="22" t="s">
        <v>511</v>
      </c>
      <c r="L603" s="22">
        <v>3.522203827E9</v>
      </c>
      <c r="M603" s="22" t="s">
        <v>71</v>
      </c>
      <c r="N603" s="22" t="s">
        <v>102</v>
      </c>
      <c r="O603" s="22" t="s">
        <v>512</v>
      </c>
      <c r="P603" s="22" t="s">
        <v>666</v>
      </c>
      <c r="Q603" s="309">
        <f>COUNTIF('Hedef Liste'!A:A,A603)</f>
        <v>1</v>
      </c>
    </row>
    <row r="604" hidden="1">
      <c r="A604" s="22" t="s">
        <v>2696</v>
      </c>
      <c r="B604" s="22" t="s">
        <v>2697</v>
      </c>
      <c r="C604" s="306" t="s">
        <v>3959</v>
      </c>
      <c r="D604" s="22" t="s">
        <v>45</v>
      </c>
      <c r="E604" s="307">
        <v>31.0</v>
      </c>
      <c r="F604" s="307">
        <v>16.0</v>
      </c>
      <c r="G604" s="307">
        <v>0.0</v>
      </c>
      <c r="H604" s="307">
        <v>33.0</v>
      </c>
      <c r="I604" s="307">
        <v>33.0</v>
      </c>
      <c r="J604" s="308">
        <v>0.0</v>
      </c>
      <c r="K604" s="22" t="s">
        <v>2698</v>
      </c>
      <c r="L604" s="22">
        <v>3.5222221E9</v>
      </c>
      <c r="M604" s="22" t="s">
        <v>47</v>
      </c>
      <c r="N604" s="22" t="s">
        <v>391</v>
      </c>
      <c r="O604" s="22" t="s">
        <v>2699</v>
      </c>
      <c r="P604" s="22" t="s">
        <v>666</v>
      </c>
      <c r="Q604" s="309">
        <f>COUNTIF('Hedef Liste'!A:A,A604)</f>
        <v>1</v>
      </c>
    </row>
    <row r="605" hidden="1">
      <c r="A605" s="22" t="s">
        <v>595</v>
      </c>
      <c r="B605" s="22" t="s">
        <v>596</v>
      </c>
      <c r="C605" s="306" t="s">
        <v>3959</v>
      </c>
      <c r="D605" s="22" t="s">
        <v>69</v>
      </c>
      <c r="F605" s="310"/>
      <c r="G605" s="307">
        <v>0.0</v>
      </c>
      <c r="H605" s="307">
        <v>59.0</v>
      </c>
      <c r="I605" s="307">
        <v>59.0</v>
      </c>
      <c r="J605" s="311">
        <v>0.0</v>
      </c>
      <c r="K605" s="22" t="s">
        <v>592</v>
      </c>
      <c r="L605" s="22">
        <v>8.503992727E9</v>
      </c>
      <c r="M605" s="22" t="s">
        <v>47</v>
      </c>
      <c r="N605" s="22" t="s">
        <v>125</v>
      </c>
      <c r="O605" s="22" t="s">
        <v>597</v>
      </c>
      <c r="P605" s="22" t="s">
        <v>666</v>
      </c>
      <c r="Q605" s="309">
        <f>COUNTIF('Hedef Liste'!A:A,A605)</f>
        <v>1</v>
      </c>
    </row>
    <row r="606" hidden="1">
      <c r="A606" s="22" t="s">
        <v>1868</v>
      </c>
      <c r="B606" s="22" t="s">
        <v>1869</v>
      </c>
      <c r="C606" s="306" t="s">
        <v>3959</v>
      </c>
      <c r="D606" s="22" t="s">
        <v>83</v>
      </c>
      <c r="F606" s="310"/>
      <c r="G606" s="307">
        <v>0.0</v>
      </c>
      <c r="H606" s="307">
        <v>11.0</v>
      </c>
      <c r="I606" s="307">
        <v>11.0</v>
      </c>
      <c r="J606" s="308">
        <v>0.0</v>
      </c>
      <c r="K606" s="22" t="s">
        <v>1870</v>
      </c>
      <c r="L606" s="22">
        <v>5.550688338E9</v>
      </c>
      <c r="M606" s="22" t="s">
        <v>47</v>
      </c>
      <c r="N606" s="22" t="s">
        <v>1552</v>
      </c>
      <c r="O606" s="22" t="s">
        <v>1871</v>
      </c>
      <c r="P606" s="22" t="s">
        <v>666</v>
      </c>
      <c r="Q606" s="309">
        <f>COUNTIF('Hedef Liste'!A:A,A606)</f>
        <v>1</v>
      </c>
    </row>
    <row r="607" hidden="1">
      <c r="A607" s="22" t="s">
        <v>2141</v>
      </c>
      <c r="B607" s="22" t="s">
        <v>2142</v>
      </c>
      <c r="C607" s="306" t="s">
        <v>3959</v>
      </c>
      <c r="D607" s="22" t="s">
        <v>165</v>
      </c>
      <c r="E607" s="307">
        <v>1.0</v>
      </c>
      <c r="F607" s="310"/>
      <c r="G607" s="307">
        <v>0.0</v>
      </c>
      <c r="H607" s="307">
        <v>7.0</v>
      </c>
      <c r="I607" s="307">
        <v>7.0</v>
      </c>
      <c r="J607" s="308">
        <v>0.0</v>
      </c>
      <c r="K607" s="22" t="s">
        <v>2143</v>
      </c>
      <c r="L607" s="22">
        <v>5.516395509E9</v>
      </c>
      <c r="M607" s="22" t="s">
        <v>71</v>
      </c>
      <c r="N607" s="22" t="s">
        <v>1148</v>
      </c>
      <c r="O607" s="22" t="s">
        <v>2144</v>
      </c>
      <c r="P607" s="22" t="s">
        <v>666</v>
      </c>
      <c r="Q607" s="309">
        <f>COUNTIF('Hedef Liste'!A:A,A607)</f>
        <v>1</v>
      </c>
    </row>
    <row r="608" hidden="1">
      <c r="A608" s="22" t="s">
        <v>647</v>
      </c>
      <c r="B608" s="22" t="s">
        <v>648</v>
      </c>
      <c r="C608" s="306" t="s">
        <v>3959</v>
      </c>
      <c r="D608" s="22" t="s">
        <v>69</v>
      </c>
      <c r="F608" s="310"/>
      <c r="G608" s="307">
        <v>0.0</v>
      </c>
      <c r="H608" s="307">
        <v>28.0</v>
      </c>
      <c r="I608" s="307">
        <v>28.0</v>
      </c>
      <c r="J608" s="308">
        <v>0.0</v>
      </c>
      <c r="K608" s="22" t="s">
        <v>649</v>
      </c>
      <c r="L608" s="22">
        <v>5.312840476E9</v>
      </c>
      <c r="M608" s="22" t="s">
        <v>71</v>
      </c>
      <c r="N608" s="22" t="s">
        <v>302</v>
      </c>
      <c r="O608" s="22" t="s">
        <v>303</v>
      </c>
      <c r="P608" s="22" t="s">
        <v>666</v>
      </c>
      <c r="Q608" s="309">
        <f>COUNTIF('Hedef Liste'!A:A,A608)</f>
        <v>1</v>
      </c>
    </row>
    <row r="609">
      <c r="A609" s="22" t="s">
        <v>1997</v>
      </c>
      <c r="B609" s="22" t="s">
        <v>1998</v>
      </c>
      <c r="C609" s="306" t="s">
        <v>3959</v>
      </c>
      <c r="D609" s="22" t="s">
        <v>100</v>
      </c>
      <c r="E609" s="307">
        <v>75.0</v>
      </c>
      <c r="F609" s="307">
        <v>75.0</v>
      </c>
      <c r="G609" s="307">
        <v>0.0</v>
      </c>
      <c r="H609" s="307">
        <v>18.0</v>
      </c>
      <c r="I609" s="307">
        <v>18.0</v>
      </c>
      <c r="J609" s="308">
        <v>0.0</v>
      </c>
      <c r="K609" s="22" t="s">
        <v>1999</v>
      </c>
      <c r="L609" s="22">
        <v>5.551855588E9</v>
      </c>
      <c r="M609" s="22" t="s">
        <v>71</v>
      </c>
      <c r="N609" s="22" t="s">
        <v>588</v>
      </c>
      <c r="O609" s="22" t="s">
        <v>2000</v>
      </c>
      <c r="P609" s="22" t="s">
        <v>666</v>
      </c>
      <c r="Q609" s="309">
        <f>COUNTIF('Hedef Liste'!A:A,A609)</f>
        <v>1</v>
      </c>
    </row>
    <row r="610" hidden="1">
      <c r="A610" s="22" t="s">
        <v>4496</v>
      </c>
      <c r="B610" s="22" t="s">
        <v>4497</v>
      </c>
      <c r="C610" s="306" t="s">
        <v>3959</v>
      </c>
      <c r="D610" s="22" t="s">
        <v>69</v>
      </c>
      <c r="E610" s="307">
        <v>1.0</v>
      </c>
      <c r="F610" s="307">
        <v>1.0</v>
      </c>
      <c r="G610" s="307">
        <v>9.0</v>
      </c>
      <c r="H610" s="307">
        <v>25.0</v>
      </c>
      <c r="I610" s="307">
        <v>34.0</v>
      </c>
      <c r="J610" s="308">
        <v>0.26</v>
      </c>
      <c r="K610" s="22" t="s">
        <v>2063</v>
      </c>
      <c r="L610" s="22">
        <v>3.523325626E9</v>
      </c>
      <c r="M610" s="22" t="s">
        <v>47</v>
      </c>
      <c r="N610" s="22" t="s">
        <v>277</v>
      </c>
      <c r="O610" s="22" t="s">
        <v>2064</v>
      </c>
      <c r="P610" s="22" t="s">
        <v>666</v>
      </c>
      <c r="Q610" s="309">
        <f>COUNTIF('Hedef Liste'!A:A,A610)</f>
        <v>0</v>
      </c>
    </row>
    <row r="611" hidden="1">
      <c r="A611" s="22" t="s">
        <v>4498</v>
      </c>
      <c r="B611" s="22" t="s">
        <v>4499</v>
      </c>
      <c r="C611" s="306" t="s">
        <v>3959</v>
      </c>
      <c r="D611" s="22" t="s">
        <v>69</v>
      </c>
      <c r="E611" s="307">
        <v>6.0</v>
      </c>
      <c r="F611" s="307">
        <v>6.0</v>
      </c>
      <c r="G611" s="307">
        <v>12.0</v>
      </c>
      <c r="H611" s="307">
        <v>56.0</v>
      </c>
      <c r="I611" s="307">
        <v>68.0</v>
      </c>
      <c r="J611" s="308">
        <v>0.18</v>
      </c>
      <c r="K611" s="22" t="s">
        <v>486</v>
      </c>
      <c r="L611" s="22">
        <v>3.523323221E9</v>
      </c>
      <c r="M611" s="22" t="s">
        <v>47</v>
      </c>
      <c r="N611" s="22" t="s">
        <v>448</v>
      </c>
      <c r="O611" s="22" t="s">
        <v>487</v>
      </c>
      <c r="P611" s="22" t="s">
        <v>666</v>
      </c>
      <c r="Q611" s="309">
        <f>COUNTIF('Hedef Liste'!A:A,A611)</f>
        <v>0</v>
      </c>
    </row>
    <row r="612" hidden="1">
      <c r="A612" s="22" t="s">
        <v>4500</v>
      </c>
      <c r="B612" s="22" t="s">
        <v>4501</v>
      </c>
      <c r="C612" s="306" t="s">
        <v>3959</v>
      </c>
      <c r="D612" s="22" t="s">
        <v>653</v>
      </c>
      <c r="E612" s="307">
        <v>2183.0</v>
      </c>
      <c r="F612" s="307">
        <v>35.0</v>
      </c>
      <c r="G612" s="307">
        <v>38.0</v>
      </c>
      <c r="H612" s="307">
        <v>0.0</v>
      </c>
      <c r="I612" s="307">
        <v>38.0</v>
      </c>
      <c r="J612" s="308">
        <v>1.0</v>
      </c>
      <c r="K612" s="22" t="s">
        <v>4502</v>
      </c>
      <c r="L612" s="22">
        <v>5.335549938E9</v>
      </c>
      <c r="M612" s="22" t="s">
        <v>47</v>
      </c>
      <c r="N612" s="22" t="s">
        <v>47</v>
      </c>
      <c r="O612" s="22" t="s">
        <v>4503</v>
      </c>
      <c r="P612" s="22" t="s">
        <v>3962</v>
      </c>
      <c r="Q612" s="309">
        <f>COUNTIF('Hedef Liste'!A:A,A612)</f>
        <v>0</v>
      </c>
    </row>
    <row r="613" hidden="1">
      <c r="A613" s="22" t="s">
        <v>4504</v>
      </c>
      <c r="B613" s="22" t="s">
        <v>4505</v>
      </c>
      <c r="C613" s="306" t="s">
        <v>3959</v>
      </c>
      <c r="D613" s="22" t="s">
        <v>100</v>
      </c>
      <c r="E613" s="307">
        <v>3.0</v>
      </c>
      <c r="F613" s="307">
        <v>3.0</v>
      </c>
      <c r="G613" s="307">
        <v>55.0</v>
      </c>
      <c r="H613" s="307">
        <v>5.0</v>
      </c>
      <c r="I613" s="307">
        <v>60.0</v>
      </c>
      <c r="J613" s="308">
        <v>0.92</v>
      </c>
      <c r="K613" s="22" t="s">
        <v>3967</v>
      </c>
      <c r="L613" s="22">
        <v>5.442260105E9</v>
      </c>
      <c r="M613" s="22" t="s">
        <v>71</v>
      </c>
      <c r="N613" s="22" t="s">
        <v>265</v>
      </c>
      <c r="O613" s="22" t="s">
        <v>4506</v>
      </c>
      <c r="P613" s="22" t="s">
        <v>3962</v>
      </c>
      <c r="Q613" s="309">
        <f>COUNTIF('Hedef Liste'!A:A,A613)</f>
        <v>0</v>
      </c>
    </row>
    <row r="614">
      <c r="A614" s="22" t="s">
        <v>1919</v>
      </c>
      <c r="B614" s="22" t="s">
        <v>1920</v>
      </c>
      <c r="C614" s="306" t="s">
        <v>3959</v>
      </c>
      <c r="D614" s="22" t="s">
        <v>165</v>
      </c>
      <c r="E614" s="307">
        <v>15.0</v>
      </c>
      <c r="F614" s="307">
        <v>15.0</v>
      </c>
      <c r="G614" s="307">
        <v>0.0</v>
      </c>
      <c r="H614" s="307">
        <v>59.0</v>
      </c>
      <c r="I614" s="307">
        <v>59.0</v>
      </c>
      <c r="J614" s="308">
        <v>0.0</v>
      </c>
      <c r="K614" s="22" t="s">
        <v>1921</v>
      </c>
      <c r="L614" s="22">
        <v>3.522226632E9</v>
      </c>
      <c r="M614" s="22" t="s">
        <v>71</v>
      </c>
      <c r="N614" s="22" t="s">
        <v>72</v>
      </c>
      <c r="O614" s="22" t="s">
        <v>1922</v>
      </c>
      <c r="P614" s="22" t="s">
        <v>666</v>
      </c>
      <c r="Q614" s="309">
        <f>COUNTIF('Hedef Liste'!A:A,A614)</f>
        <v>1</v>
      </c>
    </row>
    <row r="615">
      <c r="A615" s="22" t="s">
        <v>1224</v>
      </c>
      <c r="B615" s="22" t="s">
        <v>1225</v>
      </c>
      <c r="C615" s="306" t="s">
        <v>3959</v>
      </c>
      <c r="D615" s="22" t="s">
        <v>83</v>
      </c>
      <c r="E615" s="307">
        <v>2.0</v>
      </c>
      <c r="F615" s="307">
        <v>2.0</v>
      </c>
      <c r="G615" s="307">
        <v>0.0</v>
      </c>
      <c r="H615" s="307">
        <v>36.0</v>
      </c>
      <c r="I615" s="307">
        <v>36.0</v>
      </c>
      <c r="J615" s="308">
        <v>0.0</v>
      </c>
      <c r="K615" s="22" t="s">
        <v>1226</v>
      </c>
      <c r="L615" s="22">
        <v>5.312260995E9</v>
      </c>
      <c r="M615" s="22" t="s">
        <v>71</v>
      </c>
      <c r="N615" s="22" t="s">
        <v>684</v>
      </c>
      <c r="O615" s="22" t="s">
        <v>1227</v>
      </c>
      <c r="P615" s="22" t="s">
        <v>666</v>
      </c>
      <c r="Q615" s="309">
        <f>COUNTIF('Hedef Liste'!A:A,A615)</f>
        <v>1</v>
      </c>
    </row>
    <row r="616">
      <c r="A616" s="22" t="s">
        <v>2114</v>
      </c>
      <c r="B616" s="22" t="s">
        <v>2115</v>
      </c>
      <c r="C616" s="306" t="s">
        <v>3959</v>
      </c>
      <c r="D616" s="22" t="s">
        <v>855</v>
      </c>
      <c r="E616" s="307">
        <v>1.0</v>
      </c>
      <c r="F616" s="307">
        <v>1.0</v>
      </c>
      <c r="G616" s="307">
        <v>0.0</v>
      </c>
      <c r="H616" s="307">
        <v>15.0</v>
      </c>
      <c r="I616" s="307">
        <v>15.0</v>
      </c>
      <c r="J616" s="308">
        <v>0.0</v>
      </c>
      <c r="K616" s="22" t="s">
        <v>2116</v>
      </c>
      <c r="L616" s="22">
        <v>5.344626355E9</v>
      </c>
      <c r="M616" s="22" t="s">
        <v>47</v>
      </c>
      <c r="N616" s="22" t="s">
        <v>48</v>
      </c>
      <c r="O616" s="22" t="s">
        <v>2117</v>
      </c>
      <c r="P616" s="22" t="s">
        <v>666</v>
      </c>
      <c r="Q616" s="309">
        <f>COUNTIF('Hedef Liste'!A:A,A616)</f>
        <v>1</v>
      </c>
    </row>
    <row r="617" hidden="1">
      <c r="A617" s="22" t="s">
        <v>1900</v>
      </c>
      <c r="B617" s="22" t="s">
        <v>4507</v>
      </c>
      <c r="C617" s="306" t="s">
        <v>3959</v>
      </c>
      <c r="D617" s="22" t="s">
        <v>69</v>
      </c>
      <c r="E617" s="307">
        <v>11.0</v>
      </c>
      <c r="F617" s="307">
        <v>5.0</v>
      </c>
      <c r="G617" s="307">
        <v>0.0</v>
      </c>
      <c r="H617" s="307">
        <v>26.0</v>
      </c>
      <c r="I617" s="307">
        <v>26.0</v>
      </c>
      <c r="J617" s="308">
        <v>0.0</v>
      </c>
      <c r="K617" s="22" t="s">
        <v>1902</v>
      </c>
      <c r="L617" s="22">
        <v>5.41352026E9</v>
      </c>
      <c r="M617" s="22" t="s">
        <v>47</v>
      </c>
      <c r="N617" s="22" t="s">
        <v>401</v>
      </c>
      <c r="O617" s="22" t="s">
        <v>1903</v>
      </c>
      <c r="P617" s="22" t="s">
        <v>666</v>
      </c>
      <c r="Q617" s="309">
        <f>COUNTIF('Hedef Liste'!A:A,A617)</f>
        <v>1</v>
      </c>
    </row>
    <row r="618" hidden="1">
      <c r="A618" s="22" t="s">
        <v>770</v>
      </c>
      <c r="B618" s="22" t="s">
        <v>771</v>
      </c>
      <c r="C618" s="306" t="s">
        <v>3959</v>
      </c>
      <c r="D618" s="22" t="s">
        <v>406</v>
      </c>
      <c r="E618" s="310"/>
      <c r="F618" s="310"/>
      <c r="G618" s="307">
        <v>0.0</v>
      </c>
      <c r="H618" s="307">
        <v>15.0</v>
      </c>
      <c r="I618" s="307">
        <v>15.0</v>
      </c>
      <c r="J618" s="308">
        <v>0.0</v>
      </c>
      <c r="K618" s="22" t="s">
        <v>772</v>
      </c>
      <c r="L618" s="22">
        <v>3.522221219E9</v>
      </c>
      <c r="M618" s="22" t="s">
        <v>47</v>
      </c>
      <c r="N618" s="22" t="s">
        <v>391</v>
      </c>
      <c r="O618" s="22" t="s">
        <v>773</v>
      </c>
      <c r="P618" s="22" t="s">
        <v>666</v>
      </c>
      <c r="Q618" s="309">
        <f>COUNTIF('Hedef Liste'!A:A,A618)</f>
        <v>1</v>
      </c>
    </row>
    <row r="619">
      <c r="A619" s="22" t="s">
        <v>1186</v>
      </c>
      <c r="B619" s="22" t="s">
        <v>1187</v>
      </c>
      <c r="C619" s="306" t="s">
        <v>3959</v>
      </c>
      <c r="D619" s="22" t="s">
        <v>855</v>
      </c>
      <c r="E619" s="307">
        <v>1.0</v>
      </c>
      <c r="F619" s="307">
        <v>1.0</v>
      </c>
      <c r="G619" s="307">
        <v>0.0</v>
      </c>
      <c r="H619" s="307">
        <v>31.0</v>
      </c>
      <c r="I619" s="307">
        <v>31.0</v>
      </c>
      <c r="J619" s="308">
        <v>0.0</v>
      </c>
      <c r="K619" s="22" t="s">
        <v>1188</v>
      </c>
      <c r="L619" s="22">
        <v>5.32711598E9</v>
      </c>
      <c r="M619" s="22" t="s">
        <v>47</v>
      </c>
      <c r="N619" s="22" t="s">
        <v>131</v>
      </c>
      <c r="O619" s="22" t="s">
        <v>1189</v>
      </c>
      <c r="P619" s="22" t="s">
        <v>666</v>
      </c>
      <c r="Q619" s="309">
        <f>COUNTIF('Hedef Liste'!A:A,A619)</f>
        <v>1</v>
      </c>
    </row>
    <row r="620">
      <c r="A620" s="22" t="s">
        <v>1135</v>
      </c>
      <c r="B620" s="22" t="s">
        <v>1136</v>
      </c>
      <c r="C620" s="306" t="s">
        <v>3959</v>
      </c>
      <c r="D620" s="22" t="s">
        <v>69</v>
      </c>
      <c r="F620" s="310"/>
      <c r="G620" s="307">
        <v>0.0</v>
      </c>
      <c r="H620" s="307">
        <v>33.0</v>
      </c>
      <c r="I620" s="307">
        <v>33.0</v>
      </c>
      <c r="J620" s="308">
        <v>0.0</v>
      </c>
      <c r="K620" s="22" t="s">
        <v>1137</v>
      </c>
      <c r="L620" s="22">
        <v>3.522254246E9</v>
      </c>
      <c r="M620" s="22" t="s">
        <v>47</v>
      </c>
      <c r="N620" s="22" t="s">
        <v>1138</v>
      </c>
      <c r="O620" s="22" t="s">
        <v>1139</v>
      </c>
      <c r="P620" s="22" t="s">
        <v>666</v>
      </c>
      <c r="Q620" s="309">
        <f>COUNTIF('Hedef Liste'!A:A,A620)</f>
        <v>1</v>
      </c>
    </row>
    <row r="621">
      <c r="A621" s="22" t="s">
        <v>1483</v>
      </c>
      <c r="B621" s="22" t="s">
        <v>1484</v>
      </c>
      <c r="C621" s="306" t="s">
        <v>3959</v>
      </c>
      <c r="D621" s="22" t="s">
        <v>59</v>
      </c>
      <c r="F621" s="310"/>
      <c r="G621" s="307">
        <v>0.0</v>
      </c>
      <c r="H621" s="307">
        <v>145.0</v>
      </c>
      <c r="I621" s="307">
        <v>145.0</v>
      </c>
      <c r="J621" s="308">
        <v>0.0</v>
      </c>
      <c r="K621" s="22" t="s">
        <v>1485</v>
      </c>
      <c r="L621" s="22">
        <v>5.333843383E9</v>
      </c>
      <c r="M621" s="22" t="s">
        <v>47</v>
      </c>
      <c r="N621" s="22" t="s">
        <v>307</v>
      </c>
      <c r="O621" s="22" t="s">
        <v>1486</v>
      </c>
      <c r="P621" s="22" t="s">
        <v>666</v>
      </c>
      <c r="Q621" s="309">
        <f>COUNTIF('Hedef Liste'!A:A,A621)</f>
        <v>1</v>
      </c>
    </row>
    <row r="622">
      <c r="A622" s="22" t="s">
        <v>2083</v>
      </c>
      <c r="B622" s="22" t="s">
        <v>2084</v>
      </c>
      <c r="C622" s="306" t="s">
        <v>3959</v>
      </c>
      <c r="D622" s="22" t="s">
        <v>69</v>
      </c>
      <c r="F622" s="310"/>
      <c r="G622" s="307">
        <v>0.0</v>
      </c>
      <c r="H622" s="307">
        <v>64.0</v>
      </c>
      <c r="I622" s="307">
        <v>64.0</v>
      </c>
      <c r="J622" s="308">
        <v>0.0</v>
      </c>
      <c r="K622" s="22" t="s">
        <v>2085</v>
      </c>
      <c r="L622" s="22">
        <v>3.523391034E9</v>
      </c>
      <c r="M622" s="22" t="s">
        <v>71</v>
      </c>
      <c r="N622" s="22" t="s">
        <v>2046</v>
      </c>
      <c r="O622" s="22" t="s">
        <v>2086</v>
      </c>
      <c r="P622" s="22" t="s">
        <v>666</v>
      </c>
      <c r="Q622" s="309">
        <f>COUNTIF('Hedef Liste'!A:A,A622)</f>
        <v>1</v>
      </c>
    </row>
    <row r="623">
      <c r="A623" s="22" t="s">
        <v>1639</v>
      </c>
      <c r="B623" s="22" t="s">
        <v>1640</v>
      </c>
      <c r="C623" s="306" t="s">
        <v>3959</v>
      </c>
      <c r="D623" s="22" t="s">
        <v>1641</v>
      </c>
      <c r="E623" s="310"/>
      <c r="F623" s="310"/>
      <c r="G623" s="307">
        <v>0.0</v>
      </c>
      <c r="H623" s="307">
        <v>18.0</v>
      </c>
      <c r="I623" s="307">
        <v>18.0</v>
      </c>
      <c r="J623" s="308">
        <v>0.0</v>
      </c>
      <c r="K623" s="22" t="s">
        <v>1642</v>
      </c>
      <c r="L623" s="22">
        <v>5.324601773E9</v>
      </c>
      <c r="M623" s="22" t="s">
        <v>71</v>
      </c>
      <c r="N623" s="22" t="s">
        <v>1593</v>
      </c>
      <c r="O623" s="22" t="s">
        <v>1643</v>
      </c>
      <c r="P623" s="22" t="s">
        <v>666</v>
      </c>
      <c r="Q623" s="309">
        <f>COUNTIF('Hedef Liste'!A:A,A623)</f>
        <v>1</v>
      </c>
    </row>
    <row r="624" hidden="1">
      <c r="A624" s="22" t="s">
        <v>4508</v>
      </c>
      <c r="B624" s="22" t="s">
        <v>4509</v>
      </c>
      <c r="C624" s="306" t="s">
        <v>3959</v>
      </c>
      <c r="D624" s="22" t="s">
        <v>100</v>
      </c>
      <c r="E624" s="310"/>
      <c r="F624" s="310"/>
      <c r="G624" s="307">
        <v>112.0</v>
      </c>
      <c r="H624" s="307">
        <v>8.0</v>
      </c>
      <c r="I624" s="307">
        <v>120.0</v>
      </c>
      <c r="J624" s="308">
        <v>0.93</v>
      </c>
      <c r="K624" s="22" t="s">
        <v>3967</v>
      </c>
      <c r="L624" s="22">
        <v>5.321789819E9</v>
      </c>
      <c r="M624" s="22" t="s">
        <v>71</v>
      </c>
      <c r="N624" s="22" t="s">
        <v>1116</v>
      </c>
      <c r="O624" s="22" t="s">
        <v>4510</v>
      </c>
      <c r="P624" s="22" t="s">
        <v>3962</v>
      </c>
      <c r="Q624" s="309">
        <f>COUNTIF('Hedef Liste'!A:A,A624)</f>
        <v>0</v>
      </c>
    </row>
    <row r="625">
      <c r="A625" s="22" t="s">
        <v>201</v>
      </c>
      <c r="B625" s="22" t="s">
        <v>202</v>
      </c>
      <c r="C625" s="306" t="s">
        <v>3959</v>
      </c>
      <c r="D625" s="22" t="s">
        <v>100</v>
      </c>
      <c r="E625" s="310"/>
      <c r="F625" s="310"/>
      <c r="G625" s="307">
        <v>0.0</v>
      </c>
      <c r="H625" s="307">
        <v>12.0</v>
      </c>
      <c r="I625" s="307">
        <v>12.0</v>
      </c>
      <c r="J625" s="308">
        <v>0.0</v>
      </c>
      <c r="K625" s="22" t="s">
        <v>203</v>
      </c>
      <c r="L625" s="22">
        <v>3.525043339E9</v>
      </c>
      <c r="M625" s="22" t="s">
        <v>71</v>
      </c>
      <c r="N625" s="22" t="s">
        <v>204</v>
      </c>
      <c r="O625" s="22" t="s">
        <v>205</v>
      </c>
      <c r="P625" s="22" t="s">
        <v>666</v>
      </c>
      <c r="Q625" s="309">
        <f>COUNTIF('Hedef Liste'!A:A,A625)</f>
        <v>1</v>
      </c>
    </row>
    <row r="626">
      <c r="A626" s="22" t="s">
        <v>1239</v>
      </c>
      <c r="B626" s="22" t="s">
        <v>1240</v>
      </c>
      <c r="C626" s="306" t="s">
        <v>3959</v>
      </c>
      <c r="D626" s="22" t="s">
        <v>69</v>
      </c>
      <c r="F626" s="310"/>
      <c r="G626" s="307">
        <v>0.0</v>
      </c>
      <c r="H626" s="307">
        <v>24.0</v>
      </c>
      <c r="I626" s="307">
        <v>24.0</v>
      </c>
      <c r="J626" s="308">
        <v>0.0</v>
      </c>
      <c r="K626" s="22" t="s">
        <v>1241</v>
      </c>
      <c r="L626" s="22">
        <v>5.426244399E9</v>
      </c>
      <c r="M626" s="22" t="s">
        <v>61</v>
      </c>
      <c r="N626" s="22" t="s">
        <v>320</v>
      </c>
      <c r="O626" s="22" t="s">
        <v>1242</v>
      </c>
      <c r="P626" s="22" t="s">
        <v>666</v>
      </c>
      <c r="Q626" s="309">
        <f>COUNTIF('Hedef Liste'!A:A,A626)</f>
        <v>1</v>
      </c>
    </row>
    <row r="627">
      <c r="A627" s="22" t="s">
        <v>2399</v>
      </c>
      <c r="B627" s="22" t="s">
        <v>2400</v>
      </c>
      <c r="C627" s="306" t="s">
        <v>3959</v>
      </c>
      <c r="D627" s="22" t="s">
        <v>100</v>
      </c>
      <c r="E627" s="310"/>
      <c r="F627" s="310"/>
      <c r="G627" s="307">
        <v>0.0</v>
      </c>
      <c r="H627" s="307">
        <v>27.0</v>
      </c>
      <c r="I627" s="307">
        <v>27.0</v>
      </c>
      <c r="J627" s="308">
        <v>0.0</v>
      </c>
      <c r="K627" s="22" t="s">
        <v>2401</v>
      </c>
      <c r="L627" s="22">
        <v>5.526774138E9</v>
      </c>
      <c r="M627" s="22" t="s">
        <v>71</v>
      </c>
      <c r="N627" s="22" t="s">
        <v>1116</v>
      </c>
      <c r="O627" s="22" t="s">
        <v>2402</v>
      </c>
      <c r="P627" s="22" t="s">
        <v>666</v>
      </c>
      <c r="Q627" s="309">
        <f>COUNTIF('Hedef Liste'!A:A,A627)</f>
        <v>1</v>
      </c>
    </row>
    <row r="628">
      <c r="A628" s="22" t="s">
        <v>2529</v>
      </c>
      <c r="B628" s="22" t="s">
        <v>2530</v>
      </c>
      <c r="C628" s="306" t="s">
        <v>3959</v>
      </c>
      <c r="D628" s="22" t="s">
        <v>172</v>
      </c>
      <c r="E628" s="310"/>
      <c r="F628" s="310"/>
      <c r="G628" s="307">
        <v>0.0</v>
      </c>
      <c r="H628" s="307">
        <v>49.0</v>
      </c>
      <c r="I628" s="307">
        <v>49.0</v>
      </c>
      <c r="J628" s="308">
        <v>0.0</v>
      </c>
      <c r="K628" s="22" t="s">
        <v>2531</v>
      </c>
      <c r="L628" s="22">
        <v>5.396403858E9</v>
      </c>
      <c r="M628" s="22" t="s">
        <v>47</v>
      </c>
      <c r="N628" s="22" t="s">
        <v>131</v>
      </c>
      <c r="O628" s="22" t="s">
        <v>2532</v>
      </c>
      <c r="P628" s="22" t="s">
        <v>666</v>
      </c>
      <c r="Q628" s="309">
        <f>COUNTIF('Hedef Liste'!A:A,A628)</f>
        <v>1</v>
      </c>
    </row>
    <row r="629">
      <c r="A629" s="22" t="s">
        <v>795</v>
      </c>
      <c r="B629" s="22" t="s">
        <v>796</v>
      </c>
      <c r="C629" s="306" t="s">
        <v>3959</v>
      </c>
      <c r="D629" s="22" t="s">
        <v>653</v>
      </c>
      <c r="E629" s="310"/>
      <c r="F629" s="310"/>
      <c r="G629" s="307">
        <v>0.0</v>
      </c>
      <c r="H629" s="307">
        <v>25.0</v>
      </c>
      <c r="I629" s="307">
        <v>25.0</v>
      </c>
      <c r="J629" s="311">
        <v>0.0</v>
      </c>
      <c r="K629" s="22" t="s">
        <v>777</v>
      </c>
      <c r="L629" s="22">
        <v>3.522352521E9</v>
      </c>
      <c r="M629" s="22" t="s">
        <v>71</v>
      </c>
      <c r="N629" s="22" t="s">
        <v>797</v>
      </c>
      <c r="O629" s="22" t="s">
        <v>798</v>
      </c>
      <c r="P629" s="22" t="s">
        <v>666</v>
      </c>
      <c r="Q629" s="309">
        <f>COUNTIF('Hedef Liste'!A:A,A629)</f>
        <v>1</v>
      </c>
    </row>
    <row r="630" hidden="1">
      <c r="A630" s="22" t="s">
        <v>4511</v>
      </c>
      <c r="B630" s="22" t="s">
        <v>4512</v>
      </c>
      <c r="C630" s="306" t="s">
        <v>3963</v>
      </c>
      <c r="D630" s="22" t="s">
        <v>165</v>
      </c>
      <c r="E630" s="310"/>
      <c r="F630" s="310"/>
      <c r="G630" s="307">
        <v>0.0</v>
      </c>
      <c r="H630" s="307">
        <v>35.0</v>
      </c>
      <c r="I630" s="307">
        <v>35.0</v>
      </c>
      <c r="J630" s="308">
        <v>0.0</v>
      </c>
      <c r="K630" s="22" t="s">
        <v>1100</v>
      </c>
      <c r="L630" s="22">
        <v>3.525048E9</v>
      </c>
      <c r="M630" s="22" t="s">
        <v>61</v>
      </c>
      <c r="N630" s="22" t="s">
        <v>62</v>
      </c>
      <c r="O630" s="22" t="s">
        <v>1101</v>
      </c>
      <c r="P630" s="22" t="s">
        <v>666</v>
      </c>
      <c r="Q630" s="309">
        <f>COUNTIF('Hedef Liste'!A:A,A630)</f>
        <v>0</v>
      </c>
    </row>
    <row r="631" hidden="1">
      <c r="A631" s="22" t="s">
        <v>1131</v>
      </c>
      <c r="B631" s="22" t="s">
        <v>1132</v>
      </c>
      <c r="C631" s="306" t="s">
        <v>3959</v>
      </c>
      <c r="D631" s="22" t="s">
        <v>172</v>
      </c>
      <c r="E631" s="307">
        <v>1391.0</v>
      </c>
      <c r="F631" s="307">
        <v>11.0</v>
      </c>
      <c r="G631" s="307">
        <v>16.0</v>
      </c>
      <c r="H631" s="307">
        <v>1.0</v>
      </c>
      <c r="I631" s="307">
        <v>17.0</v>
      </c>
      <c r="J631" s="311">
        <v>0.94</v>
      </c>
      <c r="K631" s="22" t="s">
        <v>1133</v>
      </c>
      <c r="L631" s="22">
        <v>3.523441915E9</v>
      </c>
      <c r="M631" s="22" t="s">
        <v>71</v>
      </c>
      <c r="N631" s="22" t="s">
        <v>209</v>
      </c>
      <c r="O631" s="22" t="s">
        <v>1134</v>
      </c>
      <c r="P631" s="22" t="s">
        <v>666</v>
      </c>
      <c r="Q631" s="309">
        <f>COUNTIF('Hedef Liste'!A:A,A631)</f>
        <v>1</v>
      </c>
    </row>
    <row r="632" hidden="1">
      <c r="A632" s="22" t="s">
        <v>814</v>
      </c>
      <c r="B632" s="22" t="s">
        <v>815</v>
      </c>
      <c r="C632" s="306" t="s">
        <v>3959</v>
      </c>
      <c r="D632" s="22" t="s">
        <v>69</v>
      </c>
      <c r="E632" s="307">
        <v>659.0</v>
      </c>
      <c r="F632" s="307">
        <v>15.0</v>
      </c>
      <c r="G632" s="307">
        <v>0.0</v>
      </c>
      <c r="H632" s="307">
        <v>4.0</v>
      </c>
      <c r="I632" s="307">
        <v>4.0</v>
      </c>
      <c r="J632" s="311">
        <v>0.0</v>
      </c>
      <c r="K632" s="22" t="s">
        <v>816</v>
      </c>
      <c r="L632" s="22">
        <v>5.535423587E9</v>
      </c>
      <c r="M632" s="22" t="s">
        <v>71</v>
      </c>
      <c r="N632" s="22" t="s">
        <v>797</v>
      </c>
      <c r="O632" s="22" t="s">
        <v>817</v>
      </c>
      <c r="P632" s="22" t="s">
        <v>666</v>
      </c>
      <c r="Q632" s="309">
        <f>COUNTIF('Hedef Liste'!A:A,A632)</f>
        <v>1</v>
      </c>
    </row>
    <row r="633" hidden="1">
      <c r="A633" s="22" t="s">
        <v>994</v>
      </c>
      <c r="B633" s="22" t="s">
        <v>995</v>
      </c>
      <c r="C633" s="306" t="s">
        <v>3959</v>
      </c>
      <c r="D633" s="22" t="s">
        <v>172</v>
      </c>
      <c r="E633" s="307">
        <v>312.0</v>
      </c>
      <c r="F633" s="307">
        <v>150.0</v>
      </c>
      <c r="G633" s="307">
        <v>0.0</v>
      </c>
      <c r="H633" s="307">
        <v>24.0</v>
      </c>
      <c r="I633" s="307">
        <v>24.0</v>
      </c>
      <c r="J633" s="308">
        <v>0.0</v>
      </c>
      <c r="K633" s="22" t="s">
        <v>980</v>
      </c>
      <c r="L633" s="22">
        <v>3.522224535E9</v>
      </c>
      <c r="M633" s="22" t="s">
        <v>71</v>
      </c>
      <c r="N633" s="22" t="s">
        <v>102</v>
      </c>
      <c r="O633" s="22" t="s">
        <v>996</v>
      </c>
      <c r="P633" s="22" t="s">
        <v>666</v>
      </c>
      <c r="Q633" s="309">
        <f>COUNTIF('Hedef Liste'!A:A,A633)</f>
        <v>1</v>
      </c>
    </row>
    <row r="634" hidden="1">
      <c r="A634" s="22" t="s">
        <v>987</v>
      </c>
      <c r="B634" s="22" t="s">
        <v>988</v>
      </c>
      <c r="C634" s="306" t="s">
        <v>3959</v>
      </c>
      <c r="D634" s="22" t="s">
        <v>172</v>
      </c>
      <c r="E634" s="307">
        <v>471.0</v>
      </c>
      <c r="F634" s="307">
        <v>192.0</v>
      </c>
      <c r="G634" s="307">
        <v>0.0</v>
      </c>
      <c r="H634" s="307">
        <v>24.0</v>
      </c>
      <c r="I634" s="307">
        <v>24.0</v>
      </c>
      <c r="J634" s="308">
        <v>0.0</v>
      </c>
      <c r="K634" s="22" t="s">
        <v>980</v>
      </c>
      <c r="L634" s="22">
        <v>3.522333444E9</v>
      </c>
      <c r="M634" s="22" t="s">
        <v>47</v>
      </c>
      <c r="N634" s="22" t="s">
        <v>47</v>
      </c>
      <c r="O634" s="22" t="s">
        <v>989</v>
      </c>
      <c r="P634" s="22" t="s">
        <v>666</v>
      </c>
      <c r="Q634" s="309">
        <f>COUNTIF('Hedef Liste'!A:A,A634)</f>
        <v>1</v>
      </c>
    </row>
    <row r="635" hidden="1">
      <c r="A635" s="22" t="s">
        <v>2637</v>
      </c>
      <c r="B635" s="22" t="s">
        <v>2638</v>
      </c>
      <c r="C635" s="306" t="s">
        <v>3959</v>
      </c>
      <c r="D635" s="22" t="s">
        <v>100</v>
      </c>
      <c r="E635" s="310"/>
      <c r="F635" s="310"/>
      <c r="G635" s="307">
        <v>0.0</v>
      </c>
      <c r="H635" s="307">
        <v>10.0</v>
      </c>
      <c r="I635" s="307">
        <v>10.0</v>
      </c>
      <c r="J635" s="308">
        <v>0.0</v>
      </c>
      <c r="K635" s="22" t="s">
        <v>738</v>
      </c>
      <c r="L635" s="22">
        <v>3.525036969E9</v>
      </c>
      <c r="M635" s="22" t="s">
        <v>61</v>
      </c>
      <c r="N635" s="22" t="s">
        <v>2639</v>
      </c>
      <c r="O635" s="22" t="s">
        <v>2640</v>
      </c>
      <c r="P635" s="22" t="s">
        <v>666</v>
      </c>
      <c r="Q635" s="309">
        <f>COUNTIF('Hedef Liste'!A:A,A635)</f>
        <v>1</v>
      </c>
    </row>
    <row r="636" hidden="1">
      <c r="A636" s="22" t="s">
        <v>2851</v>
      </c>
      <c r="B636" s="22" t="s">
        <v>2852</v>
      </c>
      <c r="C636" s="306" t="s">
        <v>3959</v>
      </c>
      <c r="D636" s="22" t="s">
        <v>69</v>
      </c>
      <c r="E636" s="307">
        <v>9.0</v>
      </c>
      <c r="F636" s="307">
        <v>3.0</v>
      </c>
      <c r="G636" s="307">
        <v>9.0</v>
      </c>
      <c r="H636" s="307">
        <v>10.0</v>
      </c>
      <c r="I636" s="307">
        <v>19.0</v>
      </c>
      <c r="J636" s="308">
        <v>0.47</v>
      </c>
      <c r="K636" s="22" t="s">
        <v>2853</v>
      </c>
      <c r="L636" s="22">
        <v>3.523322233E9</v>
      </c>
      <c r="M636" s="22" t="s">
        <v>47</v>
      </c>
      <c r="N636" s="22" t="s">
        <v>259</v>
      </c>
      <c r="O636" s="22" t="s">
        <v>1034</v>
      </c>
      <c r="P636" s="22" t="s">
        <v>666</v>
      </c>
      <c r="Q636" s="309">
        <f>COUNTIF('Hedef Liste'!A:A,A636)</f>
        <v>1</v>
      </c>
    </row>
    <row r="637" hidden="1">
      <c r="A637" s="22" t="s">
        <v>2843</v>
      </c>
      <c r="B637" s="22" t="s">
        <v>2844</v>
      </c>
      <c r="C637" s="306" t="s">
        <v>3959</v>
      </c>
      <c r="D637" s="22" t="s">
        <v>165</v>
      </c>
      <c r="E637" s="307">
        <v>114.0</v>
      </c>
      <c r="F637" s="307">
        <v>77.0</v>
      </c>
      <c r="G637" s="307">
        <v>17.0</v>
      </c>
      <c r="H637" s="307">
        <v>5.0</v>
      </c>
      <c r="I637" s="307">
        <v>22.0</v>
      </c>
      <c r="J637" s="308">
        <v>0.77</v>
      </c>
      <c r="K637" s="22" t="s">
        <v>2845</v>
      </c>
      <c r="L637" s="22">
        <v>3.523201616E9</v>
      </c>
      <c r="M637" s="22" t="s">
        <v>47</v>
      </c>
      <c r="N637" s="22" t="s">
        <v>874</v>
      </c>
      <c r="O637" s="22" t="s">
        <v>2846</v>
      </c>
      <c r="P637" s="22" t="s">
        <v>666</v>
      </c>
      <c r="Q637" s="309">
        <f>COUNTIF('Hedef Liste'!A:A,A637)</f>
        <v>1</v>
      </c>
    </row>
    <row r="638" hidden="1">
      <c r="A638" s="22" t="s">
        <v>1479</v>
      </c>
      <c r="B638" s="22" t="s">
        <v>1480</v>
      </c>
      <c r="C638" s="306" t="s">
        <v>3959</v>
      </c>
      <c r="D638" s="22" t="s">
        <v>69</v>
      </c>
      <c r="E638" s="307">
        <v>766.0</v>
      </c>
      <c r="F638" s="307">
        <v>119.0</v>
      </c>
      <c r="G638" s="307">
        <v>0.0</v>
      </c>
      <c r="H638" s="307">
        <v>31.0</v>
      </c>
      <c r="I638" s="307">
        <v>31.0</v>
      </c>
      <c r="J638" s="308">
        <v>0.0</v>
      </c>
      <c r="K638" s="22" t="s">
        <v>1481</v>
      </c>
      <c r="L638" s="22">
        <v>5.424328119E9</v>
      </c>
      <c r="M638" s="22" t="s">
        <v>71</v>
      </c>
      <c r="N638" s="22" t="s">
        <v>1116</v>
      </c>
      <c r="O638" s="22" t="s">
        <v>1482</v>
      </c>
      <c r="P638" s="22" t="s">
        <v>666</v>
      </c>
      <c r="Q638" s="309">
        <f>COUNTIF('Hedef Liste'!A:A,A638)</f>
        <v>1</v>
      </c>
    </row>
    <row r="639" hidden="1">
      <c r="A639" s="22" t="s">
        <v>4513</v>
      </c>
      <c r="B639" s="22" t="s">
        <v>4514</v>
      </c>
      <c r="C639" s="306" t="s">
        <v>3959</v>
      </c>
      <c r="D639" s="22" t="s">
        <v>172</v>
      </c>
      <c r="E639" s="307">
        <v>68.0</v>
      </c>
      <c r="F639" s="307">
        <v>25.0</v>
      </c>
      <c r="G639" s="307">
        <v>82.0</v>
      </c>
      <c r="H639" s="307">
        <v>1.0</v>
      </c>
      <c r="I639" s="307">
        <v>83.0</v>
      </c>
      <c r="J639" s="308">
        <v>0.99</v>
      </c>
      <c r="K639" s="22" t="s">
        <v>4150</v>
      </c>
      <c r="L639" s="22">
        <v>9.999999999E9</v>
      </c>
      <c r="M639" s="22" t="s">
        <v>47</v>
      </c>
      <c r="N639" s="22" t="s">
        <v>391</v>
      </c>
      <c r="O639" s="22" t="s">
        <v>4515</v>
      </c>
      <c r="P639" s="22" t="s">
        <v>3962</v>
      </c>
      <c r="Q639" s="309">
        <f>COUNTIF('Hedef Liste'!A:A,A639)</f>
        <v>0</v>
      </c>
    </row>
    <row r="640" hidden="1">
      <c r="A640" s="22" t="s">
        <v>731</v>
      </c>
      <c r="B640" s="22" t="s">
        <v>732</v>
      </c>
      <c r="C640" s="306" t="s">
        <v>3959</v>
      </c>
      <c r="D640" s="22" t="s">
        <v>172</v>
      </c>
      <c r="E640" s="307">
        <v>32.0</v>
      </c>
      <c r="F640" s="307">
        <v>32.0</v>
      </c>
      <c r="G640" s="307">
        <v>0.0</v>
      </c>
      <c r="H640" s="307">
        <v>14.0</v>
      </c>
      <c r="I640" s="307">
        <v>14.0</v>
      </c>
      <c r="J640" s="308">
        <v>0.0</v>
      </c>
      <c r="K640" s="22" t="s">
        <v>733</v>
      </c>
      <c r="L640" s="22">
        <v>5.550556638E9</v>
      </c>
      <c r="M640" s="22" t="s">
        <v>47</v>
      </c>
      <c r="N640" s="22" t="s">
        <v>277</v>
      </c>
      <c r="O640" s="22" t="s">
        <v>734</v>
      </c>
      <c r="P640" s="22" t="s">
        <v>666</v>
      </c>
      <c r="Q640" s="309">
        <f>COUNTIF('Hedef Liste'!A:A,A640)</f>
        <v>1</v>
      </c>
    </row>
    <row r="641" hidden="1">
      <c r="A641" s="22" t="s">
        <v>1263</v>
      </c>
      <c r="B641" s="22" t="s">
        <v>1264</v>
      </c>
      <c r="C641" s="306" t="s">
        <v>3959</v>
      </c>
      <c r="D641" s="22" t="s">
        <v>100</v>
      </c>
      <c r="E641" s="307">
        <v>17.0</v>
      </c>
      <c r="F641" s="307">
        <v>10.0</v>
      </c>
      <c r="G641" s="307">
        <v>0.0</v>
      </c>
      <c r="H641" s="307">
        <v>17.0</v>
      </c>
      <c r="I641" s="307">
        <v>17.0</v>
      </c>
      <c r="J641" s="308">
        <v>0.0</v>
      </c>
      <c r="K641" s="22" t="s">
        <v>1265</v>
      </c>
      <c r="L641" s="22">
        <v>8.503463846E9</v>
      </c>
      <c r="M641" s="22" t="s">
        <v>71</v>
      </c>
      <c r="N641" s="22" t="s">
        <v>543</v>
      </c>
      <c r="O641" s="22" t="s">
        <v>1266</v>
      </c>
      <c r="P641" s="22" t="s">
        <v>666</v>
      </c>
      <c r="Q641" s="309">
        <f>COUNTIF('Hedef Liste'!A:A,A641)</f>
        <v>1</v>
      </c>
    </row>
    <row r="642" hidden="1">
      <c r="A642" s="22" t="s">
        <v>457</v>
      </c>
      <c r="B642" s="22" t="s">
        <v>458</v>
      </c>
      <c r="C642" s="306" t="s">
        <v>3959</v>
      </c>
      <c r="D642" s="22" t="s">
        <v>69</v>
      </c>
      <c r="E642" s="307">
        <v>50.0</v>
      </c>
      <c r="F642" s="307">
        <v>36.0</v>
      </c>
      <c r="G642" s="307">
        <v>0.0</v>
      </c>
      <c r="H642" s="307">
        <v>13.0</v>
      </c>
      <c r="I642" s="307">
        <v>13.0</v>
      </c>
      <c r="J642" s="308">
        <v>0.0</v>
      </c>
      <c r="K642" s="22" t="s">
        <v>459</v>
      </c>
      <c r="L642" s="22">
        <v>5.495092224E9</v>
      </c>
      <c r="M642" s="22" t="s">
        <v>61</v>
      </c>
      <c r="N642" s="22" t="s">
        <v>62</v>
      </c>
      <c r="O642" s="22" t="s">
        <v>460</v>
      </c>
      <c r="P642" s="22" t="s">
        <v>666</v>
      </c>
      <c r="Q642" s="309">
        <f>COUNTIF('Hedef Liste'!A:A,A642)</f>
        <v>1</v>
      </c>
    </row>
    <row r="643" hidden="1">
      <c r="A643" s="22" t="s">
        <v>1082</v>
      </c>
      <c r="B643" s="22" t="s">
        <v>1083</v>
      </c>
      <c r="C643" s="306" t="s">
        <v>3959</v>
      </c>
      <c r="D643" s="22" t="s">
        <v>172</v>
      </c>
      <c r="E643" s="310"/>
      <c r="F643" s="310"/>
      <c r="G643" s="307">
        <v>0.0</v>
      </c>
      <c r="H643" s="307">
        <v>13.0</v>
      </c>
      <c r="I643" s="307">
        <v>13.0</v>
      </c>
      <c r="J643" s="308">
        <v>0.0</v>
      </c>
      <c r="K643" s="22" t="s">
        <v>1084</v>
      </c>
      <c r="L643" s="22">
        <v>5.5220685E9</v>
      </c>
      <c r="M643" s="22" t="s">
        <v>47</v>
      </c>
      <c r="N643" s="22" t="s">
        <v>1085</v>
      </c>
      <c r="O643" s="22" t="s">
        <v>1086</v>
      </c>
      <c r="P643" s="22" t="s">
        <v>666</v>
      </c>
      <c r="Q643" s="309">
        <f>COUNTIF('Hedef Liste'!A:A,A643)</f>
        <v>1</v>
      </c>
    </row>
    <row r="644" hidden="1">
      <c r="A644" s="22" t="s">
        <v>1068</v>
      </c>
      <c r="B644" s="22" t="s">
        <v>1064</v>
      </c>
      <c r="C644" s="306" t="s">
        <v>3959</v>
      </c>
      <c r="D644" s="22" t="s">
        <v>165</v>
      </c>
      <c r="E644" s="307">
        <v>119.0</v>
      </c>
      <c r="F644" s="307">
        <v>76.0</v>
      </c>
      <c r="G644" s="307">
        <v>0.0</v>
      </c>
      <c r="H644" s="307">
        <v>25.0</v>
      </c>
      <c r="I644" s="307">
        <v>25.0</v>
      </c>
      <c r="J644" s="308">
        <v>0.0</v>
      </c>
      <c r="K644" s="22" t="s">
        <v>1069</v>
      </c>
      <c r="L644" s="22">
        <v>5.309223386E9</v>
      </c>
      <c r="M644" s="22" t="s">
        <v>61</v>
      </c>
      <c r="N644" s="22" t="s">
        <v>62</v>
      </c>
      <c r="O644" s="22" t="s">
        <v>1070</v>
      </c>
      <c r="P644" s="22" t="s">
        <v>666</v>
      </c>
      <c r="Q644" s="309">
        <f>COUNTIF('Hedef Liste'!A:A,A644)</f>
        <v>1</v>
      </c>
    </row>
    <row r="645" hidden="1">
      <c r="A645" s="22" t="s">
        <v>2534</v>
      </c>
      <c r="B645" s="22" t="s">
        <v>2535</v>
      </c>
      <c r="C645" s="306" t="s">
        <v>3959</v>
      </c>
      <c r="D645" s="22" t="s">
        <v>1598</v>
      </c>
      <c r="E645" s="307">
        <v>1.0</v>
      </c>
      <c r="F645" s="310"/>
      <c r="G645" s="307">
        <v>0.0</v>
      </c>
      <c r="H645" s="307">
        <v>17.0</v>
      </c>
      <c r="I645" s="307">
        <v>17.0</v>
      </c>
      <c r="J645" s="308">
        <v>0.0</v>
      </c>
      <c r="K645" s="22" t="s">
        <v>772</v>
      </c>
      <c r="L645" s="22">
        <v>3.522221219E9</v>
      </c>
      <c r="M645" s="22" t="s">
        <v>47</v>
      </c>
      <c r="N645" s="22" t="s">
        <v>391</v>
      </c>
      <c r="O645" s="22" t="s">
        <v>773</v>
      </c>
      <c r="P645" s="22" t="s">
        <v>666</v>
      </c>
      <c r="Q645" s="309">
        <f>COUNTIF('Hedef Liste'!A:A,A645)</f>
        <v>1</v>
      </c>
    </row>
    <row r="646" hidden="1">
      <c r="A646" s="22" t="s">
        <v>4516</v>
      </c>
      <c r="B646" s="22" t="s">
        <v>4517</v>
      </c>
      <c r="C646" s="306" t="s">
        <v>3959</v>
      </c>
      <c r="D646" s="22" t="s">
        <v>653</v>
      </c>
      <c r="E646" s="307">
        <v>342.0</v>
      </c>
      <c r="F646" s="307">
        <v>282.0</v>
      </c>
      <c r="G646" s="307">
        <v>117.0</v>
      </c>
      <c r="H646" s="307">
        <v>0.0</v>
      </c>
      <c r="I646" s="307">
        <v>117.0</v>
      </c>
      <c r="J646" s="308">
        <v>1.0</v>
      </c>
      <c r="K646" s="22" t="s">
        <v>4150</v>
      </c>
      <c r="L646" s="22">
        <v>9.999999999E9</v>
      </c>
      <c r="M646" s="22" t="s">
        <v>61</v>
      </c>
      <c r="N646" s="22" t="s">
        <v>62</v>
      </c>
      <c r="O646" s="22" t="s">
        <v>4474</v>
      </c>
      <c r="P646" s="22" t="s">
        <v>3962</v>
      </c>
      <c r="Q646" s="309">
        <f>COUNTIF('Hedef Liste'!A:A,A646)</f>
        <v>0</v>
      </c>
    </row>
    <row r="647" hidden="1">
      <c r="A647" s="22" t="s">
        <v>4518</v>
      </c>
      <c r="B647" s="22" t="s">
        <v>4519</v>
      </c>
      <c r="C647" s="306" t="s">
        <v>3959</v>
      </c>
      <c r="D647" s="22" t="s">
        <v>69</v>
      </c>
      <c r="F647" s="310"/>
      <c r="G647" s="307">
        <v>12.0</v>
      </c>
      <c r="H647" s="307">
        <v>24.0</v>
      </c>
      <c r="I647" s="307">
        <v>36.0</v>
      </c>
      <c r="J647" s="308">
        <v>0.33</v>
      </c>
      <c r="K647" s="22" t="s">
        <v>4483</v>
      </c>
      <c r="L647" s="22">
        <v>5.312604638E9</v>
      </c>
      <c r="M647" s="22" t="s">
        <v>47</v>
      </c>
      <c r="N647" s="22" t="s">
        <v>131</v>
      </c>
      <c r="O647" s="22" t="s">
        <v>3070</v>
      </c>
      <c r="P647" s="22" t="s">
        <v>666</v>
      </c>
      <c r="Q647" s="309">
        <f>COUNTIF('Hedef Liste'!A:A,A647)</f>
        <v>0</v>
      </c>
    </row>
    <row r="648" hidden="1">
      <c r="A648" s="22" t="s">
        <v>2291</v>
      </c>
      <c r="B648" s="22" t="s">
        <v>2292</v>
      </c>
      <c r="C648" s="306" t="s">
        <v>3959</v>
      </c>
      <c r="D648" s="22" t="s">
        <v>2293</v>
      </c>
      <c r="E648" s="307">
        <v>18.0</v>
      </c>
      <c r="F648" s="307">
        <v>15.0</v>
      </c>
      <c r="G648" s="307">
        <v>0.0</v>
      </c>
      <c r="H648" s="307">
        <v>30.0</v>
      </c>
      <c r="I648" s="307">
        <v>30.0</v>
      </c>
      <c r="J648" s="308">
        <v>0.0</v>
      </c>
      <c r="K648" s="22" t="s">
        <v>2294</v>
      </c>
      <c r="L648" s="22">
        <v>3.523366575E9</v>
      </c>
      <c r="M648" s="22" t="s">
        <v>71</v>
      </c>
      <c r="N648" s="22" t="s">
        <v>174</v>
      </c>
      <c r="O648" s="22" t="s">
        <v>2295</v>
      </c>
      <c r="P648" s="22" t="s">
        <v>666</v>
      </c>
      <c r="Q648" s="309">
        <f>COUNTIF('Hedef Liste'!A:A,A648)</f>
        <v>1</v>
      </c>
    </row>
    <row r="649" hidden="1">
      <c r="A649" s="22" t="s">
        <v>1374</v>
      </c>
      <c r="B649" s="22" t="s">
        <v>1375</v>
      </c>
      <c r="C649" s="306" t="s">
        <v>3959</v>
      </c>
      <c r="D649" s="22" t="s">
        <v>172</v>
      </c>
      <c r="E649" s="307">
        <v>100.0</v>
      </c>
      <c r="F649" s="307">
        <v>87.0</v>
      </c>
      <c r="G649" s="307">
        <v>0.0</v>
      </c>
      <c r="H649" s="307">
        <v>37.0</v>
      </c>
      <c r="I649" s="307">
        <v>37.0</v>
      </c>
      <c r="J649" s="308">
        <v>0.0</v>
      </c>
      <c r="K649" s="22" t="s">
        <v>1376</v>
      </c>
      <c r="L649" s="22">
        <v>3.522206868E9</v>
      </c>
      <c r="M649" s="22" t="s">
        <v>71</v>
      </c>
      <c r="N649" s="22" t="s">
        <v>71</v>
      </c>
      <c r="O649" s="22" t="s">
        <v>1377</v>
      </c>
      <c r="P649" s="22" t="s">
        <v>666</v>
      </c>
      <c r="Q649" s="309">
        <f>COUNTIF('Hedef Liste'!A:A,A649)</f>
        <v>1</v>
      </c>
    </row>
    <row r="650">
      <c r="A650" s="22" t="s">
        <v>1113</v>
      </c>
      <c r="B650" s="22" t="s">
        <v>1114</v>
      </c>
      <c r="C650" s="306" t="s">
        <v>3959</v>
      </c>
      <c r="D650" s="22" t="s">
        <v>91</v>
      </c>
      <c r="E650" s="307">
        <v>2.0</v>
      </c>
      <c r="F650" s="307">
        <v>2.0</v>
      </c>
      <c r="G650" s="307">
        <v>0.0</v>
      </c>
      <c r="H650" s="307">
        <v>25.0</v>
      </c>
      <c r="I650" s="307">
        <v>25.0</v>
      </c>
      <c r="J650" s="308">
        <v>0.0</v>
      </c>
      <c r="K650" s="22" t="s">
        <v>1115</v>
      </c>
      <c r="L650" s="22">
        <v>3.52338383E9</v>
      </c>
      <c r="M650" s="22" t="s">
        <v>71</v>
      </c>
      <c r="N650" s="22" t="s">
        <v>1116</v>
      </c>
      <c r="O650" s="22" t="s">
        <v>1117</v>
      </c>
      <c r="P650" s="22" t="s">
        <v>666</v>
      </c>
      <c r="Q650" s="309">
        <f>COUNTIF('Hedef Liste'!A:A,A650)</f>
        <v>1</v>
      </c>
    </row>
    <row r="651">
      <c r="A651" s="22" t="s">
        <v>2847</v>
      </c>
      <c r="B651" s="22" t="s">
        <v>2848</v>
      </c>
      <c r="C651" s="306" t="s">
        <v>3959</v>
      </c>
      <c r="D651" s="22" t="s">
        <v>165</v>
      </c>
      <c r="E651" s="307">
        <v>17.0</v>
      </c>
      <c r="F651" s="307">
        <v>17.0</v>
      </c>
      <c r="G651" s="307">
        <v>0.0</v>
      </c>
      <c r="H651" s="307">
        <v>28.0</v>
      </c>
      <c r="I651" s="307">
        <v>28.0</v>
      </c>
      <c r="J651" s="308">
        <v>0.0</v>
      </c>
      <c r="K651" s="22" t="s">
        <v>2845</v>
      </c>
      <c r="L651" s="22">
        <v>3.52320222E9</v>
      </c>
      <c r="M651" s="22" t="s">
        <v>47</v>
      </c>
      <c r="N651" s="22" t="s">
        <v>1576</v>
      </c>
      <c r="O651" s="22" t="s">
        <v>2849</v>
      </c>
      <c r="P651" s="22" t="s">
        <v>666</v>
      </c>
      <c r="Q651" s="309">
        <f>COUNTIF('Hedef Liste'!A:A,A651)</f>
        <v>1</v>
      </c>
    </row>
    <row r="652">
      <c r="A652" s="22" t="s">
        <v>1194</v>
      </c>
      <c r="B652" s="22" t="s">
        <v>1195</v>
      </c>
      <c r="C652" s="306" t="s">
        <v>3959</v>
      </c>
      <c r="D652" s="22" t="s">
        <v>368</v>
      </c>
      <c r="E652" s="307">
        <v>1.0</v>
      </c>
      <c r="F652" s="307">
        <v>1.0</v>
      </c>
      <c r="G652" s="307">
        <v>0.0</v>
      </c>
      <c r="H652" s="307">
        <v>29.0</v>
      </c>
      <c r="I652" s="307">
        <v>29.0</v>
      </c>
      <c r="J652" s="308">
        <v>0.0</v>
      </c>
      <c r="K652" s="22" t="s">
        <v>1196</v>
      </c>
      <c r="L652" s="22">
        <v>3.522228848E9</v>
      </c>
      <c r="M652" s="22" t="s">
        <v>47</v>
      </c>
      <c r="N652" s="22" t="s">
        <v>155</v>
      </c>
      <c r="O652" s="22" t="s">
        <v>1197</v>
      </c>
      <c r="P652" s="22" t="s">
        <v>666</v>
      </c>
      <c r="Q652" s="309">
        <f>COUNTIF('Hedef Liste'!A:A,A652)</f>
        <v>1</v>
      </c>
    </row>
    <row r="653" hidden="1">
      <c r="A653" s="22" t="s">
        <v>1399</v>
      </c>
      <c r="B653" s="22" t="s">
        <v>1400</v>
      </c>
      <c r="C653" s="306" t="s">
        <v>3959</v>
      </c>
      <c r="D653" s="22" t="s">
        <v>100</v>
      </c>
      <c r="E653" s="307">
        <v>209.0</v>
      </c>
      <c r="F653" s="307">
        <v>10.0</v>
      </c>
      <c r="G653" s="307">
        <v>0.0</v>
      </c>
      <c r="H653" s="307">
        <v>18.0</v>
      </c>
      <c r="I653" s="307">
        <v>18.0</v>
      </c>
      <c r="J653" s="308">
        <v>0.0</v>
      </c>
      <c r="K653" s="22" t="s">
        <v>1401</v>
      </c>
      <c r="L653" s="22">
        <v>5.526043866E9</v>
      </c>
      <c r="M653" s="22" t="s">
        <v>71</v>
      </c>
      <c r="N653" s="22" t="s">
        <v>1252</v>
      </c>
      <c r="O653" s="22" t="s">
        <v>1402</v>
      </c>
      <c r="P653" s="22" t="s">
        <v>666</v>
      </c>
      <c r="Q653" s="309">
        <f>COUNTIF('Hedef Liste'!A:A,A653)</f>
        <v>1</v>
      </c>
    </row>
    <row r="654" hidden="1">
      <c r="A654" s="22" t="s">
        <v>2333</v>
      </c>
      <c r="B654" s="22" t="s">
        <v>2334</v>
      </c>
      <c r="C654" s="306" t="s">
        <v>3959</v>
      </c>
      <c r="D654" s="22" t="s">
        <v>855</v>
      </c>
      <c r="E654" s="307">
        <v>6.0</v>
      </c>
      <c r="F654" s="310"/>
      <c r="G654" s="307">
        <v>0.0</v>
      </c>
      <c r="H654" s="307">
        <v>45.0</v>
      </c>
      <c r="I654" s="307">
        <v>45.0</v>
      </c>
      <c r="J654" s="308">
        <v>0.0</v>
      </c>
      <c r="K654" s="22" t="s">
        <v>2335</v>
      </c>
      <c r="L654" s="22">
        <v>5.397935044E9</v>
      </c>
      <c r="M654" s="22" t="s">
        <v>61</v>
      </c>
      <c r="N654" s="22" t="s">
        <v>107</v>
      </c>
      <c r="O654" s="22" t="s">
        <v>2336</v>
      </c>
      <c r="P654" s="22" t="s">
        <v>666</v>
      </c>
      <c r="Q654" s="309">
        <f>COUNTIF('Hedef Liste'!A:A,A654)</f>
        <v>1</v>
      </c>
    </row>
    <row r="655" hidden="1">
      <c r="A655" s="22" t="s">
        <v>559</v>
      </c>
      <c r="B655" s="22" t="s">
        <v>560</v>
      </c>
      <c r="C655" s="306" t="s">
        <v>3959</v>
      </c>
      <c r="D655" s="22" t="s">
        <v>368</v>
      </c>
      <c r="E655" s="307">
        <v>1016.0</v>
      </c>
      <c r="F655" s="307">
        <v>101.0</v>
      </c>
      <c r="G655" s="307">
        <v>0.0</v>
      </c>
      <c r="H655" s="307">
        <v>13.0</v>
      </c>
      <c r="I655" s="307">
        <v>13.0</v>
      </c>
      <c r="J655" s="308">
        <v>0.0</v>
      </c>
      <c r="K655" s="22" t="s">
        <v>561</v>
      </c>
      <c r="L655" s="22">
        <v>5.41471638E9</v>
      </c>
      <c r="M655" s="22" t="s">
        <v>61</v>
      </c>
      <c r="N655" s="22" t="s">
        <v>62</v>
      </c>
      <c r="O655" s="22" t="s">
        <v>562</v>
      </c>
      <c r="P655" s="22" t="s">
        <v>666</v>
      </c>
      <c r="Q655" s="309">
        <f>COUNTIF('Hedef Liste'!A:A,A655)</f>
        <v>1</v>
      </c>
    </row>
    <row r="656" hidden="1">
      <c r="A656" s="22" t="s">
        <v>2372</v>
      </c>
      <c r="B656" s="22" t="s">
        <v>2373</v>
      </c>
      <c r="C656" s="306" t="s">
        <v>3959</v>
      </c>
      <c r="D656" s="22" t="s">
        <v>1641</v>
      </c>
      <c r="E656" s="307">
        <v>3.0</v>
      </c>
      <c r="F656" s="307">
        <v>2.0</v>
      </c>
      <c r="G656" s="307">
        <v>20.0</v>
      </c>
      <c r="H656" s="307">
        <v>1.0</v>
      </c>
      <c r="I656" s="307">
        <v>21.0</v>
      </c>
      <c r="J656" s="308">
        <v>0.95</v>
      </c>
      <c r="K656" s="22" t="s">
        <v>2374</v>
      </c>
      <c r="L656" s="22">
        <v>5.53182943E9</v>
      </c>
      <c r="M656" s="22" t="s">
        <v>61</v>
      </c>
      <c r="N656" s="22" t="s">
        <v>62</v>
      </c>
      <c r="O656" s="22" t="s">
        <v>2375</v>
      </c>
      <c r="P656" s="22" t="s">
        <v>666</v>
      </c>
      <c r="Q656" s="309">
        <f>COUNTIF('Hedef Liste'!A:A,A656)</f>
        <v>1</v>
      </c>
    </row>
    <row r="657" hidden="1">
      <c r="A657" s="22" t="s">
        <v>4520</v>
      </c>
      <c r="B657" s="22" t="s">
        <v>4521</v>
      </c>
      <c r="C657" s="306" t="s">
        <v>3959</v>
      </c>
      <c r="D657" s="22" t="s">
        <v>172</v>
      </c>
      <c r="E657" s="307">
        <v>2202.0</v>
      </c>
      <c r="F657" s="307">
        <v>68.0</v>
      </c>
      <c r="G657" s="307">
        <v>70.0</v>
      </c>
      <c r="H657" s="307">
        <v>0.0</v>
      </c>
      <c r="I657" s="307">
        <v>70.0</v>
      </c>
      <c r="J657" s="308">
        <v>1.0</v>
      </c>
      <c r="K657" s="22" t="s">
        <v>4150</v>
      </c>
      <c r="L657" s="22">
        <v>9.999999999E9</v>
      </c>
      <c r="M657" s="22" t="s">
        <v>47</v>
      </c>
      <c r="N657" s="22" t="s">
        <v>271</v>
      </c>
      <c r="O657" s="22" t="s">
        <v>4522</v>
      </c>
      <c r="P657" s="22" t="s">
        <v>3962</v>
      </c>
      <c r="Q657" s="309">
        <f>COUNTIF('Hedef Liste'!A:A,A657)</f>
        <v>0</v>
      </c>
    </row>
    <row r="658" hidden="1">
      <c r="A658" s="22" t="s">
        <v>1938</v>
      </c>
      <c r="B658" s="22" t="s">
        <v>1939</v>
      </c>
      <c r="C658" s="306" t="s">
        <v>3959</v>
      </c>
      <c r="D658" s="22" t="s">
        <v>69</v>
      </c>
      <c r="E658" s="307">
        <v>92.0</v>
      </c>
      <c r="F658" s="307">
        <v>12.0</v>
      </c>
      <c r="G658" s="307">
        <v>12.0</v>
      </c>
      <c r="H658" s="307">
        <v>16.0</v>
      </c>
      <c r="I658" s="307">
        <v>28.0</v>
      </c>
      <c r="J658" s="308">
        <v>0.43</v>
      </c>
      <c r="K658" s="22" t="s">
        <v>1940</v>
      </c>
      <c r="L658" s="22">
        <v>5.013687251E9</v>
      </c>
      <c r="M658" s="22" t="s">
        <v>61</v>
      </c>
      <c r="N658" s="22" t="s">
        <v>62</v>
      </c>
      <c r="O658" s="22" t="s">
        <v>1941</v>
      </c>
      <c r="P658" s="22" t="s">
        <v>666</v>
      </c>
      <c r="Q658" s="309">
        <f>COUNTIF('Hedef Liste'!A:A,A658)</f>
        <v>1</v>
      </c>
    </row>
    <row r="659" hidden="1">
      <c r="A659" s="22" t="s">
        <v>1119</v>
      </c>
      <c r="B659" s="22" t="s">
        <v>1120</v>
      </c>
      <c r="C659" s="306" t="s">
        <v>3959</v>
      </c>
      <c r="D659" s="22" t="s">
        <v>45</v>
      </c>
      <c r="E659" s="307">
        <v>15.0</v>
      </c>
      <c r="F659" s="307">
        <v>9.0</v>
      </c>
      <c r="G659" s="307">
        <v>0.0</v>
      </c>
      <c r="H659" s="307">
        <v>28.0</v>
      </c>
      <c r="I659" s="307">
        <v>28.0</v>
      </c>
      <c r="J659" s="308">
        <v>0.0</v>
      </c>
      <c r="K659" s="22" t="s">
        <v>1121</v>
      </c>
      <c r="L659" s="22">
        <v>5.323970961E9</v>
      </c>
      <c r="M659" s="22" t="s">
        <v>61</v>
      </c>
      <c r="N659" s="22" t="s">
        <v>250</v>
      </c>
      <c r="O659" s="22" t="s">
        <v>1122</v>
      </c>
      <c r="P659" s="22" t="s">
        <v>666</v>
      </c>
      <c r="Q659" s="309">
        <f>COUNTIF('Hedef Liste'!A:A,A659)</f>
        <v>1</v>
      </c>
    </row>
    <row r="660" hidden="1">
      <c r="A660" s="22" t="s">
        <v>1690</v>
      </c>
      <c r="B660" s="22" t="s">
        <v>1691</v>
      </c>
      <c r="C660" s="306" t="s">
        <v>3959</v>
      </c>
      <c r="D660" s="22" t="s">
        <v>59</v>
      </c>
      <c r="E660" s="307">
        <v>218.0</v>
      </c>
      <c r="F660" s="310"/>
      <c r="G660" s="307">
        <v>0.0</v>
      </c>
      <c r="H660" s="307">
        <v>9.0</v>
      </c>
      <c r="I660" s="307">
        <v>9.0</v>
      </c>
      <c r="J660" s="308">
        <v>0.0</v>
      </c>
      <c r="K660" s="22" t="s">
        <v>1692</v>
      </c>
      <c r="L660" s="22">
        <v>3.5222466E9</v>
      </c>
      <c r="M660" s="22" t="s">
        <v>47</v>
      </c>
      <c r="N660" s="22" t="s">
        <v>1552</v>
      </c>
      <c r="O660" s="22" t="s">
        <v>1693</v>
      </c>
      <c r="P660" s="22" t="s">
        <v>666</v>
      </c>
      <c r="Q660" s="309">
        <f>COUNTIF('Hedef Liste'!A:A,A660)</f>
        <v>1</v>
      </c>
    </row>
    <row r="661" hidden="1">
      <c r="A661" s="22" t="s">
        <v>2572</v>
      </c>
      <c r="B661" s="22" t="s">
        <v>2573</v>
      </c>
      <c r="C661" s="306" t="s">
        <v>3959</v>
      </c>
      <c r="D661" s="22" t="s">
        <v>368</v>
      </c>
      <c r="E661" s="307">
        <v>458.0</v>
      </c>
      <c r="F661" s="307">
        <v>93.0</v>
      </c>
      <c r="G661" s="307">
        <v>8.0</v>
      </c>
      <c r="H661" s="307">
        <v>80.0</v>
      </c>
      <c r="I661" s="307">
        <v>88.0</v>
      </c>
      <c r="J661" s="308">
        <v>0.09</v>
      </c>
      <c r="K661" s="22" t="s">
        <v>2574</v>
      </c>
      <c r="L661" s="22">
        <v>3.5243107E9</v>
      </c>
      <c r="M661" s="22" t="s">
        <v>61</v>
      </c>
      <c r="N661" s="22" t="s">
        <v>62</v>
      </c>
      <c r="O661" s="22" t="s">
        <v>2575</v>
      </c>
      <c r="P661" s="22" t="s">
        <v>666</v>
      </c>
      <c r="Q661" s="309">
        <f>COUNTIF('Hedef Liste'!A:A,A661)</f>
        <v>1</v>
      </c>
    </row>
    <row r="662" hidden="1">
      <c r="A662" s="22" t="s">
        <v>978</v>
      </c>
      <c r="B662" s="22" t="s">
        <v>979</v>
      </c>
      <c r="C662" s="306" t="s">
        <v>3959</v>
      </c>
      <c r="D662" s="22" t="s">
        <v>172</v>
      </c>
      <c r="E662" s="307">
        <v>550.0</v>
      </c>
      <c r="F662" s="307">
        <v>239.0</v>
      </c>
      <c r="G662" s="307">
        <v>0.0</v>
      </c>
      <c r="H662" s="307">
        <v>24.0</v>
      </c>
      <c r="I662" s="307">
        <v>24.0</v>
      </c>
      <c r="J662" s="308">
        <v>0.0</v>
      </c>
      <c r="K662" s="22" t="s">
        <v>980</v>
      </c>
      <c r="L662" s="22">
        <v>3.522324535E9</v>
      </c>
      <c r="M662" s="22" t="s">
        <v>71</v>
      </c>
      <c r="N662" s="22" t="s">
        <v>102</v>
      </c>
      <c r="O662" s="22" t="s">
        <v>981</v>
      </c>
      <c r="P662" s="22" t="s">
        <v>666</v>
      </c>
      <c r="Q662" s="309">
        <f>COUNTIF('Hedef Liste'!A:A,A662)</f>
        <v>1</v>
      </c>
    </row>
    <row r="663" hidden="1">
      <c r="A663" s="22" t="s">
        <v>2136</v>
      </c>
      <c r="B663" s="22" t="s">
        <v>4523</v>
      </c>
      <c r="C663" s="306" t="s">
        <v>3959</v>
      </c>
      <c r="D663" s="22" t="s">
        <v>165</v>
      </c>
      <c r="E663" s="307">
        <v>40.0</v>
      </c>
      <c r="F663" s="307">
        <v>13.0</v>
      </c>
      <c r="G663" s="307">
        <v>8.0</v>
      </c>
      <c r="H663" s="307">
        <v>2.0</v>
      </c>
      <c r="I663" s="307">
        <v>10.0</v>
      </c>
      <c r="J663" s="308">
        <v>0.8</v>
      </c>
      <c r="K663" s="22" t="s">
        <v>2138</v>
      </c>
      <c r="L663" s="22">
        <v>5.386273867E9</v>
      </c>
      <c r="M663" s="22" t="s">
        <v>47</v>
      </c>
      <c r="N663" s="22" t="s">
        <v>2139</v>
      </c>
      <c r="O663" s="22" t="s">
        <v>2140</v>
      </c>
      <c r="P663" s="22" t="s">
        <v>666</v>
      </c>
      <c r="Q663" s="309">
        <f>COUNTIF('Hedef Liste'!A:A,A663)</f>
        <v>1</v>
      </c>
    </row>
    <row r="664" hidden="1">
      <c r="A664" s="22" t="s">
        <v>4524</v>
      </c>
      <c r="B664" s="22" t="s">
        <v>4525</v>
      </c>
      <c r="C664" s="306" t="s">
        <v>3959</v>
      </c>
      <c r="D664" s="22" t="s">
        <v>172</v>
      </c>
      <c r="E664" s="307">
        <v>3632.0</v>
      </c>
      <c r="F664" s="307">
        <v>193.0</v>
      </c>
      <c r="G664" s="307">
        <v>72.0</v>
      </c>
      <c r="H664" s="307">
        <v>0.0</v>
      </c>
      <c r="I664" s="307">
        <v>72.0</v>
      </c>
      <c r="J664" s="308">
        <v>1.0</v>
      </c>
      <c r="K664" s="22" t="s">
        <v>4150</v>
      </c>
      <c r="L664" s="22">
        <v>9.999999999E9</v>
      </c>
      <c r="M664" s="22" t="s">
        <v>47</v>
      </c>
      <c r="N664" s="22" t="s">
        <v>1552</v>
      </c>
      <c r="O664" s="22" t="s">
        <v>4526</v>
      </c>
      <c r="P664" s="22" t="s">
        <v>3962</v>
      </c>
      <c r="Q664" s="309">
        <f>COUNTIF('Hedef Liste'!A:A,A664)</f>
        <v>0</v>
      </c>
    </row>
    <row r="665" hidden="1">
      <c r="A665" s="22" t="s">
        <v>2537</v>
      </c>
      <c r="B665" s="22" t="s">
        <v>2538</v>
      </c>
      <c r="C665" s="306" t="s">
        <v>3959</v>
      </c>
      <c r="D665" s="22" t="s">
        <v>1598</v>
      </c>
      <c r="E665" s="307">
        <v>865.0</v>
      </c>
      <c r="F665" s="307">
        <v>25.0</v>
      </c>
      <c r="G665" s="307">
        <v>7.0</v>
      </c>
      <c r="H665" s="307">
        <v>1.0</v>
      </c>
      <c r="I665" s="307">
        <v>8.0</v>
      </c>
      <c r="J665" s="308">
        <v>0.88</v>
      </c>
      <c r="K665" s="22" t="s">
        <v>2539</v>
      </c>
      <c r="L665" s="22">
        <v>3.522227666E9</v>
      </c>
      <c r="M665" s="22" t="s">
        <v>47</v>
      </c>
      <c r="N665" s="22" t="s">
        <v>307</v>
      </c>
      <c r="O665" s="22" t="s">
        <v>2540</v>
      </c>
      <c r="P665" s="22" t="s">
        <v>666</v>
      </c>
      <c r="Q665" s="309">
        <f>COUNTIF('Hedef Liste'!A:A,A665)</f>
        <v>1</v>
      </c>
    </row>
    <row r="666" hidden="1">
      <c r="A666" s="22" t="s">
        <v>1864</v>
      </c>
      <c r="B666" s="22" t="s">
        <v>1865</v>
      </c>
      <c r="C666" s="306" t="s">
        <v>3959</v>
      </c>
      <c r="D666" s="22" t="s">
        <v>59</v>
      </c>
      <c r="E666" s="307">
        <v>386.0</v>
      </c>
      <c r="F666" s="310"/>
      <c r="G666" s="307">
        <v>2.0</v>
      </c>
      <c r="H666" s="307">
        <v>14.0</v>
      </c>
      <c r="I666" s="307">
        <v>16.0</v>
      </c>
      <c r="J666" s="308">
        <v>0.13</v>
      </c>
      <c r="K666" s="22" t="s">
        <v>1866</v>
      </c>
      <c r="L666" s="22">
        <v>3.529991897E9</v>
      </c>
      <c r="M666" s="22" t="s">
        <v>61</v>
      </c>
      <c r="N666" s="22" t="s">
        <v>107</v>
      </c>
      <c r="O666" s="22" t="s">
        <v>1867</v>
      </c>
      <c r="P666" s="22" t="s">
        <v>666</v>
      </c>
      <c r="Q666" s="309">
        <f>COUNTIF('Hedef Liste'!A:A,A666)</f>
        <v>1</v>
      </c>
    </row>
    <row r="667" hidden="1">
      <c r="A667" s="22" t="s">
        <v>4527</v>
      </c>
      <c r="B667" s="22" t="s">
        <v>4528</v>
      </c>
      <c r="C667" s="306" t="s">
        <v>3959</v>
      </c>
      <c r="D667" s="22" t="s">
        <v>172</v>
      </c>
      <c r="E667" s="310"/>
      <c r="F667" s="310"/>
      <c r="G667" s="307">
        <v>57.0</v>
      </c>
      <c r="H667" s="307">
        <v>52.0</v>
      </c>
      <c r="I667" s="307">
        <v>109.0</v>
      </c>
      <c r="J667" s="308">
        <v>0.52</v>
      </c>
      <c r="K667" s="22" t="s">
        <v>4529</v>
      </c>
      <c r="L667" s="22">
        <v>3.522328899E9</v>
      </c>
      <c r="M667" s="22" t="s">
        <v>71</v>
      </c>
      <c r="N667" s="22" t="s">
        <v>420</v>
      </c>
      <c r="O667" s="22" t="s">
        <v>4530</v>
      </c>
      <c r="P667" s="22" t="s">
        <v>3962</v>
      </c>
      <c r="Q667" s="309">
        <f>COUNTIF('Hedef Liste'!A:A,A667)</f>
        <v>0</v>
      </c>
    </row>
    <row r="668" hidden="1">
      <c r="A668" s="22" t="s">
        <v>2244</v>
      </c>
      <c r="B668" s="22" t="s">
        <v>2245</v>
      </c>
      <c r="C668" s="306" t="s">
        <v>3959</v>
      </c>
      <c r="D668" s="22" t="s">
        <v>91</v>
      </c>
      <c r="E668" s="307">
        <v>1254.0</v>
      </c>
      <c r="F668" s="310"/>
      <c r="G668" s="307">
        <v>0.0</v>
      </c>
      <c r="H668" s="307">
        <v>42.0</v>
      </c>
      <c r="I668" s="307">
        <v>42.0</v>
      </c>
      <c r="J668" s="308">
        <v>0.0</v>
      </c>
      <c r="K668" s="22" t="s">
        <v>2246</v>
      </c>
      <c r="L668" s="22">
        <v>3.523271115E9</v>
      </c>
      <c r="M668" s="22" t="s">
        <v>71</v>
      </c>
      <c r="N668" s="22" t="s">
        <v>787</v>
      </c>
      <c r="O668" s="22" t="s">
        <v>2247</v>
      </c>
      <c r="P668" s="22" t="s">
        <v>666</v>
      </c>
      <c r="Q668" s="309">
        <f>COUNTIF('Hedef Liste'!A:A,A668)</f>
        <v>1</v>
      </c>
    </row>
    <row r="669">
      <c r="A669" s="22" t="s">
        <v>1721</v>
      </c>
      <c r="B669" s="22" t="s">
        <v>1722</v>
      </c>
      <c r="C669" s="306" t="s">
        <v>3959</v>
      </c>
      <c r="D669" s="22" t="s">
        <v>845</v>
      </c>
      <c r="F669" s="310"/>
      <c r="G669" s="307">
        <v>0.0</v>
      </c>
      <c r="H669" s="307">
        <v>90.0</v>
      </c>
      <c r="I669" s="307">
        <v>90.0</v>
      </c>
      <c r="J669" s="308">
        <v>0.0</v>
      </c>
      <c r="K669" s="22" t="s">
        <v>1723</v>
      </c>
      <c r="L669" s="22">
        <v>3.524441704E9</v>
      </c>
      <c r="M669" s="22" t="s">
        <v>47</v>
      </c>
      <c r="N669" s="22" t="s">
        <v>131</v>
      </c>
      <c r="O669" s="22" t="s">
        <v>1724</v>
      </c>
      <c r="P669" s="22" t="s">
        <v>666</v>
      </c>
      <c r="Q669" s="309">
        <f>COUNTIF('Hedef Liste'!A:A,A669)</f>
        <v>1</v>
      </c>
    </row>
    <row r="670">
      <c r="A670" s="22" t="s">
        <v>1209</v>
      </c>
      <c r="B670" s="22" t="s">
        <v>1210</v>
      </c>
      <c r="C670" s="306" t="s">
        <v>3959</v>
      </c>
      <c r="D670" s="22" t="s">
        <v>653</v>
      </c>
      <c r="E670" s="307">
        <v>8.0</v>
      </c>
      <c r="F670" s="307">
        <v>8.0</v>
      </c>
      <c r="G670" s="307">
        <v>0.0</v>
      </c>
      <c r="H670" s="307">
        <v>19.0</v>
      </c>
      <c r="I670" s="307">
        <v>19.0</v>
      </c>
      <c r="J670" s="308">
        <v>0.0</v>
      </c>
      <c r="K670" s="22" t="s">
        <v>1211</v>
      </c>
      <c r="L670" s="22">
        <v>3.522333338E9</v>
      </c>
      <c r="M670" s="22" t="s">
        <v>47</v>
      </c>
      <c r="N670" s="22" t="s">
        <v>271</v>
      </c>
      <c r="O670" s="22" t="s">
        <v>1212</v>
      </c>
      <c r="P670" s="22" t="s">
        <v>666</v>
      </c>
      <c r="Q670" s="309">
        <f>COUNTIF('Hedef Liste'!A:A,A670)</f>
        <v>1</v>
      </c>
    </row>
    <row r="671" hidden="1">
      <c r="A671" s="22" t="s">
        <v>4531</v>
      </c>
      <c r="B671" s="22" t="s">
        <v>4532</v>
      </c>
      <c r="C671" s="306" t="s">
        <v>3959</v>
      </c>
      <c r="D671" s="22" t="s">
        <v>4168</v>
      </c>
      <c r="E671" s="307">
        <v>2142.0</v>
      </c>
      <c r="F671" s="307">
        <v>63.0</v>
      </c>
      <c r="G671" s="307">
        <v>81.0</v>
      </c>
      <c r="H671" s="307">
        <v>2.0</v>
      </c>
      <c r="I671" s="307">
        <v>83.0</v>
      </c>
      <c r="J671" s="308">
        <v>0.98</v>
      </c>
      <c r="K671" s="22" t="s">
        <v>4436</v>
      </c>
      <c r="L671" s="22">
        <v>3.525033256E9</v>
      </c>
      <c r="M671" s="22" t="s">
        <v>47</v>
      </c>
      <c r="N671" s="22" t="s">
        <v>47</v>
      </c>
      <c r="O671" s="22" t="s">
        <v>4533</v>
      </c>
      <c r="P671" s="22" t="s">
        <v>3962</v>
      </c>
      <c r="Q671" s="309">
        <f>COUNTIF('Hedef Liste'!A:A,A671)</f>
        <v>0</v>
      </c>
    </row>
    <row r="672" hidden="1">
      <c r="A672" s="22" t="s">
        <v>4534</v>
      </c>
      <c r="B672" s="22" t="s">
        <v>4535</v>
      </c>
      <c r="C672" s="306" t="s">
        <v>3959</v>
      </c>
      <c r="D672" s="22" t="s">
        <v>45</v>
      </c>
      <c r="E672" s="307">
        <v>5876.0</v>
      </c>
      <c r="F672" s="307">
        <v>159.0</v>
      </c>
      <c r="G672" s="307">
        <v>95.0</v>
      </c>
      <c r="H672" s="307">
        <v>0.0</v>
      </c>
      <c r="I672" s="307">
        <v>95.0</v>
      </c>
      <c r="J672" s="308">
        <v>1.0</v>
      </c>
      <c r="K672" s="22" t="s">
        <v>4150</v>
      </c>
      <c r="L672" s="22">
        <v>9.999999999E9</v>
      </c>
      <c r="M672" s="22" t="s">
        <v>47</v>
      </c>
      <c r="N672" s="22" t="s">
        <v>47</v>
      </c>
      <c r="O672" s="22" t="s">
        <v>4536</v>
      </c>
      <c r="P672" s="22" t="s">
        <v>3962</v>
      </c>
      <c r="Q672" s="309">
        <f>COUNTIF('Hedef Liste'!A:A,A672)</f>
        <v>0</v>
      </c>
    </row>
    <row r="673" hidden="1">
      <c r="A673" s="22" t="s">
        <v>4537</v>
      </c>
      <c r="B673" s="22" t="s">
        <v>4538</v>
      </c>
      <c r="C673" s="306" t="s">
        <v>3959</v>
      </c>
      <c r="D673" s="22" t="s">
        <v>45</v>
      </c>
      <c r="E673" s="307">
        <v>7427.0</v>
      </c>
      <c r="F673" s="307">
        <v>217.0</v>
      </c>
      <c r="G673" s="307">
        <v>167.0</v>
      </c>
      <c r="H673" s="307">
        <v>0.0</v>
      </c>
      <c r="I673" s="307">
        <v>167.0</v>
      </c>
      <c r="J673" s="308">
        <v>1.0</v>
      </c>
      <c r="K673" s="22" t="s">
        <v>4150</v>
      </c>
      <c r="L673" s="22">
        <v>9.999999999E9</v>
      </c>
      <c r="M673" s="22" t="s">
        <v>47</v>
      </c>
      <c r="N673" s="22" t="s">
        <v>47</v>
      </c>
      <c r="O673" s="22" t="s">
        <v>4539</v>
      </c>
      <c r="P673" s="22" t="s">
        <v>3962</v>
      </c>
      <c r="Q673" s="309">
        <f>COUNTIF('Hedef Liste'!A:A,A673)</f>
        <v>0</v>
      </c>
    </row>
    <row r="674" hidden="1">
      <c r="A674" s="22" t="s">
        <v>4540</v>
      </c>
      <c r="B674" s="22" t="s">
        <v>4541</v>
      </c>
      <c r="C674" s="306" t="s">
        <v>3959</v>
      </c>
      <c r="D674" s="22" t="s">
        <v>45</v>
      </c>
      <c r="E674" s="307">
        <v>5800.0</v>
      </c>
      <c r="F674" s="307">
        <v>296.0</v>
      </c>
      <c r="G674" s="307">
        <v>114.0</v>
      </c>
      <c r="H674" s="307">
        <v>0.0</v>
      </c>
      <c r="I674" s="307">
        <v>114.0</v>
      </c>
      <c r="J674" s="308">
        <v>1.0</v>
      </c>
      <c r="K674" s="22" t="s">
        <v>4150</v>
      </c>
      <c r="L674" s="22">
        <v>9.999999999E9</v>
      </c>
      <c r="M674" s="22" t="s">
        <v>47</v>
      </c>
      <c r="N674" s="22" t="s">
        <v>391</v>
      </c>
      <c r="O674" s="22" t="s">
        <v>4542</v>
      </c>
      <c r="P674" s="22" t="s">
        <v>3962</v>
      </c>
      <c r="Q674" s="309">
        <f>COUNTIF('Hedef Liste'!A:A,A674)</f>
        <v>0</v>
      </c>
    </row>
    <row r="675">
      <c r="A675" s="22" t="s">
        <v>2873</v>
      </c>
      <c r="B675" s="22" t="s">
        <v>2874</v>
      </c>
      <c r="C675" s="306" t="s">
        <v>3959</v>
      </c>
      <c r="D675" s="22" t="s">
        <v>69</v>
      </c>
      <c r="E675" s="307">
        <v>44.0</v>
      </c>
      <c r="F675" s="307">
        <v>44.0</v>
      </c>
      <c r="G675" s="307">
        <v>0.0</v>
      </c>
      <c r="H675" s="307">
        <v>27.0</v>
      </c>
      <c r="I675" s="307">
        <v>27.0</v>
      </c>
      <c r="J675" s="308">
        <v>0.0</v>
      </c>
      <c r="K675" s="22" t="s">
        <v>2875</v>
      </c>
      <c r="L675" s="22">
        <v>5.310822128E9</v>
      </c>
      <c r="M675" s="22" t="s">
        <v>61</v>
      </c>
      <c r="N675" s="22" t="s">
        <v>62</v>
      </c>
      <c r="O675" s="22" t="s">
        <v>2876</v>
      </c>
      <c r="P675" s="22" t="s">
        <v>666</v>
      </c>
      <c r="Q675" s="309">
        <f>COUNTIF('Hedef Liste'!A:A,A675)</f>
        <v>1</v>
      </c>
    </row>
    <row r="676" hidden="1">
      <c r="A676" s="22" t="s">
        <v>1841</v>
      </c>
      <c r="B676" s="22" t="s">
        <v>1842</v>
      </c>
      <c r="C676" s="306" t="s">
        <v>3959</v>
      </c>
      <c r="D676" s="22" t="s">
        <v>406</v>
      </c>
      <c r="E676" s="307">
        <v>104.0</v>
      </c>
      <c r="F676" s="307">
        <v>2.0</v>
      </c>
      <c r="G676" s="307">
        <v>5.0</v>
      </c>
      <c r="H676" s="307">
        <v>8.0</v>
      </c>
      <c r="I676" s="307">
        <v>13.0</v>
      </c>
      <c r="J676" s="308">
        <v>0.38</v>
      </c>
      <c r="K676" s="22" t="s">
        <v>1843</v>
      </c>
      <c r="L676" s="22">
        <v>3.525035768E9</v>
      </c>
      <c r="M676" s="22" t="s">
        <v>47</v>
      </c>
      <c r="N676" s="22" t="s">
        <v>1085</v>
      </c>
      <c r="O676" s="22" t="s">
        <v>1844</v>
      </c>
      <c r="P676" s="22" t="s">
        <v>666</v>
      </c>
      <c r="Q676" s="309">
        <f>COUNTIF('Hedef Liste'!A:A,A676)</f>
        <v>1</v>
      </c>
    </row>
    <row r="677" hidden="1">
      <c r="A677" s="22" t="s">
        <v>2223</v>
      </c>
      <c r="B677" s="22" t="s">
        <v>2224</v>
      </c>
      <c r="C677" s="306" t="s">
        <v>3959</v>
      </c>
      <c r="D677" s="22" t="s">
        <v>91</v>
      </c>
      <c r="E677" s="307">
        <v>186.0</v>
      </c>
      <c r="F677" s="307">
        <v>32.0</v>
      </c>
      <c r="G677" s="307">
        <v>0.0</v>
      </c>
      <c r="H677" s="307">
        <v>22.0</v>
      </c>
      <c r="I677" s="307">
        <v>22.0</v>
      </c>
      <c r="J677" s="308">
        <v>0.0</v>
      </c>
      <c r="K677" s="22" t="s">
        <v>2225</v>
      </c>
      <c r="L677" s="22">
        <v>5.369685344E9</v>
      </c>
      <c r="M677" s="22" t="s">
        <v>71</v>
      </c>
      <c r="N677" s="22" t="s">
        <v>224</v>
      </c>
      <c r="O677" s="22" t="s">
        <v>2226</v>
      </c>
      <c r="P677" s="22" t="s">
        <v>666</v>
      </c>
      <c r="Q677" s="309">
        <f>COUNTIF('Hedef Liste'!A:A,A677)</f>
        <v>1</v>
      </c>
    </row>
    <row r="678" hidden="1">
      <c r="A678" s="22" t="s">
        <v>1816</v>
      </c>
      <c r="B678" s="22" t="s">
        <v>1817</v>
      </c>
      <c r="C678" s="306" t="s">
        <v>3959</v>
      </c>
      <c r="D678" s="22" t="s">
        <v>453</v>
      </c>
      <c r="E678" s="307">
        <v>31.0</v>
      </c>
      <c r="F678" s="310"/>
      <c r="G678" s="307">
        <v>4.0</v>
      </c>
      <c r="H678" s="307">
        <v>2.0</v>
      </c>
      <c r="I678" s="307">
        <v>6.0</v>
      </c>
      <c r="J678" s="308">
        <v>0.67</v>
      </c>
      <c r="K678" s="22" t="s">
        <v>1818</v>
      </c>
      <c r="L678" s="22">
        <v>3.522312135E9</v>
      </c>
      <c r="M678" s="22" t="s">
        <v>47</v>
      </c>
      <c r="N678" s="22" t="s">
        <v>1048</v>
      </c>
      <c r="O678" s="22" t="s">
        <v>1819</v>
      </c>
      <c r="P678" s="22" t="s">
        <v>666</v>
      </c>
      <c r="Q678" s="309">
        <f>COUNTIF('Hedef Liste'!A:A,A678)</f>
        <v>1</v>
      </c>
    </row>
    <row r="679" hidden="1">
      <c r="A679" s="22" t="s">
        <v>304</v>
      </c>
      <c r="B679" s="22" t="s">
        <v>305</v>
      </c>
      <c r="C679" s="306" t="s">
        <v>3959</v>
      </c>
      <c r="D679" s="22" t="s">
        <v>100</v>
      </c>
      <c r="E679" s="307">
        <v>167.0</v>
      </c>
      <c r="F679" s="310"/>
      <c r="G679" s="307">
        <v>6.0</v>
      </c>
      <c r="H679" s="307">
        <v>6.0</v>
      </c>
      <c r="I679" s="307">
        <v>12.0</v>
      </c>
      <c r="J679" s="308">
        <v>0.5</v>
      </c>
      <c r="K679" s="22" t="s">
        <v>306</v>
      </c>
      <c r="L679" s="22">
        <v>5.436176727E9</v>
      </c>
      <c r="M679" s="22" t="s">
        <v>47</v>
      </c>
      <c r="N679" s="22" t="s">
        <v>339</v>
      </c>
      <c r="O679" s="22" t="s">
        <v>308</v>
      </c>
      <c r="P679" s="22" t="s">
        <v>666</v>
      </c>
      <c r="Q679" s="309">
        <f>COUNTIF('Hedef Liste'!A:A,A679)</f>
        <v>1</v>
      </c>
    </row>
    <row r="680" hidden="1">
      <c r="A680" s="22" t="s">
        <v>274</v>
      </c>
      <c r="B680" s="22" t="s">
        <v>275</v>
      </c>
      <c r="C680" s="306" t="s">
        <v>3959</v>
      </c>
      <c r="D680" s="22" t="s">
        <v>100</v>
      </c>
      <c r="E680" s="307">
        <v>115.0</v>
      </c>
      <c r="F680" s="310"/>
      <c r="G680" s="307">
        <v>6.0</v>
      </c>
      <c r="H680" s="307">
        <v>3.0</v>
      </c>
      <c r="I680" s="307">
        <v>9.0</v>
      </c>
      <c r="J680" s="308">
        <v>0.67</v>
      </c>
      <c r="K680" s="22" t="s">
        <v>276</v>
      </c>
      <c r="L680" s="22">
        <v>5.070934768E9</v>
      </c>
      <c r="M680" s="22" t="s">
        <v>47</v>
      </c>
      <c r="N680" s="22" t="s">
        <v>277</v>
      </c>
      <c r="O680" s="22" t="s">
        <v>278</v>
      </c>
      <c r="P680" s="22" t="s">
        <v>666</v>
      </c>
      <c r="Q680" s="309">
        <f>COUNTIF('Hedef Liste'!A:A,A680)</f>
        <v>1</v>
      </c>
    </row>
    <row r="681" hidden="1">
      <c r="A681" s="22" t="s">
        <v>1995</v>
      </c>
      <c r="B681" s="22" t="s">
        <v>4543</v>
      </c>
      <c r="C681" s="306" t="s">
        <v>3959</v>
      </c>
      <c r="D681" s="22" t="s">
        <v>100</v>
      </c>
      <c r="E681" s="307">
        <v>46.0</v>
      </c>
      <c r="F681" s="307">
        <v>2.0</v>
      </c>
      <c r="G681" s="307">
        <v>14.0</v>
      </c>
      <c r="H681" s="307">
        <v>3.0</v>
      </c>
      <c r="I681" s="307">
        <v>17.0</v>
      </c>
      <c r="J681" s="308">
        <v>0.82</v>
      </c>
      <c r="K681" s="22" t="s">
        <v>1702</v>
      </c>
      <c r="L681" s="22">
        <v>5.013665001E9</v>
      </c>
      <c r="M681" s="22" t="s">
        <v>61</v>
      </c>
      <c r="N681" s="22" t="s">
        <v>250</v>
      </c>
      <c r="O681" s="22" t="s">
        <v>4544</v>
      </c>
      <c r="P681" s="22" t="s">
        <v>666</v>
      </c>
      <c r="Q681" s="309">
        <f>COUNTIF('Hedef Liste'!A:A,A681)</f>
        <v>1</v>
      </c>
    </row>
    <row r="682" hidden="1">
      <c r="A682" s="22" t="s">
        <v>990</v>
      </c>
      <c r="B682" s="22" t="s">
        <v>991</v>
      </c>
      <c r="C682" s="306" t="s">
        <v>3959</v>
      </c>
      <c r="D682" s="22" t="s">
        <v>172</v>
      </c>
      <c r="E682" s="307">
        <v>3249.0</v>
      </c>
      <c r="F682" s="307">
        <v>336.0</v>
      </c>
      <c r="G682" s="307">
        <v>15.0</v>
      </c>
      <c r="H682" s="307">
        <v>2.0</v>
      </c>
      <c r="I682" s="307">
        <v>17.0</v>
      </c>
      <c r="J682" s="308">
        <v>0.88</v>
      </c>
      <c r="K682" s="22" t="s">
        <v>985</v>
      </c>
      <c r="L682" s="22">
        <v>3.523202103E9</v>
      </c>
      <c r="M682" s="22" t="s">
        <v>47</v>
      </c>
      <c r="N682" s="22" t="s">
        <v>874</v>
      </c>
      <c r="O682" s="22" t="s">
        <v>992</v>
      </c>
      <c r="P682" s="22" t="s">
        <v>666</v>
      </c>
      <c r="Q682" s="309">
        <f>COUNTIF('Hedef Liste'!A:A,A682)</f>
        <v>1</v>
      </c>
    </row>
    <row r="683" hidden="1">
      <c r="A683" s="22" t="s">
        <v>642</v>
      </c>
      <c r="B683" s="22" t="s">
        <v>643</v>
      </c>
      <c r="C683" s="306" t="s">
        <v>3959</v>
      </c>
      <c r="D683" s="22" t="s">
        <v>91</v>
      </c>
      <c r="E683" s="307">
        <v>793.0</v>
      </c>
      <c r="F683" s="310"/>
      <c r="G683" s="307">
        <v>45.0</v>
      </c>
      <c r="H683" s="307">
        <v>5.0</v>
      </c>
      <c r="I683" s="307">
        <v>50.0</v>
      </c>
      <c r="J683" s="308">
        <v>0.9</v>
      </c>
      <c r="K683" s="22" t="s">
        <v>644</v>
      </c>
      <c r="L683" s="22">
        <v>3.524466767E9</v>
      </c>
      <c r="M683" s="22" t="s">
        <v>47</v>
      </c>
      <c r="N683" s="22" t="s">
        <v>48</v>
      </c>
      <c r="O683" s="22" t="s">
        <v>645</v>
      </c>
      <c r="P683" s="22" t="s">
        <v>666</v>
      </c>
      <c r="Q683" s="309">
        <f>COUNTIF('Hedef Liste'!A:A,A683)</f>
        <v>1</v>
      </c>
    </row>
    <row r="684" hidden="1">
      <c r="A684" s="22" t="s">
        <v>948</v>
      </c>
      <c r="B684" s="22" t="s">
        <v>949</v>
      </c>
      <c r="C684" s="306" t="s">
        <v>3959</v>
      </c>
      <c r="D684" s="22" t="s">
        <v>406</v>
      </c>
      <c r="E684" s="307">
        <v>2.0</v>
      </c>
      <c r="F684" s="310"/>
      <c r="G684" s="307">
        <v>0.0</v>
      </c>
      <c r="H684" s="307">
        <v>14.0</v>
      </c>
      <c r="I684" s="307">
        <v>14.0</v>
      </c>
      <c r="J684" s="308">
        <v>0.0</v>
      </c>
      <c r="K684" s="22" t="s">
        <v>950</v>
      </c>
      <c r="L684" s="22">
        <v>3.5250323E9</v>
      </c>
      <c r="M684" s="22" t="s">
        <v>61</v>
      </c>
      <c r="N684" s="22" t="s">
        <v>107</v>
      </c>
      <c r="O684" s="22" t="s">
        <v>951</v>
      </c>
      <c r="P684" s="22" t="s">
        <v>666</v>
      </c>
      <c r="Q684" s="309">
        <f>COUNTIF('Hedef Liste'!A:A,A684)</f>
        <v>1</v>
      </c>
    </row>
    <row r="685" hidden="1">
      <c r="A685" s="22" t="s">
        <v>1896</v>
      </c>
      <c r="B685" s="22" t="s">
        <v>1897</v>
      </c>
      <c r="C685" s="306" t="s">
        <v>3959</v>
      </c>
      <c r="D685" s="22" t="s">
        <v>69</v>
      </c>
      <c r="E685" s="307">
        <v>68.0</v>
      </c>
      <c r="F685" s="307">
        <v>3.0</v>
      </c>
      <c r="G685" s="307">
        <v>12.0</v>
      </c>
      <c r="H685" s="307">
        <v>4.0</v>
      </c>
      <c r="I685" s="307">
        <v>16.0</v>
      </c>
      <c r="J685" s="308">
        <v>0.75</v>
      </c>
      <c r="K685" s="22" t="s">
        <v>1898</v>
      </c>
      <c r="L685" s="22">
        <v>3.525039737E9</v>
      </c>
      <c r="M685" s="22" t="s">
        <v>61</v>
      </c>
      <c r="N685" s="22" t="s">
        <v>62</v>
      </c>
      <c r="O685" s="22" t="s">
        <v>1899</v>
      </c>
      <c r="P685" s="22" t="s">
        <v>666</v>
      </c>
      <c r="Q685" s="309">
        <f>COUNTIF('Hedef Liste'!A:A,A685)</f>
        <v>1</v>
      </c>
    </row>
    <row r="686" hidden="1">
      <c r="A686" s="22" t="s">
        <v>451</v>
      </c>
      <c r="B686" s="22" t="s">
        <v>452</v>
      </c>
      <c r="C686" s="306" t="s">
        <v>3959</v>
      </c>
      <c r="D686" s="22" t="s">
        <v>453</v>
      </c>
      <c r="E686" s="307">
        <v>51.0</v>
      </c>
      <c r="F686" s="307">
        <v>7.0</v>
      </c>
      <c r="G686" s="307">
        <v>9.0</v>
      </c>
      <c r="H686" s="307">
        <v>38.0</v>
      </c>
      <c r="I686" s="307">
        <v>47.0</v>
      </c>
      <c r="J686" s="308">
        <v>0.19</v>
      </c>
      <c r="K686" s="22" t="s">
        <v>454</v>
      </c>
      <c r="L686" s="22">
        <v>5.51039605E9</v>
      </c>
      <c r="M686" s="22" t="s">
        <v>61</v>
      </c>
      <c r="N686" s="22" t="s">
        <v>250</v>
      </c>
      <c r="O686" s="22" t="s">
        <v>455</v>
      </c>
      <c r="P686" s="22" t="s">
        <v>666</v>
      </c>
      <c r="Q686" s="309">
        <f>COUNTIF('Hedef Liste'!A:A,A686)</f>
        <v>1</v>
      </c>
    </row>
    <row r="687" hidden="1">
      <c r="A687" s="22" t="s">
        <v>2161</v>
      </c>
      <c r="B687" s="22" t="s">
        <v>2162</v>
      </c>
      <c r="C687" s="306" t="s">
        <v>3959</v>
      </c>
      <c r="D687" s="22" t="s">
        <v>406</v>
      </c>
      <c r="E687" s="307">
        <v>611.0</v>
      </c>
      <c r="F687" s="307">
        <v>120.0</v>
      </c>
      <c r="G687" s="307">
        <v>0.0</v>
      </c>
      <c r="H687" s="307">
        <v>7.0</v>
      </c>
      <c r="I687" s="307">
        <v>7.0</v>
      </c>
      <c r="J687" s="308">
        <v>0.0</v>
      </c>
      <c r="K687" s="22" t="s">
        <v>2158</v>
      </c>
      <c r="L687" s="22">
        <v>3.52437808E9</v>
      </c>
      <c r="M687" s="22" t="s">
        <v>61</v>
      </c>
      <c r="N687" s="22" t="s">
        <v>250</v>
      </c>
      <c r="O687" s="22" t="s">
        <v>2159</v>
      </c>
      <c r="P687" s="22" t="s">
        <v>666</v>
      </c>
      <c r="Q687" s="309">
        <f>COUNTIF('Hedef Liste'!A:A,A687)</f>
        <v>1</v>
      </c>
    </row>
    <row r="688" hidden="1">
      <c r="A688" s="22" t="s">
        <v>1521</v>
      </c>
      <c r="B688" s="22" t="s">
        <v>1522</v>
      </c>
      <c r="C688" s="306" t="s">
        <v>3959</v>
      </c>
      <c r="D688" s="22" t="s">
        <v>172</v>
      </c>
      <c r="E688" s="307">
        <v>1602.0</v>
      </c>
      <c r="F688" s="307">
        <v>79.0</v>
      </c>
      <c r="G688" s="307">
        <v>3.0</v>
      </c>
      <c r="H688" s="307">
        <v>7.0</v>
      </c>
      <c r="I688" s="307">
        <v>10.0</v>
      </c>
      <c r="J688" s="308">
        <v>0.3</v>
      </c>
      <c r="K688" s="22" t="s">
        <v>1523</v>
      </c>
      <c r="L688" s="22">
        <v>5.44640084E9</v>
      </c>
      <c r="M688" s="22" t="s">
        <v>47</v>
      </c>
      <c r="N688" s="22" t="s">
        <v>1524</v>
      </c>
      <c r="O688" s="22" t="s">
        <v>1525</v>
      </c>
      <c r="P688" s="22" t="s">
        <v>666</v>
      </c>
      <c r="Q688" s="309">
        <f>COUNTIF('Hedef Liste'!A:A,A688)</f>
        <v>1</v>
      </c>
    </row>
    <row r="689" hidden="1">
      <c r="A689" s="22" t="s">
        <v>2395</v>
      </c>
      <c r="B689" s="22" t="s">
        <v>2396</v>
      </c>
      <c r="C689" s="306" t="s">
        <v>3959</v>
      </c>
      <c r="D689" s="22" t="s">
        <v>100</v>
      </c>
      <c r="E689" s="307">
        <v>481.0</v>
      </c>
      <c r="F689" s="307">
        <v>20.0</v>
      </c>
      <c r="G689" s="307">
        <v>9.0</v>
      </c>
      <c r="H689" s="307">
        <v>6.0</v>
      </c>
      <c r="I689" s="307">
        <v>15.0</v>
      </c>
      <c r="J689" s="308">
        <v>0.6</v>
      </c>
      <c r="K689" s="22" t="s">
        <v>2397</v>
      </c>
      <c r="L689" s="22">
        <v>5.524531138E9</v>
      </c>
      <c r="M689" s="22" t="s">
        <v>71</v>
      </c>
      <c r="N689" s="22" t="s">
        <v>62</v>
      </c>
      <c r="O689" s="22" t="s">
        <v>2398</v>
      </c>
      <c r="P689" s="22" t="s">
        <v>666</v>
      </c>
      <c r="Q689" s="309">
        <f>COUNTIF('Hedef Liste'!A:A,A689)</f>
        <v>1</v>
      </c>
    </row>
    <row r="690">
      <c r="A690" s="22" t="s">
        <v>970</v>
      </c>
      <c r="B690" s="22" t="s">
        <v>971</v>
      </c>
      <c r="C690" s="306" t="s">
        <v>3959</v>
      </c>
      <c r="D690" s="22" t="s">
        <v>653</v>
      </c>
      <c r="E690" s="310"/>
      <c r="F690" s="310"/>
      <c r="G690" s="307">
        <v>0.0</v>
      </c>
      <c r="H690" s="307">
        <v>9.0</v>
      </c>
      <c r="I690" s="307">
        <v>9.0</v>
      </c>
      <c r="J690" s="308">
        <v>0.0</v>
      </c>
      <c r="K690" s="22" t="s">
        <v>697</v>
      </c>
      <c r="L690" s="22">
        <v>3.525131338E9</v>
      </c>
      <c r="M690" s="22" t="s">
        <v>61</v>
      </c>
      <c r="N690" s="22" t="s">
        <v>107</v>
      </c>
      <c r="O690" s="22" t="s">
        <v>972</v>
      </c>
      <c r="P690" s="22" t="s">
        <v>666</v>
      </c>
      <c r="Q690" s="309">
        <f>COUNTIF('Hedef Liste'!A:A,A690)</f>
        <v>1</v>
      </c>
    </row>
    <row r="691">
      <c r="A691" s="22" t="s">
        <v>2297</v>
      </c>
      <c r="B691" s="22" t="s">
        <v>2298</v>
      </c>
      <c r="C691" s="306" t="s">
        <v>3959</v>
      </c>
      <c r="D691" s="22" t="s">
        <v>91</v>
      </c>
      <c r="E691" s="310"/>
      <c r="F691" s="310"/>
      <c r="G691" s="307">
        <v>0.0</v>
      </c>
      <c r="H691" s="307">
        <v>61.0</v>
      </c>
      <c r="I691" s="307">
        <v>61.0</v>
      </c>
      <c r="J691" s="308">
        <v>0.0</v>
      </c>
      <c r="K691" s="22" t="s">
        <v>2299</v>
      </c>
      <c r="L691" s="22">
        <v>3.524380333E9</v>
      </c>
      <c r="M691" s="22" t="s">
        <v>61</v>
      </c>
      <c r="N691" s="22" t="s">
        <v>107</v>
      </c>
      <c r="O691" s="22" t="s">
        <v>2300</v>
      </c>
      <c r="P691" s="22" t="s">
        <v>666</v>
      </c>
      <c r="Q691" s="309">
        <f>COUNTIF('Hedef Liste'!A:A,A691)</f>
        <v>1</v>
      </c>
    </row>
    <row r="692" hidden="1">
      <c r="A692" s="22" t="s">
        <v>1757</v>
      </c>
      <c r="B692" s="22" t="s">
        <v>1758</v>
      </c>
      <c r="C692" s="306" t="s">
        <v>3959</v>
      </c>
      <c r="D692" s="22" t="s">
        <v>165</v>
      </c>
      <c r="E692" s="307">
        <v>4760.0</v>
      </c>
      <c r="F692" s="307">
        <v>267.0</v>
      </c>
      <c r="G692" s="307">
        <v>79.0</v>
      </c>
      <c r="H692" s="307">
        <v>177.0</v>
      </c>
      <c r="I692" s="307">
        <v>256.0</v>
      </c>
      <c r="J692" s="308">
        <v>0.31</v>
      </c>
      <c r="K692" s="22" t="s">
        <v>1759</v>
      </c>
      <c r="L692" s="22">
        <v>3.52326166E9</v>
      </c>
      <c r="M692" s="22" t="s">
        <v>47</v>
      </c>
      <c r="N692" s="22" t="s">
        <v>277</v>
      </c>
      <c r="O692" s="22" t="s">
        <v>1760</v>
      </c>
      <c r="P692" s="22" t="s">
        <v>666</v>
      </c>
      <c r="Q692" s="309">
        <f>COUNTIF('Hedef Liste'!A:A,A692)</f>
        <v>1</v>
      </c>
    </row>
    <row r="693" hidden="1">
      <c r="A693" s="22" t="s">
        <v>1470</v>
      </c>
      <c r="B693" s="22" t="s">
        <v>1471</v>
      </c>
      <c r="C693" s="306" t="s">
        <v>3959</v>
      </c>
      <c r="D693" s="22" t="s">
        <v>453</v>
      </c>
      <c r="E693" s="307">
        <v>9.0</v>
      </c>
      <c r="F693" s="310"/>
      <c r="G693" s="307">
        <v>0.0</v>
      </c>
      <c r="H693" s="307">
        <v>10.0</v>
      </c>
      <c r="I693" s="307">
        <v>10.0</v>
      </c>
      <c r="J693" s="308">
        <v>0.0</v>
      </c>
      <c r="K693" s="22" t="s">
        <v>1472</v>
      </c>
      <c r="L693" s="22">
        <v>5.452811234E9</v>
      </c>
      <c r="M693" s="22" t="s">
        <v>47</v>
      </c>
      <c r="N693" s="22" t="s">
        <v>1048</v>
      </c>
      <c r="O693" s="22" t="s">
        <v>1473</v>
      </c>
      <c r="P693" s="22" t="s">
        <v>666</v>
      </c>
      <c r="Q693" s="309">
        <f>COUNTIF('Hedef Liste'!A:A,A693)</f>
        <v>1</v>
      </c>
    </row>
    <row r="694" hidden="1">
      <c r="A694" s="22" t="s">
        <v>293</v>
      </c>
      <c r="B694" s="22" t="s">
        <v>294</v>
      </c>
      <c r="C694" s="306" t="s">
        <v>3959</v>
      </c>
      <c r="D694" s="22" t="s">
        <v>100</v>
      </c>
      <c r="E694" s="307">
        <v>4.0</v>
      </c>
      <c r="F694" s="307">
        <v>1.0</v>
      </c>
      <c r="G694" s="307">
        <v>9.0</v>
      </c>
      <c r="H694" s="307">
        <v>22.0</v>
      </c>
      <c r="I694" s="307">
        <v>31.0</v>
      </c>
      <c r="J694" s="308">
        <v>0.29</v>
      </c>
      <c r="K694" s="22" t="s">
        <v>295</v>
      </c>
      <c r="L694" s="22">
        <v>5.392215824E9</v>
      </c>
      <c r="M694" s="22" t="s">
        <v>71</v>
      </c>
      <c r="N694" s="22" t="s">
        <v>296</v>
      </c>
      <c r="O694" s="22" t="s">
        <v>297</v>
      </c>
      <c r="P694" s="22" t="s">
        <v>666</v>
      </c>
      <c r="Q694" s="309">
        <f>COUNTIF('Hedef Liste'!A:A,A694)</f>
        <v>1</v>
      </c>
    </row>
    <row r="695" hidden="1">
      <c r="A695" s="22" t="s">
        <v>2784</v>
      </c>
      <c r="B695" s="22" t="s">
        <v>4545</v>
      </c>
      <c r="C695" s="306" t="s">
        <v>3959</v>
      </c>
      <c r="D695" s="22" t="s">
        <v>845</v>
      </c>
      <c r="F695" s="310"/>
      <c r="G695" s="307">
        <v>0.0</v>
      </c>
      <c r="H695" s="307">
        <v>51.0</v>
      </c>
      <c r="I695" s="307">
        <v>51.0</v>
      </c>
      <c r="J695" s="308">
        <v>0.0</v>
      </c>
      <c r="K695" s="22" t="s">
        <v>2786</v>
      </c>
      <c r="L695" s="22">
        <v>3.523153E9</v>
      </c>
      <c r="M695" s="22" t="s">
        <v>71</v>
      </c>
      <c r="N695" s="22" t="s">
        <v>174</v>
      </c>
      <c r="O695" s="22" t="s">
        <v>2787</v>
      </c>
      <c r="P695" s="22" t="s">
        <v>666</v>
      </c>
      <c r="Q695" s="309">
        <f>COUNTIF('Hedef Liste'!A:A,A695)</f>
        <v>1</v>
      </c>
    </row>
    <row r="696" hidden="1">
      <c r="A696" s="22" t="s">
        <v>2174</v>
      </c>
      <c r="B696" s="22" t="s">
        <v>2175</v>
      </c>
      <c r="C696" s="306" t="s">
        <v>3959</v>
      </c>
      <c r="D696" s="22" t="s">
        <v>165</v>
      </c>
      <c r="E696" s="307">
        <v>44.0</v>
      </c>
      <c r="F696" s="307">
        <v>36.0</v>
      </c>
      <c r="G696" s="307">
        <v>0.0</v>
      </c>
      <c r="H696" s="307">
        <v>12.0</v>
      </c>
      <c r="I696" s="307">
        <v>12.0</v>
      </c>
      <c r="J696" s="308">
        <v>0.0</v>
      </c>
      <c r="K696" s="22" t="s">
        <v>2176</v>
      </c>
      <c r="L696" s="22">
        <v>3.522311418E9</v>
      </c>
      <c r="M696" s="22" t="s">
        <v>71</v>
      </c>
      <c r="N696" s="22" t="s">
        <v>420</v>
      </c>
      <c r="O696" s="22" t="s">
        <v>2177</v>
      </c>
      <c r="P696" s="22" t="s">
        <v>666</v>
      </c>
      <c r="Q696" s="309">
        <f>COUNTIF('Hedef Liste'!A:A,A696)</f>
        <v>1</v>
      </c>
    </row>
    <row r="697" hidden="1">
      <c r="A697" s="22" t="s">
        <v>2475</v>
      </c>
      <c r="B697" s="22" t="s">
        <v>2476</v>
      </c>
      <c r="C697" s="306" t="s">
        <v>3959</v>
      </c>
      <c r="D697" s="22" t="s">
        <v>83</v>
      </c>
      <c r="F697" s="310"/>
      <c r="G697" s="307">
        <v>0.0</v>
      </c>
      <c r="H697" s="307">
        <v>6.0</v>
      </c>
      <c r="I697" s="307">
        <v>6.0</v>
      </c>
      <c r="J697" s="308">
        <v>0.0</v>
      </c>
      <c r="K697" s="22" t="s">
        <v>2393</v>
      </c>
      <c r="L697" s="22">
        <v>3.522326066E9</v>
      </c>
      <c r="M697" s="22" t="s">
        <v>71</v>
      </c>
      <c r="N697" s="22" t="s">
        <v>1814</v>
      </c>
      <c r="O697" s="22" t="s">
        <v>2477</v>
      </c>
      <c r="P697" s="22" t="s">
        <v>666</v>
      </c>
      <c r="Q697" s="309">
        <f>COUNTIF('Hedef Liste'!A:A,A697)</f>
        <v>1</v>
      </c>
    </row>
    <row r="698" hidden="1">
      <c r="A698" s="22" t="s">
        <v>1934</v>
      </c>
      <c r="B698" s="22" t="s">
        <v>1935</v>
      </c>
      <c r="C698" s="306" t="s">
        <v>3959</v>
      </c>
      <c r="D698" s="22" t="s">
        <v>69</v>
      </c>
      <c r="E698" s="307">
        <v>1547.0</v>
      </c>
      <c r="F698" s="307">
        <v>128.0</v>
      </c>
      <c r="G698" s="307">
        <v>3.0</v>
      </c>
      <c r="H698" s="307">
        <v>21.0</v>
      </c>
      <c r="I698" s="307">
        <v>24.0</v>
      </c>
      <c r="J698" s="308">
        <v>0.13</v>
      </c>
      <c r="K698" s="22" t="s">
        <v>1936</v>
      </c>
      <c r="L698" s="22">
        <v>5.510798018E9</v>
      </c>
      <c r="M698" s="22" t="s">
        <v>61</v>
      </c>
      <c r="N698" s="22" t="s">
        <v>250</v>
      </c>
      <c r="O698" s="22" t="s">
        <v>1937</v>
      </c>
      <c r="P698" s="22" t="s">
        <v>666</v>
      </c>
      <c r="Q698" s="309">
        <f>COUNTIF('Hedef Liste'!A:A,A698)</f>
        <v>1</v>
      </c>
    </row>
    <row r="699" hidden="1">
      <c r="A699" s="22" t="s">
        <v>2761</v>
      </c>
      <c r="B699" s="22" t="s">
        <v>2762</v>
      </c>
      <c r="C699" s="306" t="s">
        <v>3959</v>
      </c>
      <c r="D699" s="22" t="s">
        <v>453</v>
      </c>
      <c r="E699" s="307">
        <v>484.0</v>
      </c>
      <c r="F699" s="307">
        <v>39.0</v>
      </c>
      <c r="G699" s="307">
        <v>7.0</v>
      </c>
      <c r="H699" s="307">
        <v>2.0</v>
      </c>
      <c r="I699" s="307">
        <v>9.0</v>
      </c>
      <c r="J699" s="308">
        <v>0.78</v>
      </c>
      <c r="K699" s="22" t="s">
        <v>2763</v>
      </c>
      <c r="L699" s="22">
        <v>5.529478818E9</v>
      </c>
      <c r="M699" s="22" t="s">
        <v>61</v>
      </c>
      <c r="N699" s="22" t="s">
        <v>250</v>
      </c>
      <c r="O699" s="22" t="s">
        <v>2764</v>
      </c>
      <c r="P699" s="22" t="s">
        <v>666</v>
      </c>
      <c r="Q699" s="309">
        <f>COUNTIF('Hedef Liste'!A:A,A699)</f>
        <v>1</v>
      </c>
    </row>
    <row r="700" hidden="1">
      <c r="A700" s="22" t="s">
        <v>1713</v>
      </c>
      <c r="B700" s="22" t="s">
        <v>1714</v>
      </c>
      <c r="C700" s="306" t="s">
        <v>3959</v>
      </c>
      <c r="D700" s="22" t="s">
        <v>69</v>
      </c>
      <c r="E700" s="307">
        <v>34.0</v>
      </c>
      <c r="F700" s="307">
        <v>14.0</v>
      </c>
      <c r="G700" s="307">
        <v>2.0</v>
      </c>
      <c r="H700" s="307">
        <v>19.0</v>
      </c>
      <c r="I700" s="307">
        <v>21.0</v>
      </c>
      <c r="J700" s="308">
        <v>0.1</v>
      </c>
      <c r="K700" s="22" t="s">
        <v>1715</v>
      </c>
      <c r="L700" s="22">
        <v>5.064313485E9</v>
      </c>
      <c r="M700" s="22" t="s">
        <v>61</v>
      </c>
      <c r="N700" s="22" t="s">
        <v>250</v>
      </c>
      <c r="O700" s="22" t="s">
        <v>1716</v>
      </c>
      <c r="P700" s="22" t="s">
        <v>666</v>
      </c>
      <c r="Q700" s="309">
        <f>COUNTIF('Hedef Liste'!A:A,A700)</f>
        <v>1</v>
      </c>
    </row>
    <row r="701" hidden="1">
      <c r="A701" s="22" t="s">
        <v>909</v>
      </c>
      <c r="B701" s="22" t="s">
        <v>910</v>
      </c>
      <c r="C701" s="306" t="s">
        <v>3959</v>
      </c>
      <c r="D701" s="22" t="s">
        <v>165</v>
      </c>
      <c r="E701" s="307">
        <v>199.0</v>
      </c>
      <c r="F701" s="307">
        <v>46.0</v>
      </c>
      <c r="G701" s="307">
        <v>0.0</v>
      </c>
      <c r="H701" s="307">
        <v>11.0</v>
      </c>
      <c r="I701" s="307">
        <v>11.0</v>
      </c>
      <c r="J701" s="308">
        <v>0.0</v>
      </c>
      <c r="K701" s="22" t="s">
        <v>911</v>
      </c>
      <c r="L701" s="22">
        <v>3.52503807E9</v>
      </c>
      <c r="M701" s="22" t="s">
        <v>47</v>
      </c>
      <c r="N701" s="22" t="s">
        <v>259</v>
      </c>
      <c r="O701" s="22" t="s">
        <v>912</v>
      </c>
      <c r="P701" s="22" t="s">
        <v>666</v>
      </c>
      <c r="Q701" s="309">
        <f>COUNTIF('Hedef Liste'!A:A,A701)</f>
        <v>1</v>
      </c>
    </row>
    <row r="702" hidden="1">
      <c r="A702" s="22" t="s">
        <v>4546</v>
      </c>
      <c r="B702" s="22" t="s">
        <v>4547</v>
      </c>
      <c r="C702" s="306" t="s">
        <v>3959</v>
      </c>
      <c r="D702" s="22" t="s">
        <v>100</v>
      </c>
      <c r="E702" s="307">
        <v>5.0</v>
      </c>
      <c r="F702" s="307">
        <v>1.0</v>
      </c>
      <c r="G702" s="307">
        <v>17.0</v>
      </c>
      <c r="H702" s="307">
        <v>0.0</v>
      </c>
      <c r="I702" s="307">
        <v>17.0</v>
      </c>
      <c r="J702" s="308">
        <v>1.0</v>
      </c>
      <c r="K702" s="22" t="s">
        <v>1898</v>
      </c>
      <c r="L702" s="22">
        <v>3.525039737E9</v>
      </c>
      <c r="M702" s="22" t="s">
        <v>61</v>
      </c>
      <c r="N702" s="22" t="s">
        <v>62</v>
      </c>
      <c r="O702" s="22" t="s">
        <v>4548</v>
      </c>
      <c r="P702" s="22" t="s">
        <v>3962</v>
      </c>
      <c r="Q702" s="309">
        <f>COUNTIF('Hedef Liste'!A:A,A702)</f>
        <v>0</v>
      </c>
    </row>
    <row r="703" hidden="1">
      <c r="A703" s="22" t="s">
        <v>2559</v>
      </c>
      <c r="B703" s="22" t="s">
        <v>2560</v>
      </c>
      <c r="C703" s="306" t="s">
        <v>3963</v>
      </c>
      <c r="D703" s="22" t="s">
        <v>172</v>
      </c>
      <c r="E703" s="310"/>
      <c r="F703" s="310"/>
      <c r="G703" s="307">
        <v>0.0</v>
      </c>
      <c r="H703" s="307">
        <v>12.0</v>
      </c>
      <c r="I703" s="307">
        <v>12.0</v>
      </c>
      <c r="J703" s="308">
        <v>0.0</v>
      </c>
      <c r="K703" s="22" t="s">
        <v>2561</v>
      </c>
      <c r="L703" s="22">
        <v>3.52231581E9</v>
      </c>
      <c r="M703" s="22" t="s">
        <v>47</v>
      </c>
      <c r="N703" s="22" t="s">
        <v>307</v>
      </c>
      <c r="O703" s="22" t="s">
        <v>2562</v>
      </c>
      <c r="P703" s="22" t="s">
        <v>666</v>
      </c>
      <c r="Q703" s="309">
        <f>COUNTIF('Hedef Liste'!A:A,A703)</f>
        <v>1</v>
      </c>
    </row>
    <row r="704" hidden="1">
      <c r="A704" s="22" t="s">
        <v>2212</v>
      </c>
      <c r="B704" s="22" t="s">
        <v>2213</v>
      </c>
      <c r="C704" s="306" t="s">
        <v>3959</v>
      </c>
      <c r="D704" s="22" t="s">
        <v>165</v>
      </c>
      <c r="E704" s="307">
        <v>30.0</v>
      </c>
      <c r="F704" s="310"/>
      <c r="G704" s="307">
        <v>5.0</v>
      </c>
      <c r="H704" s="307">
        <v>2.0</v>
      </c>
      <c r="I704" s="307">
        <v>7.0</v>
      </c>
      <c r="J704" s="308">
        <v>0.71</v>
      </c>
      <c r="K704" s="22" t="s">
        <v>2112</v>
      </c>
      <c r="L704" s="22">
        <v>3.522229316E9</v>
      </c>
      <c r="M704" s="22" t="s">
        <v>47</v>
      </c>
      <c r="N704" s="22" t="s">
        <v>1048</v>
      </c>
      <c r="O704" s="22" t="s">
        <v>2214</v>
      </c>
      <c r="P704" s="22" t="s">
        <v>666</v>
      </c>
      <c r="Q704" s="309">
        <f>COUNTIF('Hedef Liste'!A:A,A704)</f>
        <v>1</v>
      </c>
    </row>
    <row r="705" hidden="1">
      <c r="A705" s="22" t="s">
        <v>2427</v>
      </c>
      <c r="B705" s="22" t="s">
        <v>2428</v>
      </c>
      <c r="C705" s="306" t="s">
        <v>3959</v>
      </c>
      <c r="D705" s="22" t="s">
        <v>100</v>
      </c>
      <c r="E705" s="307">
        <v>296.0</v>
      </c>
      <c r="F705" s="307">
        <v>32.0</v>
      </c>
      <c r="G705" s="307">
        <v>0.0</v>
      </c>
      <c r="H705" s="307">
        <v>21.0</v>
      </c>
      <c r="I705" s="307">
        <v>21.0</v>
      </c>
      <c r="J705" s="308">
        <v>0.0</v>
      </c>
      <c r="K705" s="22" t="s">
        <v>2429</v>
      </c>
      <c r="L705" s="22">
        <v>3.523263801E9</v>
      </c>
      <c r="M705" s="22" t="s">
        <v>47</v>
      </c>
      <c r="N705" s="22" t="s">
        <v>496</v>
      </c>
      <c r="O705" s="22" t="s">
        <v>2430</v>
      </c>
      <c r="P705" s="22" t="s">
        <v>666</v>
      </c>
      <c r="Q705" s="309">
        <f>COUNTIF('Hedef Liste'!A:A,A705)</f>
        <v>1</v>
      </c>
    </row>
    <row r="706" hidden="1">
      <c r="A706" s="22" t="s">
        <v>2100</v>
      </c>
      <c r="B706" s="22" t="s">
        <v>2101</v>
      </c>
      <c r="C706" s="306" t="s">
        <v>3959</v>
      </c>
      <c r="D706" s="22" t="s">
        <v>165</v>
      </c>
      <c r="E706" s="307">
        <v>191.0</v>
      </c>
      <c r="F706" s="307">
        <v>11.0</v>
      </c>
      <c r="G706" s="307">
        <v>0.0</v>
      </c>
      <c r="H706" s="307">
        <v>9.0</v>
      </c>
      <c r="I706" s="307">
        <v>9.0</v>
      </c>
      <c r="J706" s="308">
        <v>0.0</v>
      </c>
      <c r="K706" s="22" t="s">
        <v>2102</v>
      </c>
      <c r="L706" s="22">
        <v>3.522355558E9</v>
      </c>
      <c r="M706" s="22" t="s">
        <v>71</v>
      </c>
      <c r="N706" s="22" t="s">
        <v>588</v>
      </c>
      <c r="O706" s="22" t="s">
        <v>2103</v>
      </c>
      <c r="P706" s="22" t="s">
        <v>666</v>
      </c>
      <c r="Q706" s="309">
        <f>COUNTIF('Hedef Liste'!A:A,A706)</f>
        <v>1</v>
      </c>
    </row>
    <row r="707" hidden="1">
      <c r="A707" s="22" t="s">
        <v>1362</v>
      </c>
      <c r="B707" s="22" t="s">
        <v>1363</v>
      </c>
      <c r="C707" s="306" t="s">
        <v>3959</v>
      </c>
      <c r="D707" s="22" t="s">
        <v>453</v>
      </c>
      <c r="E707" s="307">
        <v>2.0</v>
      </c>
      <c r="F707" s="310"/>
      <c r="G707" s="307">
        <v>0.0</v>
      </c>
      <c r="H707" s="307">
        <v>6.0</v>
      </c>
      <c r="I707" s="307">
        <v>6.0</v>
      </c>
      <c r="J707" s="308">
        <v>0.0</v>
      </c>
      <c r="K707" s="22" t="s">
        <v>1364</v>
      </c>
      <c r="L707" s="22">
        <v>5.52577697E9</v>
      </c>
      <c r="M707" s="22" t="s">
        <v>47</v>
      </c>
      <c r="N707" s="22" t="s">
        <v>339</v>
      </c>
      <c r="O707" s="22" t="s">
        <v>1365</v>
      </c>
      <c r="P707" s="22" t="s">
        <v>666</v>
      </c>
      <c r="Q707" s="309">
        <f>COUNTIF('Hedef Liste'!A:A,A707)</f>
        <v>1</v>
      </c>
    </row>
    <row r="708" hidden="1">
      <c r="A708" s="22" t="s">
        <v>1007</v>
      </c>
      <c r="B708" s="22" t="s">
        <v>4549</v>
      </c>
      <c r="C708" s="306" t="s">
        <v>3959</v>
      </c>
      <c r="D708" s="22" t="s">
        <v>172</v>
      </c>
      <c r="E708" s="307">
        <v>1329.0</v>
      </c>
      <c r="F708" s="307">
        <v>109.0</v>
      </c>
      <c r="G708" s="307">
        <v>2.0</v>
      </c>
      <c r="H708" s="307">
        <v>8.0</v>
      </c>
      <c r="I708" s="307">
        <v>10.0</v>
      </c>
      <c r="J708" s="308">
        <v>0.2</v>
      </c>
      <c r="K708" s="22" t="s">
        <v>1009</v>
      </c>
      <c r="L708" s="22">
        <v>3.523383831E9</v>
      </c>
      <c r="M708" s="22" t="s">
        <v>71</v>
      </c>
      <c r="N708" s="22" t="s">
        <v>209</v>
      </c>
      <c r="O708" s="22" t="s">
        <v>1010</v>
      </c>
      <c r="P708" s="22" t="s">
        <v>666</v>
      </c>
      <c r="Q708" s="309">
        <f>COUNTIF('Hedef Liste'!A:A,A708)</f>
        <v>1</v>
      </c>
    </row>
    <row r="709" hidden="1">
      <c r="A709" s="22" t="s">
        <v>1708</v>
      </c>
      <c r="B709" s="22" t="s">
        <v>1709</v>
      </c>
      <c r="C709" s="306" t="s">
        <v>3959</v>
      </c>
      <c r="D709" s="22" t="s">
        <v>59</v>
      </c>
      <c r="E709" s="307">
        <v>329.0</v>
      </c>
      <c r="F709" s="310"/>
      <c r="G709" s="307">
        <v>0.0</v>
      </c>
      <c r="H709" s="307">
        <v>12.0</v>
      </c>
      <c r="I709" s="307">
        <v>12.0</v>
      </c>
      <c r="J709" s="308">
        <v>0.0</v>
      </c>
      <c r="K709" s="22" t="s">
        <v>1710</v>
      </c>
      <c r="L709" s="22">
        <v>5.468828866E9</v>
      </c>
      <c r="M709" s="22" t="s">
        <v>61</v>
      </c>
      <c r="N709" s="22" t="s">
        <v>62</v>
      </c>
      <c r="O709" s="22" t="s">
        <v>1711</v>
      </c>
      <c r="P709" s="22" t="s">
        <v>666</v>
      </c>
      <c r="Q709" s="309">
        <f>COUNTIF('Hedef Liste'!A:A,A709)</f>
        <v>1</v>
      </c>
    </row>
    <row r="710" hidden="1">
      <c r="A710" s="22" t="s">
        <v>439</v>
      </c>
      <c r="B710" s="22" t="s">
        <v>4550</v>
      </c>
      <c r="C710" s="306" t="s">
        <v>3959</v>
      </c>
      <c r="D710" s="22" t="s">
        <v>172</v>
      </c>
      <c r="E710" s="307">
        <v>529.0</v>
      </c>
      <c r="F710" s="310"/>
      <c r="G710" s="307">
        <v>7.0</v>
      </c>
      <c r="H710" s="307">
        <v>8.0</v>
      </c>
      <c r="I710" s="307">
        <v>15.0</v>
      </c>
      <c r="J710" s="308">
        <v>0.47</v>
      </c>
      <c r="K710" s="22" t="s">
        <v>441</v>
      </c>
      <c r="L710" s="22">
        <v>3.525033404E9</v>
      </c>
      <c r="M710" s="22" t="s">
        <v>71</v>
      </c>
      <c r="N710" s="22" t="s">
        <v>442</v>
      </c>
      <c r="O710" s="22" t="s">
        <v>443</v>
      </c>
      <c r="P710" s="22" t="s">
        <v>666</v>
      </c>
      <c r="Q710" s="309">
        <f>COUNTIF('Hedef Liste'!A:A,A710)</f>
        <v>1</v>
      </c>
    </row>
    <row r="711" hidden="1">
      <c r="A711" s="22" t="s">
        <v>2015</v>
      </c>
      <c r="B711" s="22" t="s">
        <v>2016</v>
      </c>
      <c r="C711" s="306" t="s">
        <v>3959</v>
      </c>
      <c r="D711" s="22" t="s">
        <v>406</v>
      </c>
      <c r="E711" s="307">
        <v>189.0</v>
      </c>
      <c r="F711" s="307">
        <v>57.0</v>
      </c>
      <c r="G711" s="307">
        <v>15.0</v>
      </c>
      <c r="H711" s="307">
        <v>1.0</v>
      </c>
      <c r="I711" s="307">
        <v>16.0</v>
      </c>
      <c r="J711" s="308">
        <v>0.94</v>
      </c>
      <c r="K711" s="22" t="s">
        <v>2017</v>
      </c>
      <c r="L711" s="22">
        <v>3.523388787E9</v>
      </c>
      <c r="M711" s="22" t="s">
        <v>71</v>
      </c>
      <c r="N711" s="22" t="s">
        <v>62</v>
      </c>
      <c r="O711" s="22" t="s">
        <v>2018</v>
      </c>
      <c r="P711" s="22" t="s">
        <v>666</v>
      </c>
      <c r="Q711" s="309">
        <f>COUNTIF('Hedef Liste'!A:A,A711)</f>
        <v>1</v>
      </c>
    </row>
    <row r="712" hidden="1">
      <c r="A712" s="22" t="s">
        <v>2424</v>
      </c>
      <c r="B712" s="22" t="s">
        <v>2425</v>
      </c>
      <c r="C712" s="306" t="s">
        <v>3959</v>
      </c>
      <c r="D712" s="22" t="s">
        <v>100</v>
      </c>
      <c r="E712" s="307">
        <v>15.0</v>
      </c>
      <c r="F712" s="307">
        <v>7.0</v>
      </c>
      <c r="G712" s="307">
        <v>0.0</v>
      </c>
      <c r="H712" s="307">
        <v>8.0</v>
      </c>
      <c r="I712" s="307">
        <v>8.0</v>
      </c>
      <c r="J712" s="308">
        <v>0.0</v>
      </c>
      <c r="K712" s="22" t="s">
        <v>2384</v>
      </c>
      <c r="L712" s="22">
        <v>3.52233434E9</v>
      </c>
      <c r="M712" s="22" t="s">
        <v>47</v>
      </c>
      <c r="N712" s="22" t="s">
        <v>125</v>
      </c>
      <c r="O712" s="22" t="s">
        <v>2426</v>
      </c>
      <c r="P712" s="22" t="s">
        <v>666</v>
      </c>
      <c r="Q712" s="309">
        <f>COUNTIF('Hedef Liste'!A:A,A712)</f>
        <v>1</v>
      </c>
    </row>
    <row r="713">
      <c r="A713" s="22" t="s">
        <v>775</v>
      </c>
      <c r="B713" s="22" t="s">
        <v>776</v>
      </c>
      <c r="C713" s="306" t="s">
        <v>3959</v>
      </c>
      <c r="D713" s="22" t="s">
        <v>653</v>
      </c>
      <c r="E713" s="310"/>
      <c r="F713" s="310"/>
      <c r="G713" s="307">
        <v>0.0</v>
      </c>
      <c r="H713" s="307">
        <v>24.0</v>
      </c>
      <c r="I713" s="307">
        <v>24.0</v>
      </c>
      <c r="J713" s="308">
        <v>0.0</v>
      </c>
      <c r="K713" s="22" t="s">
        <v>777</v>
      </c>
      <c r="L713" s="22">
        <v>3.52232866E9</v>
      </c>
      <c r="M713" s="22" t="s">
        <v>71</v>
      </c>
      <c r="N713" s="22" t="s">
        <v>684</v>
      </c>
      <c r="O713" s="22" t="s">
        <v>778</v>
      </c>
      <c r="P713" s="22" t="s">
        <v>666</v>
      </c>
      <c r="Q713" s="309">
        <f>COUNTIF('Hedef Liste'!A:A,A713)</f>
        <v>1</v>
      </c>
    </row>
    <row r="714" hidden="1">
      <c r="A714" s="22" t="s">
        <v>1332</v>
      </c>
      <c r="B714" s="22" t="s">
        <v>4551</v>
      </c>
      <c r="C714" s="306" t="s">
        <v>3959</v>
      </c>
      <c r="D714" s="22" t="s">
        <v>69</v>
      </c>
      <c r="E714" s="307">
        <v>481.0</v>
      </c>
      <c r="F714" s="307">
        <v>24.0</v>
      </c>
      <c r="G714" s="307">
        <v>7.0</v>
      </c>
      <c r="H714" s="307">
        <v>10.0</v>
      </c>
      <c r="I714" s="307">
        <v>17.0</v>
      </c>
      <c r="J714" s="308">
        <v>0.41</v>
      </c>
      <c r="K714" s="22" t="s">
        <v>1334</v>
      </c>
      <c r="L714" s="22">
        <v>3.523366065E9</v>
      </c>
      <c r="M714" s="22" t="s">
        <v>47</v>
      </c>
      <c r="N714" s="22" t="s">
        <v>401</v>
      </c>
      <c r="O714" s="22" t="s">
        <v>4552</v>
      </c>
      <c r="P714" s="22" t="s">
        <v>666</v>
      </c>
      <c r="Q714" s="309">
        <f>COUNTIF('Hedef Liste'!A:A,A714)</f>
        <v>1</v>
      </c>
    </row>
    <row r="715" hidden="1">
      <c r="A715" s="22" t="s">
        <v>1545</v>
      </c>
      <c r="B715" s="22" t="s">
        <v>1546</v>
      </c>
      <c r="C715" s="306" t="s">
        <v>3959</v>
      </c>
      <c r="D715" s="22" t="s">
        <v>406</v>
      </c>
      <c r="E715" s="307">
        <v>5.0</v>
      </c>
      <c r="F715" s="310"/>
      <c r="G715" s="307">
        <v>0.0</v>
      </c>
      <c r="H715" s="307">
        <v>12.0</v>
      </c>
      <c r="I715" s="307">
        <v>12.0</v>
      </c>
      <c r="J715" s="308">
        <v>0.0</v>
      </c>
      <c r="K715" s="22" t="s">
        <v>1547</v>
      </c>
      <c r="L715" s="22">
        <v>3.522220646E9</v>
      </c>
      <c r="M715" s="22" t="s">
        <v>71</v>
      </c>
      <c r="N715" s="22" t="s">
        <v>420</v>
      </c>
      <c r="O715" s="22" t="s">
        <v>1548</v>
      </c>
      <c r="P715" s="22" t="s">
        <v>666</v>
      </c>
      <c r="Q715" s="309">
        <f>COUNTIF('Hedef Liste'!A:A,A715)</f>
        <v>1</v>
      </c>
    </row>
    <row r="716" hidden="1">
      <c r="A716" s="22" t="s">
        <v>2231</v>
      </c>
      <c r="B716" s="22" t="s">
        <v>2232</v>
      </c>
      <c r="C716" s="306" t="s">
        <v>3959</v>
      </c>
      <c r="D716" s="22" t="s">
        <v>91</v>
      </c>
      <c r="E716" s="310"/>
      <c r="F716" s="310"/>
      <c r="G716" s="307">
        <v>0.0</v>
      </c>
      <c r="H716" s="307">
        <v>27.0</v>
      </c>
      <c r="I716" s="307">
        <v>27.0</v>
      </c>
      <c r="J716" s="308">
        <v>0.0</v>
      </c>
      <c r="K716" s="22" t="s">
        <v>2233</v>
      </c>
      <c r="L716" s="22">
        <v>3.522353597E9</v>
      </c>
      <c r="M716" s="22" t="s">
        <v>47</v>
      </c>
      <c r="N716" s="22" t="s">
        <v>47</v>
      </c>
      <c r="O716" s="22" t="s">
        <v>2234</v>
      </c>
      <c r="P716" s="22" t="s">
        <v>666</v>
      </c>
      <c r="Q716" s="309">
        <f>COUNTIF('Hedef Liste'!A:A,A716)</f>
        <v>1</v>
      </c>
    </row>
    <row r="717">
      <c r="A717" s="22" t="s">
        <v>696</v>
      </c>
      <c r="B717" s="22" t="s">
        <v>692</v>
      </c>
      <c r="C717" s="306" t="s">
        <v>3959</v>
      </c>
      <c r="D717" s="22" t="s">
        <v>69</v>
      </c>
      <c r="E717" s="307">
        <v>15.0</v>
      </c>
      <c r="F717" s="307">
        <v>15.0</v>
      </c>
      <c r="G717" s="307">
        <v>0.0</v>
      </c>
      <c r="H717" s="307">
        <v>8.0</v>
      </c>
      <c r="I717" s="307">
        <v>8.0</v>
      </c>
      <c r="J717" s="308">
        <v>0.0</v>
      </c>
      <c r="K717" s="22" t="s">
        <v>697</v>
      </c>
      <c r="L717" s="22">
        <v>3.523331501E9</v>
      </c>
      <c r="M717" s="22" t="s">
        <v>47</v>
      </c>
      <c r="N717" s="22" t="s">
        <v>125</v>
      </c>
      <c r="O717" s="22" t="s">
        <v>698</v>
      </c>
      <c r="P717" s="22" t="s">
        <v>666</v>
      </c>
      <c r="Q717" s="309">
        <f>COUNTIF('Hedef Liste'!A:A,A717)</f>
        <v>1</v>
      </c>
    </row>
    <row r="718" hidden="1">
      <c r="A718" s="22" t="s">
        <v>4553</v>
      </c>
      <c r="B718" s="22" t="s">
        <v>4554</v>
      </c>
      <c r="C718" s="306" t="s">
        <v>3959</v>
      </c>
      <c r="D718" s="22" t="s">
        <v>69</v>
      </c>
      <c r="E718" s="307">
        <v>2.0</v>
      </c>
      <c r="F718" s="307">
        <v>2.0</v>
      </c>
      <c r="G718" s="307">
        <v>12.0</v>
      </c>
      <c r="H718" s="307">
        <v>15.0</v>
      </c>
      <c r="I718" s="307">
        <v>27.0</v>
      </c>
      <c r="J718" s="308">
        <v>0.44</v>
      </c>
      <c r="K718" s="22" t="s">
        <v>4303</v>
      </c>
      <c r="L718" s="22">
        <v>5.345838048E9</v>
      </c>
      <c r="M718" s="22" t="s">
        <v>61</v>
      </c>
      <c r="N718" s="22" t="s">
        <v>62</v>
      </c>
      <c r="O718" s="22" t="s">
        <v>4555</v>
      </c>
      <c r="P718" s="22" t="s">
        <v>666</v>
      </c>
      <c r="Q718" s="309">
        <f>COUNTIF('Hedef Liste'!A:A,A718)</f>
        <v>0</v>
      </c>
    </row>
    <row r="719">
      <c r="A719" s="22" t="s">
        <v>784</v>
      </c>
      <c r="B719" s="22" t="s">
        <v>785</v>
      </c>
      <c r="C719" s="306" t="s">
        <v>3959</v>
      </c>
      <c r="D719" s="22" t="s">
        <v>59</v>
      </c>
      <c r="E719" s="307">
        <v>24.0</v>
      </c>
      <c r="F719" s="307">
        <v>24.0</v>
      </c>
      <c r="G719" s="307">
        <v>0.0</v>
      </c>
      <c r="H719" s="307">
        <v>18.0</v>
      </c>
      <c r="I719" s="307">
        <v>18.0</v>
      </c>
      <c r="J719" s="308">
        <v>0.0</v>
      </c>
      <c r="K719" s="22" t="s">
        <v>786</v>
      </c>
      <c r="L719" s="22">
        <v>3.523265555E9</v>
      </c>
      <c r="M719" s="22" t="s">
        <v>71</v>
      </c>
      <c r="N719" s="22" t="s">
        <v>787</v>
      </c>
      <c r="O719" s="22" t="s">
        <v>788</v>
      </c>
      <c r="P719" s="22" t="s">
        <v>666</v>
      </c>
      <c r="Q719" s="309">
        <f>COUNTIF('Hedef Liste'!A:A,A719)</f>
        <v>1</v>
      </c>
    </row>
    <row r="720" hidden="1">
      <c r="A720" s="22" t="s">
        <v>1254</v>
      </c>
      <c r="B720" s="22" t="s">
        <v>4556</v>
      </c>
      <c r="C720" s="306" t="s">
        <v>3959</v>
      </c>
      <c r="D720" s="22" t="s">
        <v>100</v>
      </c>
      <c r="E720" s="307">
        <v>130.0</v>
      </c>
      <c r="F720" s="307">
        <v>11.0</v>
      </c>
      <c r="G720" s="307">
        <v>0.0</v>
      </c>
      <c r="H720" s="307">
        <v>11.0</v>
      </c>
      <c r="I720" s="307">
        <v>11.0</v>
      </c>
      <c r="J720" s="308">
        <v>0.0</v>
      </c>
      <c r="K720" s="22" t="s">
        <v>1256</v>
      </c>
      <c r="L720" s="22">
        <v>5.528672438E9</v>
      </c>
      <c r="M720" s="22" t="s">
        <v>71</v>
      </c>
      <c r="N720" s="22" t="s">
        <v>250</v>
      </c>
      <c r="O720" s="22" t="s">
        <v>1257</v>
      </c>
      <c r="P720" s="22" t="s">
        <v>666</v>
      </c>
      <c r="Q720" s="309">
        <f>COUNTIF('Hedef Liste'!A:A,A720)</f>
        <v>1</v>
      </c>
    </row>
    <row r="721" hidden="1">
      <c r="A721" s="22" t="s">
        <v>1700</v>
      </c>
      <c r="B721" s="22" t="s">
        <v>4557</v>
      </c>
      <c r="C721" s="306" t="s">
        <v>3959</v>
      </c>
      <c r="D721" s="22" t="s">
        <v>83</v>
      </c>
      <c r="E721" s="307">
        <v>2.0</v>
      </c>
      <c r="F721" s="307">
        <v>1.0</v>
      </c>
      <c r="G721" s="307">
        <v>14.0</v>
      </c>
      <c r="H721" s="307">
        <v>7.0</v>
      </c>
      <c r="I721" s="307">
        <v>21.0</v>
      </c>
      <c r="J721" s="308">
        <v>0.67</v>
      </c>
      <c r="K721" s="22" t="s">
        <v>1702</v>
      </c>
      <c r="L721" s="22">
        <v>5.013665001E9</v>
      </c>
      <c r="M721" s="22" t="s">
        <v>61</v>
      </c>
      <c r="N721" s="22" t="s">
        <v>250</v>
      </c>
      <c r="O721" s="22" t="s">
        <v>4558</v>
      </c>
      <c r="P721" s="22" t="s">
        <v>666</v>
      </c>
      <c r="Q721" s="309">
        <f>COUNTIF('Hedef Liste'!A:A,A721)</f>
        <v>1</v>
      </c>
    </row>
    <row r="722" hidden="1">
      <c r="A722" s="22" t="s">
        <v>176</v>
      </c>
      <c r="B722" s="22" t="s">
        <v>177</v>
      </c>
      <c r="C722" s="306" t="s">
        <v>3963</v>
      </c>
      <c r="D722" s="22" t="s">
        <v>83</v>
      </c>
      <c r="E722" s="307">
        <v>1064.0</v>
      </c>
      <c r="F722" s="310"/>
      <c r="G722" s="307">
        <v>19.0</v>
      </c>
      <c r="H722" s="307">
        <v>5.0</v>
      </c>
      <c r="I722" s="307">
        <v>24.0</v>
      </c>
      <c r="J722" s="308">
        <v>0.79</v>
      </c>
      <c r="K722" s="22" t="s">
        <v>178</v>
      </c>
      <c r="L722" s="22">
        <v>5.303839538E9</v>
      </c>
      <c r="M722" s="22" t="s">
        <v>71</v>
      </c>
      <c r="N722" s="22" t="s">
        <v>179</v>
      </c>
      <c r="O722" s="22" t="s">
        <v>180</v>
      </c>
      <c r="P722" s="22" t="s">
        <v>666</v>
      </c>
      <c r="Q722" s="309">
        <f>COUNTIF('Hedef Liste'!A:A,A722)</f>
        <v>1</v>
      </c>
    </row>
    <row r="723" hidden="1">
      <c r="A723" s="22" t="s">
        <v>1811</v>
      </c>
      <c r="B723" s="22" t="s">
        <v>1812</v>
      </c>
      <c r="C723" s="306" t="s">
        <v>3959</v>
      </c>
      <c r="D723" s="22" t="s">
        <v>172</v>
      </c>
      <c r="E723" s="307">
        <v>29.0</v>
      </c>
      <c r="F723" s="310"/>
      <c r="G723" s="307">
        <v>6.0</v>
      </c>
      <c r="H723" s="307">
        <v>6.0</v>
      </c>
      <c r="I723" s="307">
        <v>12.0</v>
      </c>
      <c r="J723" s="308">
        <v>0.5</v>
      </c>
      <c r="K723" s="22" t="s">
        <v>1813</v>
      </c>
      <c r="L723" s="22">
        <v>3.522315564E9</v>
      </c>
      <c r="M723" s="22" t="s">
        <v>71</v>
      </c>
      <c r="N723" s="22" t="s">
        <v>1814</v>
      </c>
      <c r="O723" s="22" t="s">
        <v>1815</v>
      </c>
      <c r="P723" s="22" t="s">
        <v>666</v>
      </c>
      <c r="Q723" s="309">
        <f>COUNTIF('Hedef Liste'!A:A,A723)</f>
        <v>1</v>
      </c>
    </row>
    <row r="724" hidden="1">
      <c r="A724" s="22" t="s">
        <v>1111</v>
      </c>
      <c r="B724" s="22" t="s">
        <v>1112</v>
      </c>
      <c r="C724" s="306" t="s">
        <v>3959</v>
      </c>
      <c r="D724" s="22" t="s">
        <v>406</v>
      </c>
      <c r="E724" s="307">
        <v>45.0</v>
      </c>
      <c r="F724" s="307">
        <v>11.0</v>
      </c>
      <c r="G724" s="307">
        <v>7.0</v>
      </c>
      <c r="H724" s="307">
        <v>22.0</v>
      </c>
      <c r="I724" s="307">
        <v>29.0</v>
      </c>
      <c r="J724" s="308">
        <v>0.24</v>
      </c>
      <c r="K724" s="22" t="s">
        <v>295</v>
      </c>
      <c r="L724" s="22">
        <v>5.392215824E9</v>
      </c>
      <c r="M724" s="22" t="s">
        <v>71</v>
      </c>
      <c r="N724" s="22" t="s">
        <v>296</v>
      </c>
      <c r="O724" s="22" t="s">
        <v>297</v>
      </c>
      <c r="P724" s="22" t="s">
        <v>666</v>
      </c>
      <c r="Q724" s="309">
        <f>COUNTIF('Hedef Liste'!A:A,A724)</f>
        <v>1</v>
      </c>
    </row>
    <row r="725" hidden="1">
      <c r="A725" s="22" t="s">
        <v>2656</v>
      </c>
      <c r="B725" s="22" t="s">
        <v>2657</v>
      </c>
      <c r="C725" s="306" t="s">
        <v>3959</v>
      </c>
      <c r="D725" s="22" t="s">
        <v>100</v>
      </c>
      <c r="E725" s="307">
        <v>5.0</v>
      </c>
      <c r="F725" s="310"/>
      <c r="G725" s="307">
        <v>10.0</v>
      </c>
      <c r="H725" s="307">
        <v>6.0</v>
      </c>
      <c r="I725" s="307">
        <v>16.0</v>
      </c>
      <c r="J725" s="308">
        <v>0.63</v>
      </c>
      <c r="K725" s="22" t="s">
        <v>2658</v>
      </c>
      <c r="L725" s="22">
        <v>5.412577085E9</v>
      </c>
      <c r="M725" s="22" t="s">
        <v>71</v>
      </c>
      <c r="N725" s="22" t="s">
        <v>102</v>
      </c>
      <c r="O725" s="22" t="s">
        <v>2659</v>
      </c>
      <c r="P725" s="22" t="s">
        <v>666</v>
      </c>
      <c r="Q725" s="309">
        <f>COUNTIF('Hedef Liste'!A:A,A725)</f>
        <v>1</v>
      </c>
    </row>
    <row r="726" hidden="1">
      <c r="A726" s="22" t="s">
        <v>2550</v>
      </c>
      <c r="B726" s="22" t="s">
        <v>2551</v>
      </c>
      <c r="C726" s="306" t="s">
        <v>3959</v>
      </c>
      <c r="D726" s="22" t="s">
        <v>165</v>
      </c>
      <c r="E726" s="307">
        <v>80.0</v>
      </c>
      <c r="F726" s="307">
        <v>32.0</v>
      </c>
      <c r="G726" s="307">
        <v>0.0</v>
      </c>
      <c r="H726" s="307">
        <v>12.0</v>
      </c>
      <c r="I726" s="307">
        <v>12.0</v>
      </c>
      <c r="J726" s="308">
        <v>0.0</v>
      </c>
      <c r="K726" s="22" t="s">
        <v>2552</v>
      </c>
      <c r="L726" s="22">
        <v>3.525022721E9</v>
      </c>
      <c r="M726" s="22" t="s">
        <v>71</v>
      </c>
      <c r="N726" s="22" t="s">
        <v>214</v>
      </c>
      <c r="O726" s="22" t="s">
        <v>2553</v>
      </c>
      <c r="P726" s="22" t="s">
        <v>666</v>
      </c>
      <c r="Q726" s="309">
        <f>COUNTIF('Hedef Liste'!A:A,A726)</f>
        <v>1</v>
      </c>
    </row>
    <row r="727" hidden="1">
      <c r="A727" s="22" t="s">
        <v>1021</v>
      </c>
      <c r="B727" s="22" t="s">
        <v>1022</v>
      </c>
      <c r="C727" s="306" t="s">
        <v>3959</v>
      </c>
      <c r="D727" s="22" t="s">
        <v>172</v>
      </c>
      <c r="E727" s="307">
        <v>4.0</v>
      </c>
      <c r="F727" s="307">
        <v>2.0</v>
      </c>
      <c r="G727" s="307">
        <v>0.0</v>
      </c>
      <c r="H727" s="307">
        <v>16.0</v>
      </c>
      <c r="I727" s="307">
        <v>16.0</v>
      </c>
      <c r="J727" s="308">
        <v>0.0</v>
      </c>
      <c r="K727" s="22" t="s">
        <v>1023</v>
      </c>
      <c r="L727" s="22">
        <v>5.541147572E9</v>
      </c>
      <c r="M727" s="22" t="s">
        <v>47</v>
      </c>
      <c r="N727" s="22" t="s">
        <v>48</v>
      </c>
      <c r="O727" s="22" t="s">
        <v>1024</v>
      </c>
      <c r="P727" s="22" t="s">
        <v>666</v>
      </c>
      <c r="Q727" s="309">
        <f>COUNTIF('Hedef Liste'!A:A,A727)</f>
        <v>1</v>
      </c>
    </row>
    <row r="728" hidden="1">
      <c r="A728" s="22" t="s">
        <v>1012</v>
      </c>
      <c r="B728" s="22" t="s">
        <v>1013</v>
      </c>
      <c r="C728" s="306" t="s">
        <v>3959</v>
      </c>
      <c r="D728" s="22" t="s">
        <v>172</v>
      </c>
      <c r="E728" s="307">
        <v>3.0</v>
      </c>
      <c r="F728" s="310"/>
      <c r="G728" s="307">
        <v>0.0</v>
      </c>
      <c r="H728" s="307">
        <v>9.0</v>
      </c>
      <c r="I728" s="307">
        <v>9.0</v>
      </c>
      <c r="J728" s="308">
        <v>0.0</v>
      </c>
      <c r="K728" s="22" t="s">
        <v>1014</v>
      </c>
      <c r="L728" s="22">
        <v>5.527003806E9</v>
      </c>
      <c r="M728" s="22" t="s">
        <v>47</v>
      </c>
      <c r="N728" s="22" t="s">
        <v>640</v>
      </c>
      <c r="O728" s="22" t="s">
        <v>1015</v>
      </c>
      <c r="P728" s="22" t="s">
        <v>666</v>
      </c>
      <c r="Q728" s="309">
        <f>COUNTIF('Hedef Liste'!A:A,A728)</f>
        <v>1</v>
      </c>
    </row>
    <row r="729" hidden="1">
      <c r="A729" s="22" t="s">
        <v>2587</v>
      </c>
      <c r="B729" s="22" t="s">
        <v>2588</v>
      </c>
      <c r="C729" s="306" t="s">
        <v>3959</v>
      </c>
      <c r="D729" s="22" t="s">
        <v>406</v>
      </c>
      <c r="E729" s="307">
        <v>146.0</v>
      </c>
      <c r="F729" s="307">
        <v>93.0</v>
      </c>
      <c r="G729" s="307">
        <v>0.0</v>
      </c>
      <c r="H729" s="307">
        <v>12.0</v>
      </c>
      <c r="I729" s="307">
        <v>12.0</v>
      </c>
      <c r="J729" s="308">
        <v>0.0</v>
      </c>
      <c r="K729" s="22" t="s">
        <v>2589</v>
      </c>
      <c r="L729" s="22">
        <v>3.525020607E9</v>
      </c>
      <c r="M729" s="22" t="s">
        <v>61</v>
      </c>
      <c r="N729" s="22" t="s">
        <v>62</v>
      </c>
      <c r="O729" s="22" t="s">
        <v>2590</v>
      </c>
      <c r="P729" s="22" t="s">
        <v>666</v>
      </c>
      <c r="Q729" s="309">
        <f>COUNTIF('Hedef Liste'!A:A,A729)</f>
        <v>1</v>
      </c>
    </row>
    <row r="730" hidden="1">
      <c r="A730" s="22" t="s">
        <v>1394</v>
      </c>
      <c r="B730" s="22" t="s">
        <v>1395</v>
      </c>
      <c r="C730" s="306" t="s">
        <v>3959</v>
      </c>
      <c r="D730" s="22" t="s">
        <v>100</v>
      </c>
      <c r="E730" s="307">
        <v>2.0</v>
      </c>
      <c r="F730" s="310"/>
      <c r="G730" s="307">
        <v>0.0</v>
      </c>
      <c r="H730" s="307">
        <v>7.0</v>
      </c>
      <c r="I730" s="307">
        <v>7.0</v>
      </c>
      <c r="J730" s="308">
        <v>0.0</v>
      </c>
      <c r="K730" s="22" t="s">
        <v>1396</v>
      </c>
      <c r="L730" s="22">
        <v>3.523440132E9</v>
      </c>
      <c r="M730" s="22" t="s">
        <v>71</v>
      </c>
      <c r="N730" s="22" t="s">
        <v>214</v>
      </c>
      <c r="O730" s="22" t="s">
        <v>1397</v>
      </c>
      <c r="P730" s="22" t="s">
        <v>666</v>
      </c>
      <c r="Q730" s="309">
        <f>COUNTIF('Hedef Liste'!A:A,A730)</f>
        <v>1</v>
      </c>
    </row>
    <row r="731" hidden="1">
      <c r="A731" s="22" t="s">
        <v>1031</v>
      </c>
      <c r="B731" s="22" t="s">
        <v>1032</v>
      </c>
      <c r="C731" s="306" t="s">
        <v>3959</v>
      </c>
      <c r="D731" s="22" t="s">
        <v>59</v>
      </c>
      <c r="F731" s="310"/>
      <c r="G731" s="307">
        <v>0.0</v>
      </c>
      <c r="H731" s="307">
        <v>6.0</v>
      </c>
      <c r="I731" s="307">
        <v>6.0</v>
      </c>
      <c r="J731" s="308">
        <v>0.0</v>
      </c>
      <c r="K731" s="22" t="s">
        <v>1033</v>
      </c>
      <c r="L731" s="22">
        <v>5.39785803E9</v>
      </c>
      <c r="M731" s="22" t="s">
        <v>47</v>
      </c>
      <c r="N731" s="22" t="s">
        <v>259</v>
      </c>
      <c r="O731" s="22" t="s">
        <v>1034</v>
      </c>
      <c r="P731" s="22" t="s">
        <v>666</v>
      </c>
      <c r="Q731" s="309">
        <f>COUNTIF('Hedef Liste'!A:A,A731)</f>
        <v>1</v>
      </c>
    </row>
    <row r="732" hidden="1">
      <c r="A732" s="22" t="s">
        <v>2877</v>
      </c>
      <c r="B732" s="22" t="s">
        <v>2878</v>
      </c>
      <c r="C732" s="306" t="s">
        <v>3959</v>
      </c>
      <c r="D732" s="22" t="s">
        <v>172</v>
      </c>
      <c r="E732" s="310"/>
      <c r="F732" s="310"/>
      <c r="G732" s="307">
        <v>0.0</v>
      </c>
      <c r="H732" s="307">
        <v>13.0</v>
      </c>
      <c r="I732" s="307">
        <v>13.0</v>
      </c>
      <c r="J732" s="308">
        <v>0.0</v>
      </c>
      <c r="K732" s="22" t="s">
        <v>2879</v>
      </c>
      <c r="L732" s="22">
        <v>3.525130403E9</v>
      </c>
      <c r="M732" s="22" t="s">
        <v>71</v>
      </c>
      <c r="N732" s="22" t="s">
        <v>71</v>
      </c>
      <c r="O732" s="22" t="s">
        <v>2880</v>
      </c>
      <c r="P732" s="22" t="s">
        <v>666</v>
      </c>
      <c r="Q732" s="309">
        <f>COUNTIF('Hedef Liste'!A:A,A732)</f>
        <v>1</v>
      </c>
    </row>
    <row r="733">
      <c r="A733" s="22" t="s">
        <v>2661</v>
      </c>
      <c r="B733" s="22" t="s">
        <v>2662</v>
      </c>
      <c r="C733" s="306" t="s">
        <v>3959</v>
      </c>
      <c r="D733" s="22" t="s">
        <v>100</v>
      </c>
      <c r="E733" s="310"/>
      <c r="F733" s="310"/>
      <c r="G733" s="307">
        <v>0.0</v>
      </c>
      <c r="H733" s="307">
        <v>7.0</v>
      </c>
      <c r="I733" s="307">
        <v>7.0</v>
      </c>
      <c r="J733" s="308">
        <v>0.0</v>
      </c>
      <c r="K733" s="22" t="s">
        <v>2663</v>
      </c>
      <c r="L733" s="22">
        <v>3.52502902E9</v>
      </c>
      <c r="M733" s="22" t="s">
        <v>47</v>
      </c>
      <c r="N733" s="22" t="s">
        <v>138</v>
      </c>
      <c r="O733" s="22" t="s">
        <v>2664</v>
      </c>
      <c r="P733" s="22" t="s">
        <v>666</v>
      </c>
      <c r="Q733" s="309">
        <f>COUNTIF('Hedef Liste'!A:A,A733)</f>
        <v>1</v>
      </c>
    </row>
    <row r="734">
      <c r="A734" s="22" t="s">
        <v>1214</v>
      </c>
      <c r="B734" s="22" t="s">
        <v>1215</v>
      </c>
      <c r="C734" s="306" t="s">
        <v>3959</v>
      </c>
      <c r="D734" s="22" t="s">
        <v>59</v>
      </c>
      <c r="E734" s="307">
        <v>97.0</v>
      </c>
      <c r="F734" s="307">
        <v>97.0</v>
      </c>
      <c r="G734" s="307">
        <v>0.0</v>
      </c>
      <c r="H734" s="307">
        <v>24.0</v>
      </c>
      <c r="I734" s="307">
        <v>24.0</v>
      </c>
      <c r="J734" s="308">
        <v>0.0</v>
      </c>
      <c r="K734" s="22" t="s">
        <v>1216</v>
      </c>
      <c r="L734" s="22">
        <v>3.525131333E9</v>
      </c>
      <c r="M734" s="22" t="s">
        <v>61</v>
      </c>
      <c r="N734" s="22" t="s">
        <v>107</v>
      </c>
      <c r="O734" s="22" t="s">
        <v>1217</v>
      </c>
      <c r="P734" s="22" t="s">
        <v>666</v>
      </c>
      <c r="Q734" s="309">
        <f>COUNTIF('Hedef Liste'!A:A,A734)</f>
        <v>1</v>
      </c>
    </row>
    <row r="735">
      <c r="A735" s="22" t="s">
        <v>1658</v>
      </c>
      <c r="B735" s="22" t="s">
        <v>1659</v>
      </c>
      <c r="C735" s="306" t="s">
        <v>3959</v>
      </c>
      <c r="D735" s="22" t="s">
        <v>172</v>
      </c>
      <c r="E735" s="307">
        <v>1.0</v>
      </c>
      <c r="F735" s="307">
        <v>1.0</v>
      </c>
      <c r="G735" s="307">
        <v>0.0</v>
      </c>
      <c r="H735" s="307">
        <v>28.0</v>
      </c>
      <c r="I735" s="307">
        <v>28.0</v>
      </c>
      <c r="J735" s="308">
        <v>0.0</v>
      </c>
      <c r="K735" s="22" t="s">
        <v>1655</v>
      </c>
      <c r="L735" s="22">
        <v>3.523362324E9</v>
      </c>
      <c r="M735" s="22" t="s">
        <v>71</v>
      </c>
      <c r="N735" s="22" t="s">
        <v>385</v>
      </c>
      <c r="O735" s="22" t="s">
        <v>1660</v>
      </c>
      <c r="P735" s="22" t="s">
        <v>666</v>
      </c>
      <c r="Q735" s="309">
        <f>COUNTIF('Hedef Liste'!A:A,A735)</f>
        <v>1</v>
      </c>
    </row>
    <row r="736">
      <c r="A736" s="22" t="s">
        <v>2859</v>
      </c>
      <c r="B736" s="22" t="s">
        <v>2860</v>
      </c>
      <c r="C736" s="306" t="s">
        <v>3959</v>
      </c>
      <c r="D736" s="22" t="s">
        <v>69</v>
      </c>
      <c r="F736" s="310"/>
      <c r="G736" s="307">
        <v>0.0</v>
      </c>
      <c r="H736" s="307">
        <v>11.0</v>
      </c>
      <c r="I736" s="307">
        <v>11.0</v>
      </c>
      <c r="J736" s="308">
        <v>0.0</v>
      </c>
      <c r="K736" s="22" t="s">
        <v>2861</v>
      </c>
      <c r="L736" s="22">
        <v>3.522352004E9</v>
      </c>
      <c r="M736" s="22" t="s">
        <v>71</v>
      </c>
      <c r="N736" s="22" t="s">
        <v>420</v>
      </c>
      <c r="O736" s="22" t="s">
        <v>2862</v>
      </c>
      <c r="P736" s="22" t="s">
        <v>666</v>
      </c>
      <c r="Q736" s="309">
        <f>COUNTIF('Hedef Liste'!A:A,A736)</f>
        <v>1</v>
      </c>
    </row>
    <row r="737">
      <c r="A737" s="22" t="s">
        <v>2315</v>
      </c>
      <c r="B737" s="22" t="s">
        <v>2316</v>
      </c>
      <c r="C737" s="306" t="s">
        <v>3959</v>
      </c>
      <c r="D737" s="22" t="s">
        <v>172</v>
      </c>
      <c r="E737" s="307">
        <v>5.0</v>
      </c>
      <c r="F737" s="307">
        <v>5.0</v>
      </c>
      <c r="G737" s="307">
        <v>0.0</v>
      </c>
      <c r="H737" s="307">
        <v>10.0</v>
      </c>
      <c r="I737" s="307">
        <v>10.0</v>
      </c>
      <c r="J737" s="308">
        <v>0.0</v>
      </c>
      <c r="K737" s="22" t="s">
        <v>1196</v>
      </c>
      <c r="L737" s="22">
        <v>3.522228848E9</v>
      </c>
      <c r="M737" s="22" t="s">
        <v>47</v>
      </c>
      <c r="N737" s="22" t="s">
        <v>155</v>
      </c>
      <c r="O737" s="22" t="s">
        <v>1197</v>
      </c>
      <c r="P737" s="22" t="s">
        <v>666</v>
      </c>
      <c r="Q737" s="309">
        <f>COUNTIF('Hedef Liste'!A:A,A737)</f>
        <v>1</v>
      </c>
    </row>
    <row r="738" hidden="1">
      <c r="A738" s="22" t="s">
        <v>808</v>
      </c>
      <c r="B738" s="22" t="s">
        <v>809</v>
      </c>
      <c r="C738" s="306" t="s">
        <v>3959</v>
      </c>
      <c r="D738" s="22" t="s">
        <v>69</v>
      </c>
      <c r="E738" s="307">
        <v>1482.0</v>
      </c>
      <c r="F738" s="307">
        <v>97.0</v>
      </c>
      <c r="G738" s="307">
        <v>5.0</v>
      </c>
      <c r="H738" s="307">
        <v>1.0</v>
      </c>
      <c r="I738" s="307">
        <v>6.0</v>
      </c>
      <c r="J738" s="308">
        <v>0.83</v>
      </c>
      <c r="K738" s="22" t="s">
        <v>810</v>
      </c>
      <c r="L738" s="22">
        <v>3.524382022E9</v>
      </c>
      <c r="M738" s="22" t="s">
        <v>61</v>
      </c>
      <c r="N738" s="22" t="s">
        <v>811</v>
      </c>
      <c r="O738" s="22" t="s">
        <v>812</v>
      </c>
      <c r="P738" s="22" t="s">
        <v>666</v>
      </c>
      <c r="Q738" s="309">
        <f>COUNTIF('Hedef Liste'!A:A,A738)</f>
        <v>1</v>
      </c>
    </row>
    <row r="739" hidden="1">
      <c r="A739" s="22" t="s">
        <v>2543</v>
      </c>
      <c r="B739" s="22" t="s">
        <v>4559</v>
      </c>
      <c r="C739" s="306" t="s">
        <v>3959</v>
      </c>
      <c r="D739" s="22" t="s">
        <v>45</v>
      </c>
      <c r="E739" s="307">
        <v>1229.0</v>
      </c>
      <c r="F739" s="307">
        <v>144.0</v>
      </c>
      <c r="G739" s="307">
        <v>0.0</v>
      </c>
      <c r="H739" s="307">
        <v>18.0</v>
      </c>
      <c r="I739" s="307">
        <v>18.0</v>
      </c>
      <c r="J739" s="308">
        <v>0.0</v>
      </c>
      <c r="K739" s="22" t="s">
        <v>344</v>
      </c>
      <c r="L739" s="22">
        <v>3.52503304E9</v>
      </c>
      <c r="M739" s="22" t="s">
        <v>61</v>
      </c>
      <c r="N739" s="22" t="s">
        <v>62</v>
      </c>
      <c r="O739" s="22" t="s">
        <v>345</v>
      </c>
      <c r="P739" s="22" t="s">
        <v>666</v>
      </c>
      <c r="Q739" s="309">
        <f>COUNTIF('Hedef Liste'!A:A,A739)</f>
        <v>1</v>
      </c>
    </row>
    <row r="740" hidden="1">
      <c r="A740" s="22" t="s">
        <v>372</v>
      </c>
      <c r="B740" s="22" t="s">
        <v>373</v>
      </c>
      <c r="C740" s="306" t="s">
        <v>3959</v>
      </c>
      <c r="D740" s="22" t="s">
        <v>59</v>
      </c>
      <c r="E740" s="307">
        <v>227.0</v>
      </c>
      <c r="F740" s="310"/>
      <c r="G740" s="307">
        <v>2.0</v>
      </c>
      <c r="H740" s="307">
        <v>3.0</v>
      </c>
      <c r="I740" s="307">
        <v>5.0</v>
      </c>
      <c r="J740" s="308">
        <v>0.4</v>
      </c>
      <c r="K740" s="22" t="s">
        <v>374</v>
      </c>
      <c r="L740" s="22">
        <v>5.073683307E9</v>
      </c>
      <c r="M740" s="22" t="s">
        <v>61</v>
      </c>
      <c r="N740" s="22" t="s">
        <v>160</v>
      </c>
      <c r="O740" s="22" t="s">
        <v>375</v>
      </c>
      <c r="P740" s="22" t="s">
        <v>666</v>
      </c>
      <c r="Q740" s="309">
        <f>COUNTIF('Hedef Liste'!A:A,A740)</f>
        <v>1</v>
      </c>
    </row>
    <row r="741" hidden="1">
      <c r="A741" s="22" t="s">
        <v>983</v>
      </c>
      <c r="B741" s="22" t="s">
        <v>984</v>
      </c>
      <c r="C741" s="306" t="s">
        <v>3959</v>
      </c>
      <c r="D741" s="22" t="s">
        <v>172</v>
      </c>
      <c r="E741" s="307">
        <v>4179.0</v>
      </c>
      <c r="F741" s="307">
        <v>341.0</v>
      </c>
      <c r="G741" s="307">
        <v>0.0</v>
      </c>
      <c r="H741" s="307">
        <v>24.0</v>
      </c>
      <c r="I741" s="307">
        <v>24.0</v>
      </c>
      <c r="J741" s="308">
        <v>0.0</v>
      </c>
      <c r="K741" s="22" t="s">
        <v>985</v>
      </c>
      <c r="L741" s="22">
        <v>3.522212206E9</v>
      </c>
      <c r="M741" s="22" t="s">
        <v>71</v>
      </c>
      <c r="N741" s="22" t="s">
        <v>684</v>
      </c>
      <c r="O741" s="22" t="s">
        <v>986</v>
      </c>
      <c r="P741" s="22" t="s">
        <v>666</v>
      </c>
      <c r="Q741" s="309">
        <f>COUNTIF('Hedef Liste'!A:A,A741)</f>
        <v>1</v>
      </c>
    </row>
    <row r="742" hidden="1">
      <c r="A742" s="22" t="s">
        <v>1830</v>
      </c>
      <c r="B742" s="22" t="s">
        <v>1831</v>
      </c>
      <c r="C742" s="306" t="s">
        <v>3963</v>
      </c>
      <c r="D742" s="22" t="s">
        <v>100</v>
      </c>
      <c r="E742" s="307">
        <v>504.0</v>
      </c>
      <c r="F742" s="310"/>
      <c r="G742" s="307">
        <v>7.0</v>
      </c>
      <c r="H742" s="307">
        <v>5.0</v>
      </c>
      <c r="I742" s="307">
        <v>12.0</v>
      </c>
      <c r="J742" s="308">
        <v>0.58</v>
      </c>
      <c r="K742" s="22" t="s">
        <v>84</v>
      </c>
      <c r="L742" s="22">
        <v>5.370444907E9</v>
      </c>
      <c r="M742" s="22" t="s">
        <v>61</v>
      </c>
      <c r="N742" s="22" t="s">
        <v>62</v>
      </c>
      <c r="O742" s="22" t="s">
        <v>85</v>
      </c>
      <c r="P742" s="22" t="s">
        <v>666</v>
      </c>
      <c r="Q742" s="309">
        <f>COUNTIF('Hedef Liste'!A:A,A742)</f>
        <v>1</v>
      </c>
    </row>
    <row r="743" hidden="1">
      <c r="A743" s="22" t="s">
        <v>2629</v>
      </c>
      <c r="B743" s="22" t="s">
        <v>2630</v>
      </c>
      <c r="C743" s="306" t="s">
        <v>3959</v>
      </c>
      <c r="D743" s="22" t="s">
        <v>172</v>
      </c>
      <c r="E743" s="307">
        <v>823.0</v>
      </c>
      <c r="F743" s="307">
        <v>9.0</v>
      </c>
      <c r="G743" s="307">
        <v>7.0</v>
      </c>
      <c r="H743" s="307">
        <v>3.0</v>
      </c>
      <c r="I743" s="307">
        <v>10.0</v>
      </c>
      <c r="J743" s="308">
        <v>0.7</v>
      </c>
      <c r="K743" s="22" t="s">
        <v>2631</v>
      </c>
      <c r="L743" s="22">
        <v>5.386183883E9</v>
      </c>
      <c r="M743" s="22" t="s">
        <v>47</v>
      </c>
      <c r="N743" s="22" t="s">
        <v>1406</v>
      </c>
      <c r="O743" s="22" t="s">
        <v>2632</v>
      </c>
      <c r="P743" s="22" t="s">
        <v>666</v>
      </c>
      <c r="Q743" s="309">
        <f>COUNTIF('Hedef Liste'!A:A,A743)</f>
        <v>1</v>
      </c>
    </row>
    <row r="744" hidden="1">
      <c r="A744" s="22" t="s">
        <v>2738</v>
      </c>
      <c r="B744" s="22" t="s">
        <v>2739</v>
      </c>
      <c r="C744" s="306" t="s">
        <v>3959</v>
      </c>
      <c r="D744" s="22" t="s">
        <v>653</v>
      </c>
      <c r="E744" s="307">
        <v>75.0</v>
      </c>
      <c r="F744" s="310"/>
      <c r="G744" s="307">
        <v>0.0</v>
      </c>
      <c r="H744" s="307">
        <v>8.0</v>
      </c>
      <c r="I744" s="307">
        <v>8.0</v>
      </c>
      <c r="J744" s="308">
        <v>0.0</v>
      </c>
      <c r="K744" s="22" t="s">
        <v>1038</v>
      </c>
      <c r="L744" s="22">
        <v>5.051469496E9</v>
      </c>
      <c r="M744" s="22" t="s">
        <v>61</v>
      </c>
      <c r="N744" s="22" t="s">
        <v>107</v>
      </c>
      <c r="O744" s="22" t="s">
        <v>1039</v>
      </c>
      <c r="P744" s="22" t="s">
        <v>666</v>
      </c>
      <c r="Q744" s="309">
        <f>COUNTIF('Hedef Liste'!A:A,A744)</f>
        <v>1</v>
      </c>
    </row>
    <row r="745" hidden="1">
      <c r="A745" s="22" t="s">
        <v>2769</v>
      </c>
      <c r="B745" s="22" t="s">
        <v>2770</v>
      </c>
      <c r="C745" s="306" t="s">
        <v>3959</v>
      </c>
      <c r="D745" s="22" t="s">
        <v>165</v>
      </c>
      <c r="E745" s="307">
        <v>1126.0</v>
      </c>
      <c r="F745" s="307">
        <v>54.0</v>
      </c>
      <c r="G745" s="307">
        <v>5.0</v>
      </c>
      <c r="H745" s="307">
        <v>16.0</v>
      </c>
      <c r="I745" s="307">
        <v>21.0</v>
      </c>
      <c r="J745" s="308">
        <v>0.24</v>
      </c>
      <c r="K745" s="22" t="s">
        <v>2771</v>
      </c>
      <c r="L745" s="22">
        <v>3.522500999E9</v>
      </c>
      <c r="M745" s="22" t="s">
        <v>47</v>
      </c>
      <c r="N745" s="22" t="s">
        <v>259</v>
      </c>
      <c r="O745" s="22" t="s">
        <v>2772</v>
      </c>
      <c r="P745" s="22" t="s">
        <v>666</v>
      </c>
      <c r="Q745" s="309">
        <f>COUNTIF('Hedef Liste'!A:A,A745)</f>
        <v>1</v>
      </c>
    </row>
    <row r="746" hidden="1">
      <c r="A746" s="22" t="s">
        <v>1506</v>
      </c>
      <c r="B746" s="22" t="s">
        <v>1507</v>
      </c>
      <c r="C746" s="306" t="s">
        <v>3963</v>
      </c>
      <c r="D746" s="22" t="s">
        <v>172</v>
      </c>
      <c r="E746" s="307">
        <v>3.0</v>
      </c>
      <c r="F746" s="310"/>
      <c r="G746" s="307">
        <v>0.0</v>
      </c>
      <c r="H746" s="307">
        <v>6.0</v>
      </c>
      <c r="I746" s="307">
        <v>6.0</v>
      </c>
      <c r="J746" s="308">
        <v>0.0</v>
      </c>
      <c r="K746" s="22" t="s">
        <v>1508</v>
      </c>
      <c r="L746" s="22">
        <v>5.357024738E9</v>
      </c>
      <c r="M746" s="22" t="s">
        <v>61</v>
      </c>
      <c r="N746" s="22" t="s">
        <v>62</v>
      </c>
      <c r="O746" s="22" t="s">
        <v>1509</v>
      </c>
      <c r="P746" s="22" t="s">
        <v>666</v>
      </c>
      <c r="Q746" s="309">
        <f>COUNTIF('Hedef Liste'!A:A,A746)</f>
        <v>1</v>
      </c>
    </row>
    <row r="747" hidden="1">
      <c r="A747" s="22" t="s">
        <v>206</v>
      </c>
      <c r="B747" s="22" t="s">
        <v>207</v>
      </c>
      <c r="C747" s="306" t="s">
        <v>3959</v>
      </c>
      <c r="D747" s="22" t="s">
        <v>100</v>
      </c>
      <c r="E747" s="307">
        <v>17.0</v>
      </c>
      <c r="F747" s="310"/>
      <c r="G747" s="307">
        <v>0.0</v>
      </c>
      <c r="H747" s="307">
        <v>4.0</v>
      </c>
      <c r="I747" s="307">
        <v>4.0</v>
      </c>
      <c r="J747" s="308">
        <v>0.0</v>
      </c>
      <c r="K747" s="22" t="s">
        <v>208</v>
      </c>
      <c r="L747" s="22">
        <v>5.300329892E9</v>
      </c>
      <c r="M747" s="22" t="s">
        <v>71</v>
      </c>
      <c r="N747" s="22" t="s">
        <v>209</v>
      </c>
      <c r="O747" s="22" t="s">
        <v>210</v>
      </c>
      <c r="P747" s="22" t="s">
        <v>666</v>
      </c>
      <c r="Q747" s="309">
        <f>COUNTIF('Hedef Liste'!A:A,A747)</f>
        <v>1</v>
      </c>
    </row>
    <row r="748" hidden="1">
      <c r="A748" s="22" t="s">
        <v>236</v>
      </c>
      <c r="B748" s="22" t="s">
        <v>233</v>
      </c>
      <c r="C748" s="306" t="s">
        <v>3959</v>
      </c>
      <c r="D748" s="22" t="s">
        <v>100</v>
      </c>
      <c r="E748" s="307">
        <v>215.0</v>
      </c>
      <c r="F748" s="307">
        <v>27.0</v>
      </c>
      <c r="G748" s="307">
        <v>0.0</v>
      </c>
      <c r="H748" s="307">
        <v>7.0</v>
      </c>
      <c r="I748" s="307">
        <v>7.0</v>
      </c>
      <c r="J748" s="308">
        <v>0.0</v>
      </c>
      <c r="K748" s="22" t="s">
        <v>237</v>
      </c>
      <c r="L748" s="22">
        <v>5.392978018E9</v>
      </c>
      <c r="M748" s="22" t="s">
        <v>47</v>
      </c>
      <c r="N748" s="22" t="s">
        <v>48</v>
      </c>
      <c r="O748" s="22" t="s">
        <v>235</v>
      </c>
      <c r="P748" s="22" t="s">
        <v>666</v>
      </c>
      <c r="Q748" s="309">
        <f>COUNTIF('Hedef Liste'!A:A,A748)</f>
        <v>1</v>
      </c>
    </row>
    <row r="749" hidden="1">
      <c r="A749" s="22" t="s">
        <v>4560</v>
      </c>
      <c r="B749" s="22" t="s">
        <v>1789</v>
      </c>
      <c r="C749" s="306" t="s">
        <v>3959</v>
      </c>
      <c r="D749" s="22" t="s">
        <v>45</v>
      </c>
      <c r="E749" s="307">
        <v>447.0</v>
      </c>
      <c r="F749" s="307">
        <v>98.0</v>
      </c>
      <c r="G749" s="307">
        <v>5.0</v>
      </c>
      <c r="H749" s="307">
        <v>11.0</v>
      </c>
      <c r="I749" s="307">
        <v>16.0</v>
      </c>
      <c r="J749" s="308">
        <v>0.31</v>
      </c>
      <c r="K749" s="22" t="s">
        <v>4400</v>
      </c>
      <c r="L749" s="22">
        <v>5.303839538E9</v>
      </c>
      <c r="M749" s="22" t="s">
        <v>71</v>
      </c>
      <c r="N749" s="22" t="s">
        <v>179</v>
      </c>
      <c r="O749" s="22" t="s">
        <v>1790</v>
      </c>
      <c r="P749" s="22" t="s">
        <v>666</v>
      </c>
      <c r="Q749" s="309">
        <f>COUNTIF('Hedef Liste'!A:A,A749)</f>
        <v>0</v>
      </c>
    </row>
    <row r="750" hidden="1">
      <c r="A750" s="22" t="s">
        <v>2797</v>
      </c>
      <c r="B750" s="22" t="s">
        <v>4561</v>
      </c>
      <c r="C750" s="306" t="s">
        <v>3959</v>
      </c>
      <c r="D750" s="22" t="s">
        <v>69</v>
      </c>
      <c r="E750" s="307">
        <v>921.0</v>
      </c>
      <c r="F750" s="307">
        <v>194.0</v>
      </c>
      <c r="G750" s="307">
        <v>7.0</v>
      </c>
      <c r="H750" s="307">
        <v>7.0</v>
      </c>
      <c r="I750" s="307">
        <v>14.0</v>
      </c>
      <c r="J750" s="308">
        <v>0.5</v>
      </c>
      <c r="K750" s="22" t="s">
        <v>2799</v>
      </c>
      <c r="L750" s="22">
        <v>5.069599133E9</v>
      </c>
      <c r="M750" s="22" t="s">
        <v>61</v>
      </c>
      <c r="N750" s="22" t="s">
        <v>62</v>
      </c>
      <c r="O750" s="22" t="s">
        <v>2800</v>
      </c>
      <c r="P750" s="22" t="s">
        <v>666</v>
      </c>
      <c r="Q750" s="309">
        <f>COUNTIF('Hedef Liste'!A:A,A750)</f>
        <v>1</v>
      </c>
    </row>
    <row r="751" hidden="1">
      <c r="A751" s="22" t="s">
        <v>2382</v>
      </c>
      <c r="B751" s="22" t="s">
        <v>4562</v>
      </c>
      <c r="C751" s="306" t="s">
        <v>3959</v>
      </c>
      <c r="D751" s="22" t="s">
        <v>100</v>
      </c>
      <c r="E751" s="307">
        <v>157.0</v>
      </c>
      <c r="F751" s="310"/>
      <c r="G751" s="307">
        <v>8.0</v>
      </c>
      <c r="H751" s="307">
        <v>1.0</v>
      </c>
      <c r="I751" s="307">
        <v>9.0</v>
      </c>
      <c r="J751" s="308">
        <v>0.89</v>
      </c>
      <c r="K751" s="22" t="s">
        <v>2384</v>
      </c>
      <c r="L751" s="22">
        <v>5.013331038E9</v>
      </c>
      <c r="M751" s="22" t="s">
        <v>47</v>
      </c>
      <c r="N751" s="22" t="s">
        <v>131</v>
      </c>
      <c r="O751" s="22" t="s">
        <v>2385</v>
      </c>
      <c r="P751" s="22" t="s">
        <v>666</v>
      </c>
      <c r="Q751" s="309">
        <f>COUNTIF('Hedef Liste'!A:A,A751)</f>
        <v>1</v>
      </c>
    </row>
    <row r="752" hidden="1">
      <c r="A752" s="22" t="s">
        <v>1390</v>
      </c>
      <c r="B752" s="22" t="s">
        <v>1391</v>
      </c>
      <c r="C752" s="306" t="s">
        <v>3959</v>
      </c>
      <c r="D752" s="22" t="s">
        <v>100</v>
      </c>
      <c r="E752" s="307">
        <v>689.0</v>
      </c>
      <c r="F752" s="307">
        <v>53.0</v>
      </c>
      <c r="G752" s="307">
        <v>3.0</v>
      </c>
      <c r="H752" s="307">
        <v>17.0</v>
      </c>
      <c r="I752" s="307">
        <v>20.0</v>
      </c>
      <c r="J752" s="308">
        <v>0.15</v>
      </c>
      <c r="K752" s="22" t="s">
        <v>1392</v>
      </c>
      <c r="L752" s="22">
        <v>5.050121352E9</v>
      </c>
      <c r="M752" s="22" t="s">
        <v>71</v>
      </c>
      <c r="N752" s="22" t="s">
        <v>588</v>
      </c>
      <c r="O752" s="22" t="s">
        <v>4563</v>
      </c>
      <c r="P752" s="22" t="s">
        <v>666</v>
      </c>
      <c r="Q752" s="309">
        <f>COUNTIF('Hedef Liste'!A:A,A752)</f>
        <v>1</v>
      </c>
    </row>
    <row r="753">
      <c r="A753" s="22" t="s">
        <v>1072</v>
      </c>
      <c r="B753" s="22" t="s">
        <v>1073</v>
      </c>
      <c r="C753" s="306" t="s">
        <v>3959</v>
      </c>
      <c r="D753" s="22" t="s">
        <v>45</v>
      </c>
      <c r="E753" s="310"/>
      <c r="F753" s="310"/>
      <c r="G753" s="307">
        <v>0.0</v>
      </c>
      <c r="H753" s="307">
        <v>5.0</v>
      </c>
      <c r="I753" s="307">
        <v>5.0</v>
      </c>
      <c r="J753" s="308">
        <v>0.0</v>
      </c>
      <c r="K753" s="22" t="s">
        <v>1074</v>
      </c>
      <c r="L753" s="22">
        <v>5.055315111E9</v>
      </c>
      <c r="M753" s="22" t="s">
        <v>71</v>
      </c>
      <c r="N753" s="22" t="s">
        <v>307</v>
      </c>
      <c r="O753" s="22" t="s">
        <v>1075</v>
      </c>
      <c r="P753" s="22" t="s">
        <v>666</v>
      </c>
      <c r="Q753" s="309">
        <f>COUNTIF('Hedef Liste'!A:A,A753)</f>
        <v>1</v>
      </c>
    </row>
    <row r="754" hidden="1">
      <c r="A754" s="22" t="s">
        <v>2704</v>
      </c>
      <c r="B754" s="22" t="s">
        <v>2705</v>
      </c>
      <c r="C754" s="306" t="s">
        <v>3963</v>
      </c>
      <c r="D754" s="22" t="s">
        <v>653</v>
      </c>
      <c r="E754" s="307">
        <v>163.0</v>
      </c>
      <c r="F754" s="310"/>
      <c r="G754" s="307">
        <v>0.0</v>
      </c>
      <c r="H754" s="307">
        <v>6.0</v>
      </c>
      <c r="I754" s="307">
        <v>6.0</v>
      </c>
      <c r="J754" s="308">
        <v>0.0</v>
      </c>
      <c r="K754" s="22" t="s">
        <v>2609</v>
      </c>
      <c r="L754" s="22">
        <v>5.464053885E9</v>
      </c>
      <c r="M754" s="22" t="s">
        <v>71</v>
      </c>
      <c r="N754" s="22" t="s">
        <v>224</v>
      </c>
      <c r="O754" s="22" t="s">
        <v>2610</v>
      </c>
      <c r="P754" s="22" t="s">
        <v>666</v>
      </c>
      <c r="Q754" s="309">
        <f>COUNTIF('Hedef Liste'!A:A,A754)</f>
        <v>1</v>
      </c>
    </row>
    <row r="755" hidden="1">
      <c r="A755" s="22" t="s">
        <v>1948</v>
      </c>
      <c r="B755" s="22" t="s">
        <v>1949</v>
      </c>
      <c r="C755" s="306" t="s">
        <v>3959</v>
      </c>
      <c r="D755" s="22" t="s">
        <v>653</v>
      </c>
      <c r="E755" s="307">
        <v>1141.0</v>
      </c>
      <c r="F755" s="307">
        <v>10.0</v>
      </c>
      <c r="G755" s="307">
        <v>0.0</v>
      </c>
      <c r="H755" s="307">
        <v>2.0</v>
      </c>
      <c r="I755" s="307">
        <v>2.0</v>
      </c>
      <c r="J755" s="308">
        <v>0.0</v>
      </c>
      <c r="K755" s="22" t="s">
        <v>1950</v>
      </c>
      <c r="L755" s="22">
        <v>3.522233637E9</v>
      </c>
      <c r="M755" s="22" t="s">
        <v>71</v>
      </c>
      <c r="N755" s="22" t="s">
        <v>265</v>
      </c>
      <c r="O755" s="22" t="s">
        <v>1951</v>
      </c>
      <c r="P755" s="22" t="s">
        <v>666</v>
      </c>
      <c r="Q755" s="309">
        <f>COUNTIF('Hedef Liste'!A:A,A755)</f>
        <v>1</v>
      </c>
    </row>
    <row r="756" hidden="1">
      <c r="A756" s="22" t="s">
        <v>932</v>
      </c>
      <c r="B756" s="22" t="s">
        <v>933</v>
      </c>
      <c r="C756" s="306" t="s">
        <v>3959</v>
      </c>
      <c r="D756" s="22" t="s">
        <v>453</v>
      </c>
      <c r="E756" s="307">
        <v>184.0</v>
      </c>
      <c r="F756" s="307">
        <v>65.0</v>
      </c>
      <c r="G756" s="307">
        <v>0.0</v>
      </c>
      <c r="H756" s="307">
        <v>21.0</v>
      </c>
      <c r="I756" s="307">
        <v>21.0</v>
      </c>
      <c r="J756" s="308">
        <v>0.0</v>
      </c>
      <c r="K756" s="22" t="s">
        <v>934</v>
      </c>
      <c r="L756" s="22">
        <v>5.358790838E9</v>
      </c>
      <c r="M756" s="22" t="s">
        <v>61</v>
      </c>
      <c r="N756" s="22" t="s">
        <v>4135</v>
      </c>
      <c r="O756" s="22" t="s">
        <v>935</v>
      </c>
      <c r="P756" s="22" t="s">
        <v>666</v>
      </c>
      <c r="Q756" s="309">
        <f>COUNTIF('Hedef Liste'!A:A,A756)</f>
        <v>1</v>
      </c>
    </row>
    <row r="757" hidden="1">
      <c r="A757" s="22" t="s">
        <v>182</v>
      </c>
      <c r="B757" s="22" t="s">
        <v>183</v>
      </c>
      <c r="C757" s="306" t="s">
        <v>3959</v>
      </c>
      <c r="D757" s="22" t="s">
        <v>83</v>
      </c>
      <c r="E757" s="307">
        <v>835.0</v>
      </c>
      <c r="F757" s="310"/>
      <c r="G757" s="307">
        <v>0.0</v>
      </c>
      <c r="H757" s="307">
        <v>18.0</v>
      </c>
      <c r="I757" s="307">
        <v>18.0</v>
      </c>
      <c r="J757" s="308">
        <v>0.0</v>
      </c>
      <c r="K757" s="22" t="s">
        <v>184</v>
      </c>
      <c r="L757" s="22">
        <v>5.331429538E9</v>
      </c>
      <c r="M757" s="22" t="s">
        <v>47</v>
      </c>
      <c r="N757" s="22" t="s">
        <v>125</v>
      </c>
      <c r="O757" s="22" t="s">
        <v>185</v>
      </c>
      <c r="P757" s="22" t="s">
        <v>666</v>
      </c>
      <c r="Q757" s="309">
        <f>COUNTIF('Hedef Liste'!A:A,A757)</f>
        <v>1</v>
      </c>
    </row>
    <row r="758">
      <c r="A758" s="22" t="s">
        <v>493</v>
      </c>
      <c r="B758" s="22" t="s">
        <v>494</v>
      </c>
      <c r="C758" s="306" t="s">
        <v>3959</v>
      </c>
      <c r="D758" s="22" t="s">
        <v>69</v>
      </c>
      <c r="E758" s="307">
        <v>12.0</v>
      </c>
      <c r="F758" s="307">
        <v>12.0</v>
      </c>
      <c r="G758" s="307">
        <v>0.0</v>
      </c>
      <c r="H758" s="307">
        <v>7.0</v>
      </c>
      <c r="I758" s="307">
        <v>7.0</v>
      </c>
      <c r="J758" s="308">
        <v>0.0</v>
      </c>
      <c r="K758" s="22" t="s">
        <v>495</v>
      </c>
      <c r="L758" s="22">
        <v>5.345888618E9</v>
      </c>
      <c r="M758" s="22" t="s">
        <v>47</v>
      </c>
      <c r="N758" s="22" t="s">
        <v>496</v>
      </c>
      <c r="O758" s="22" t="s">
        <v>497</v>
      </c>
      <c r="P758" s="22" t="s">
        <v>666</v>
      </c>
      <c r="Q758" s="309">
        <f>COUNTIF('Hedef Liste'!A:A,A758)</f>
        <v>1</v>
      </c>
    </row>
    <row r="759">
      <c r="A759" s="22" t="s">
        <v>555</v>
      </c>
      <c r="B759" s="22" t="s">
        <v>556</v>
      </c>
      <c r="C759" s="306" t="s">
        <v>3959</v>
      </c>
      <c r="D759" s="22" t="s">
        <v>69</v>
      </c>
      <c r="E759" s="307">
        <v>12.0</v>
      </c>
      <c r="F759" s="307">
        <v>12.0</v>
      </c>
      <c r="G759" s="307">
        <v>0.0</v>
      </c>
      <c r="H759" s="307">
        <v>3.0</v>
      </c>
      <c r="I759" s="307">
        <v>3.0</v>
      </c>
      <c r="J759" s="308">
        <v>0.0</v>
      </c>
      <c r="K759" s="22" t="s">
        <v>557</v>
      </c>
      <c r="L759" s="22">
        <v>5.433838887E9</v>
      </c>
      <c r="M759" s="22" t="s">
        <v>61</v>
      </c>
      <c r="N759" s="22" t="s">
        <v>62</v>
      </c>
      <c r="O759" s="22" t="s">
        <v>558</v>
      </c>
      <c r="P759" s="22" t="s">
        <v>666</v>
      </c>
      <c r="Q759" s="309">
        <f>COUNTIF('Hedef Liste'!A:A,A759)</f>
        <v>1</v>
      </c>
    </row>
    <row r="760" hidden="1">
      <c r="A760" s="22" t="s">
        <v>4564</v>
      </c>
      <c r="B760" s="22" t="s">
        <v>4565</v>
      </c>
      <c r="C760" s="306" t="s">
        <v>3959</v>
      </c>
      <c r="D760" s="22" t="s">
        <v>406</v>
      </c>
      <c r="E760" s="307">
        <v>788.0</v>
      </c>
      <c r="F760" s="307">
        <v>67.0</v>
      </c>
      <c r="G760" s="307">
        <v>15.0</v>
      </c>
      <c r="H760" s="307">
        <v>0.0</v>
      </c>
      <c r="I760" s="307">
        <v>15.0</v>
      </c>
      <c r="J760" s="308">
        <v>1.0</v>
      </c>
      <c r="K760" s="22" t="s">
        <v>4566</v>
      </c>
      <c r="L760" s="22">
        <v>2.128905925E9</v>
      </c>
      <c r="M760" s="22" t="s">
        <v>47</v>
      </c>
      <c r="N760" s="22" t="s">
        <v>47</v>
      </c>
      <c r="O760" s="22" t="s">
        <v>4567</v>
      </c>
      <c r="P760" s="22" t="s">
        <v>3962</v>
      </c>
      <c r="Q760" s="309">
        <f>COUNTIF('Hedef Liste'!A:A,A760)</f>
        <v>0</v>
      </c>
    </row>
    <row r="761" hidden="1">
      <c r="A761" s="22" t="s">
        <v>2741</v>
      </c>
      <c r="B761" s="22" t="s">
        <v>2742</v>
      </c>
      <c r="C761" s="306" t="s">
        <v>3959</v>
      </c>
      <c r="D761" s="22" t="s">
        <v>69</v>
      </c>
      <c r="F761" s="310"/>
      <c r="G761" s="307">
        <v>0.0</v>
      </c>
      <c r="H761" s="307">
        <v>6.0</v>
      </c>
      <c r="I761" s="307">
        <v>6.0</v>
      </c>
      <c r="J761" s="308">
        <v>0.0</v>
      </c>
      <c r="K761" s="22" t="s">
        <v>2743</v>
      </c>
      <c r="L761" s="22">
        <v>5.534083175E9</v>
      </c>
      <c r="M761" s="22" t="s">
        <v>47</v>
      </c>
      <c r="N761" s="22" t="s">
        <v>47</v>
      </c>
      <c r="O761" s="22" t="s">
        <v>2744</v>
      </c>
      <c r="P761" s="22" t="s">
        <v>666</v>
      </c>
      <c r="Q761" s="309">
        <f>COUNTIF('Hedef Liste'!A:A,A761)</f>
        <v>1</v>
      </c>
    </row>
    <row r="762" hidden="1">
      <c r="A762" s="22" t="s">
        <v>1985</v>
      </c>
      <c r="B762" s="22" t="s">
        <v>1986</v>
      </c>
      <c r="C762" s="306" t="s">
        <v>3959</v>
      </c>
      <c r="D762" s="22" t="s">
        <v>100</v>
      </c>
      <c r="E762" s="310"/>
      <c r="F762" s="310"/>
      <c r="G762" s="307">
        <v>0.0</v>
      </c>
      <c r="H762" s="307">
        <v>9.0</v>
      </c>
      <c r="I762" s="307">
        <v>9.0</v>
      </c>
      <c r="J762" s="308">
        <v>0.0</v>
      </c>
      <c r="K762" s="22" t="s">
        <v>1987</v>
      </c>
      <c r="L762" s="22">
        <v>5.333437787E9</v>
      </c>
      <c r="M762" s="22" t="s">
        <v>47</v>
      </c>
      <c r="N762" s="312">
        <v>44803.0</v>
      </c>
      <c r="O762" s="22" t="s">
        <v>1988</v>
      </c>
      <c r="P762" s="22" t="s">
        <v>666</v>
      </c>
      <c r="Q762" s="309">
        <f>COUNTIF('Hedef Liste'!A:A,A762)</f>
        <v>1</v>
      </c>
    </row>
    <row r="763" hidden="1">
      <c r="A763" s="22" t="s">
        <v>2322</v>
      </c>
      <c r="B763" s="22" t="s">
        <v>2323</v>
      </c>
      <c r="C763" s="306" t="s">
        <v>3959</v>
      </c>
      <c r="D763" s="22" t="s">
        <v>406</v>
      </c>
      <c r="E763" s="307">
        <v>7.0</v>
      </c>
      <c r="F763" s="310"/>
      <c r="G763" s="307">
        <v>0.0</v>
      </c>
      <c r="H763" s="307">
        <v>4.0</v>
      </c>
      <c r="I763" s="307">
        <v>4.0</v>
      </c>
      <c r="J763" s="308">
        <v>0.0</v>
      </c>
      <c r="K763" s="22" t="s">
        <v>2324</v>
      </c>
      <c r="L763" s="22">
        <v>5.446464165E9</v>
      </c>
      <c r="M763" s="22" t="s">
        <v>47</v>
      </c>
      <c r="N763" s="22" t="s">
        <v>408</v>
      </c>
      <c r="O763" s="22" t="s">
        <v>2325</v>
      </c>
      <c r="P763" s="22" t="s">
        <v>666</v>
      </c>
      <c r="Q763" s="309">
        <f>COUNTIF('Hedef Liste'!A:A,A763)</f>
        <v>1</v>
      </c>
    </row>
    <row r="764" hidden="1">
      <c r="A764" s="22" t="s">
        <v>4568</v>
      </c>
      <c r="B764" s="22" t="s">
        <v>4569</v>
      </c>
      <c r="C764" s="306" t="s">
        <v>3963</v>
      </c>
      <c r="D764" s="22" t="s">
        <v>406</v>
      </c>
      <c r="E764" s="310"/>
      <c r="F764" s="310"/>
      <c r="G764" s="307">
        <v>0.0</v>
      </c>
      <c r="H764" s="307">
        <v>10.0</v>
      </c>
      <c r="I764" s="307">
        <v>10.0</v>
      </c>
      <c r="J764" s="308">
        <v>0.0</v>
      </c>
      <c r="K764" s="22" t="s">
        <v>2663</v>
      </c>
      <c r="L764" s="22">
        <v>3.52502902E9</v>
      </c>
      <c r="M764" s="22" t="s">
        <v>47</v>
      </c>
      <c r="N764" s="22" t="s">
        <v>138</v>
      </c>
      <c r="O764" s="22" t="s">
        <v>2664</v>
      </c>
      <c r="P764" s="22" t="s">
        <v>666</v>
      </c>
      <c r="Q764" s="309">
        <f>COUNTIF('Hedef Liste'!A:A,A764)</f>
        <v>0</v>
      </c>
    </row>
    <row r="765" hidden="1">
      <c r="A765" s="22" t="s">
        <v>4570</v>
      </c>
      <c r="B765" s="22" t="s">
        <v>4571</v>
      </c>
      <c r="C765" s="306" t="s">
        <v>3959</v>
      </c>
      <c r="D765" s="22" t="s">
        <v>69</v>
      </c>
      <c r="F765" s="310"/>
      <c r="G765" s="307">
        <v>12.0</v>
      </c>
      <c r="H765" s="307">
        <v>4.0</v>
      </c>
      <c r="I765" s="307">
        <v>16.0</v>
      </c>
      <c r="J765" s="308">
        <v>0.75</v>
      </c>
      <c r="K765" s="22" t="s">
        <v>4332</v>
      </c>
      <c r="L765" s="22">
        <v>5.5206358E9</v>
      </c>
      <c r="M765" s="22" t="s">
        <v>71</v>
      </c>
      <c r="N765" s="22" t="s">
        <v>1116</v>
      </c>
      <c r="O765" s="22" t="s">
        <v>4572</v>
      </c>
      <c r="P765" s="22" t="s">
        <v>666</v>
      </c>
      <c r="Q765" s="309">
        <f>COUNTIF('Hedef Liste'!A:A,A765)</f>
        <v>0</v>
      </c>
    </row>
    <row r="766" hidden="1">
      <c r="A766" s="22" t="s">
        <v>1045</v>
      </c>
      <c r="B766" s="22" t="s">
        <v>1046</v>
      </c>
      <c r="C766" s="306" t="s">
        <v>3959</v>
      </c>
      <c r="D766" s="22" t="s">
        <v>69</v>
      </c>
      <c r="E766" s="307">
        <v>54.0</v>
      </c>
      <c r="F766" s="307">
        <v>10.0</v>
      </c>
      <c r="G766" s="307">
        <v>8.0</v>
      </c>
      <c r="H766" s="307">
        <v>0.0</v>
      </c>
      <c r="I766" s="307">
        <v>8.0</v>
      </c>
      <c r="J766" s="308">
        <v>1.0</v>
      </c>
      <c r="K766" s="22" t="s">
        <v>1047</v>
      </c>
      <c r="L766" s="22">
        <v>5.384353925E9</v>
      </c>
      <c r="M766" s="22" t="s">
        <v>47</v>
      </c>
      <c r="N766" s="22" t="s">
        <v>1048</v>
      </c>
      <c r="O766" s="22" t="s">
        <v>1049</v>
      </c>
      <c r="P766" s="22" t="s">
        <v>666</v>
      </c>
      <c r="Q766" s="309">
        <f>COUNTIF('Hedef Liste'!A:A,A766)</f>
        <v>1</v>
      </c>
    </row>
    <row r="767" hidden="1">
      <c r="A767" s="22" t="s">
        <v>1905</v>
      </c>
      <c r="B767" s="22" t="s">
        <v>4573</v>
      </c>
      <c r="C767" s="306" t="s">
        <v>3959</v>
      </c>
      <c r="D767" s="22" t="s">
        <v>69</v>
      </c>
      <c r="E767" s="307">
        <v>44.0</v>
      </c>
      <c r="F767" s="307">
        <v>32.0</v>
      </c>
      <c r="G767" s="307">
        <v>0.0</v>
      </c>
      <c r="H767" s="307">
        <v>27.0</v>
      </c>
      <c r="I767" s="307">
        <v>27.0</v>
      </c>
      <c r="J767" s="308">
        <v>0.0</v>
      </c>
      <c r="K767" s="22" t="s">
        <v>1902</v>
      </c>
      <c r="L767" s="22">
        <v>5.422553138E9</v>
      </c>
      <c r="M767" s="22" t="s">
        <v>47</v>
      </c>
      <c r="N767" s="22" t="s">
        <v>1054</v>
      </c>
      <c r="O767" s="22" t="s">
        <v>1907</v>
      </c>
      <c r="P767" s="22" t="s">
        <v>666</v>
      </c>
      <c r="Q767" s="309">
        <f>COUNTIF('Hedef Liste'!A:A,A767)</f>
        <v>1</v>
      </c>
    </row>
    <row r="768" hidden="1">
      <c r="A768" s="22" t="s">
        <v>1672</v>
      </c>
      <c r="B768" s="22" t="s">
        <v>1673</v>
      </c>
      <c r="C768" s="306" t="s">
        <v>3959</v>
      </c>
      <c r="D768" s="22" t="s">
        <v>172</v>
      </c>
      <c r="E768" s="307">
        <v>244.0</v>
      </c>
      <c r="F768" s="307">
        <v>74.0</v>
      </c>
      <c r="G768" s="307">
        <v>0.0</v>
      </c>
      <c r="H768" s="307">
        <v>6.0</v>
      </c>
      <c r="I768" s="307">
        <v>6.0</v>
      </c>
      <c r="J768" s="308">
        <v>0.0</v>
      </c>
      <c r="K768" s="22" t="s">
        <v>1674</v>
      </c>
      <c r="L768" s="22">
        <v>3.522220108E9</v>
      </c>
      <c r="M768" s="22" t="s">
        <v>71</v>
      </c>
      <c r="N768" s="22" t="s">
        <v>420</v>
      </c>
      <c r="O768" s="22" t="s">
        <v>1675</v>
      </c>
      <c r="P768" s="22" t="s">
        <v>666</v>
      </c>
      <c r="Q768" s="309">
        <f>COUNTIF('Hedef Liste'!A:A,A768)</f>
        <v>1</v>
      </c>
    </row>
    <row r="769" hidden="1">
      <c r="A769" s="22" t="s">
        <v>98</v>
      </c>
      <c r="B769" s="22" t="s">
        <v>99</v>
      </c>
      <c r="C769" s="306" t="s">
        <v>3959</v>
      </c>
      <c r="D769" s="22" t="s">
        <v>100</v>
      </c>
      <c r="E769" s="307">
        <v>85.0</v>
      </c>
      <c r="F769" s="307">
        <v>10.0</v>
      </c>
      <c r="G769" s="307">
        <v>11.0</v>
      </c>
      <c r="H769" s="307">
        <v>1.0</v>
      </c>
      <c r="I769" s="307">
        <v>12.0</v>
      </c>
      <c r="J769" s="308">
        <v>0.92</v>
      </c>
      <c r="K769" s="22" t="s">
        <v>101</v>
      </c>
      <c r="L769" s="22">
        <v>3.522311583E9</v>
      </c>
      <c r="M769" s="22" t="s">
        <v>71</v>
      </c>
      <c r="N769" s="22" t="s">
        <v>102</v>
      </c>
      <c r="O769" s="22" t="s">
        <v>103</v>
      </c>
      <c r="P769" s="22" t="s">
        <v>666</v>
      </c>
      <c r="Q769" s="309">
        <f>COUNTIF('Hedef Liste'!A:A,A769)</f>
        <v>1</v>
      </c>
    </row>
    <row r="770" hidden="1">
      <c r="A770" s="22" t="s">
        <v>2777</v>
      </c>
      <c r="B770" s="22" t="s">
        <v>2778</v>
      </c>
      <c r="C770" s="306" t="s">
        <v>3959</v>
      </c>
      <c r="D770" s="22" t="s">
        <v>1641</v>
      </c>
      <c r="E770" s="307">
        <v>13.0</v>
      </c>
      <c r="F770" s="307">
        <v>8.0</v>
      </c>
      <c r="G770" s="307">
        <v>0.0</v>
      </c>
      <c r="H770" s="307">
        <v>7.0</v>
      </c>
      <c r="I770" s="307">
        <v>7.0</v>
      </c>
      <c r="J770" s="308">
        <v>0.0</v>
      </c>
      <c r="K770" s="22" t="s">
        <v>2779</v>
      </c>
      <c r="L770" s="22">
        <v>5.057675508E9</v>
      </c>
      <c r="M770" s="22" t="s">
        <v>61</v>
      </c>
      <c r="N770" s="22" t="s">
        <v>107</v>
      </c>
      <c r="O770" s="22" t="s">
        <v>2780</v>
      </c>
      <c r="P770" s="22" t="s">
        <v>666</v>
      </c>
      <c r="Q770" s="309">
        <f>COUNTIF('Hedef Liste'!A:A,A770)</f>
        <v>1</v>
      </c>
    </row>
    <row r="771" hidden="1">
      <c r="A771" s="22" t="s">
        <v>2344</v>
      </c>
      <c r="B771" s="22" t="s">
        <v>2345</v>
      </c>
      <c r="C771" s="306" t="s">
        <v>3959</v>
      </c>
      <c r="D771" s="22" t="s">
        <v>165</v>
      </c>
      <c r="E771" s="307">
        <v>252.0</v>
      </c>
      <c r="F771" s="310"/>
      <c r="G771" s="307">
        <v>0.0</v>
      </c>
      <c r="H771" s="307">
        <v>4.0</v>
      </c>
      <c r="I771" s="307">
        <v>4.0</v>
      </c>
      <c r="J771" s="308">
        <v>0.0</v>
      </c>
      <c r="K771" s="22" t="s">
        <v>2346</v>
      </c>
      <c r="L771" s="22">
        <v>3.522403849E9</v>
      </c>
      <c r="M771" s="22" t="s">
        <v>71</v>
      </c>
      <c r="N771" s="22" t="s">
        <v>1593</v>
      </c>
      <c r="O771" s="22" t="s">
        <v>2347</v>
      </c>
      <c r="P771" s="22" t="s">
        <v>666</v>
      </c>
      <c r="Q771" s="309">
        <f>COUNTIF('Hedef Liste'!A:A,A771)</f>
        <v>1</v>
      </c>
    </row>
    <row r="772" hidden="1">
      <c r="A772" s="22" t="s">
        <v>576</v>
      </c>
      <c r="B772" s="22" t="s">
        <v>577</v>
      </c>
      <c r="C772" s="306" t="s">
        <v>3959</v>
      </c>
      <c r="D772" s="22" t="s">
        <v>59</v>
      </c>
      <c r="E772" s="307">
        <v>246.0</v>
      </c>
      <c r="F772" s="307">
        <v>10.0</v>
      </c>
      <c r="G772" s="307">
        <v>6.0</v>
      </c>
      <c r="H772" s="307">
        <v>7.0</v>
      </c>
      <c r="I772" s="307">
        <v>13.0</v>
      </c>
      <c r="J772" s="308">
        <v>0.46</v>
      </c>
      <c r="K772" s="22" t="s">
        <v>578</v>
      </c>
      <c r="L772" s="22">
        <v>5.06770227E9</v>
      </c>
      <c r="M772" s="22" t="s">
        <v>71</v>
      </c>
      <c r="N772" s="22" t="s">
        <v>579</v>
      </c>
      <c r="O772" s="22" t="s">
        <v>580</v>
      </c>
      <c r="P772" s="22" t="s">
        <v>666</v>
      </c>
      <c r="Q772" s="309">
        <f>COUNTIF('Hedef Liste'!A:A,A772)</f>
        <v>1</v>
      </c>
    </row>
    <row r="773" hidden="1">
      <c r="A773" s="22" t="s">
        <v>1669</v>
      </c>
      <c r="B773" s="22" t="s">
        <v>1670</v>
      </c>
      <c r="C773" s="306" t="s">
        <v>3959</v>
      </c>
      <c r="D773" s="22" t="s">
        <v>406</v>
      </c>
      <c r="E773" s="307">
        <v>282.0</v>
      </c>
      <c r="F773" s="310"/>
      <c r="G773" s="307">
        <v>0.0</v>
      </c>
      <c r="H773" s="307">
        <v>9.0</v>
      </c>
      <c r="I773" s="307">
        <v>9.0</v>
      </c>
      <c r="J773" s="308">
        <v>0.0</v>
      </c>
      <c r="K773" s="22" t="s">
        <v>1061</v>
      </c>
      <c r="L773" s="22">
        <v>3.523322855E9</v>
      </c>
      <c r="M773" s="22" t="s">
        <v>47</v>
      </c>
      <c r="N773" s="22" t="s">
        <v>277</v>
      </c>
      <c r="O773" s="22" t="s">
        <v>1671</v>
      </c>
      <c r="P773" s="22" t="s">
        <v>666</v>
      </c>
      <c r="Q773" s="309">
        <f>COUNTIF('Hedef Liste'!A:A,A773)</f>
        <v>1</v>
      </c>
    </row>
    <row r="774" hidden="1">
      <c r="A774" s="22" t="s">
        <v>128</v>
      </c>
      <c r="B774" s="22" t="s">
        <v>129</v>
      </c>
      <c r="C774" s="306" t="s">
        <v>3959</v>
      </c>
      <c r="D774" s="22" t="s">
        <v>100</v>
      </c>
      <c r="E774" s="307">
        <v>5.0</v>
      </c>
      <c r="F774" s="310"/>
      <c r="G774" s="307">
        <v>0.0</v>
      </c>
      <c r="H774" s="307">
        <v>7.0</v>
      </c>
      <c r="I774" s="307">
        <v>7.0</v>
      </c>
      <c r="J774" s="308">
        <v>0.0</v>
      </c>
      <c r="K774" s="22" t="s">
        <v>130</v>
      </c>
      <c r="L774" s="22">
        <v>5.076881502E9</v>
      </c>
      <c r="M774" s="22" t="s">
        <v>47</v>
      </c>
      <c r="N774" s="22" t="s">
        <v>131</v>
      </c>
      <c r="O774" s="22" t="s">
        <v>132</v>
      </c>
      <c r="P774" s="22" t="s">
        <v>666</v>
      </c>
      <c r="Q774" s="309">
        <f>COUNTIF('Hedef Liste'!A:A,A774)</f>
        <v>1</v>
      </c>
    </row>
    <row r="775" hidden="1">
      <c r="A775" s="22" t="s">
        <v>1634</v>
      </c>
      <c r="B775" s="22" t="s">
        <v>1635</v>
      </c>
      <c r="C775" s="306" t="s">
        <v>3963</v>
      </c>
      <c r="D775" s="22" t="s">
        <v>83</v>
      </c>
      <c r="E775" s="307">
        <v>11.0</v>
      </c>
      <c r="F775" s="310"/>
      <c r="G775" s="307">
        <v>0.0</v>
      </c>
      <c r="H775" s="307">
        <v>13.0</v>
      </c>
      <c r="I775" s="307">
        <v>13.0</v>
      </c>
      <c r="J775" s="308">
        <v>0.0</v>
      </c>
      <c r="K775" s="22" t="s">
        <v>1636</v>
      </c>
      <c r="L775" s="22">
        <v>3.523367587E9</v>
      </c>
      <c r="M775" s="22" t="s">
        <v>71</v>
      </c>
      <c r="N775" s="22" t="s">
        <v>230</v>
      </c>
      <c r="O775" s="22" t="s">
        <v>1637</v>
      </c>
      <c r="P775" s="22" t="s">
        <v>666</v>
      </c>
      <c r="Q775" s="309">
        <f>COUNTIF('Hedef Liste'!A:A,A775)</f>
        <v>1</v>
      </c>
    </row>
    <row r="776">
      <c r="A776" s="22" t="s">
        <v>1145</v>
      </c>
      <c r="B776" s="22" t="s">
        <v>1146</v>
      </c>
      <c r="C776" s="306" t="s">
        <v>3959</v>
      </c>
      <c r="D776" s="22" t="s">
        <v>172</v>
      </c>
      <c r="E776" s="310"/>
      <c r="F776" s="310"/>
      <c r="G776" s="307">
        <v>0.0</v>
      </c>
      <c r="H776" s="307">
        <v>10.0</v>
      </c>
      <c r="I776" s="307">
        <v>10.0</v>
      </c>
      <c r="J776" s="308">
        <v>0.0</v>
      </c>
      <c r="K776" s="22" t="s">
        <v>1147</v>
      </c>
      <c r="L776" s="22">
        <v>3.525036722E9</v>
      </c>
      <c r="M776" s="22" t="s">
        <v>71</v>
      </c>
      <c r="N776" s="22" t="s">
        <v>1148</v>
      </c>
      <c r="O776" s="22" t="s">
        <v>1149</v>
      </c>
      <c r="P776" s="22" t="s">
        <v>666</v>
      </c>
      <c r="Q776" s="309">
        <f>COUNTIF('Hedef Liste'!A:A,A776)</f>
        <v>1</v>
      </c>
    </row>
    <row r="777" hidden="1">
      <c r="A777" s="22" t="s">
        <v>1244</v>
      </c>
      <c r="B777" s="22" t="s">
        <v>1245</v>
      </c>
      <c r="C777" s="306" t="s">
        <v>3959</v>
      </c>
      <c r="D777" s="22" t="s">
        <v>165</v>
      </c>
      <c r="E777" s="307">
        <v>55.0</v>
      </c>
      <c r="F777" s="310"/>
      <c r="G777" s="307">
        <v>0.0</v>
      </c>
      <c r="H777" s="307">
        <v>5.0</v>
      </c>
      <c r="I777" s="307">
        <v>5.0</v>
      </c>
      <c r="J777" s="308">
        <v>0.0</v>
      </c>
      <c r="K777" s="22" t="s">
        <v>1246</v>
      </c>
      <c r="L777" s="22">
        <v>5.522185725E9</v>
      </c>
      <c r="M777" s="22" t="s">
        <v>47</v>
      </c>
      <c r="N777" s="22" t="s">
        <v>482</v>
      </c>
      <c r="O777" s="22" t="s">
        <v>1247</v>
      </c>
      <c r="P777" s="22" t="s">
        <v>666</v>
      </c>
      <c r="Q777" s="309">
        <f>COUNTIF('Hedef Liste'!A:A,A777)</f>
        <v>1</v>
      </c>
    </row>
    <row r="778" hidden="1">
      <c r="A778" s="22" t="s">
        <v>581</v>
      </c>
      <c r="B778" s="22" t="s">
        <v>582</v>
      </c>
      <c r="C778" s="306" t="s">
        <v>3959</v>
      </c>
      <c r="D778" s="22" t="s">
        <v>69</v>
      </c>
      <c r="E778" s="307">
        <v>21.0</v>
      </c>
      <c r="F778" s="310"/>
      <c r="G778" s="307">
        <v>5.0</v>
      </c>
      <c r="H778" s="307">
        <v>0.0</v>
      </c>
      <c r="I778" s="307">
        <v>5.0</v>
      </c>
      <c r="J778" s="308">
        <v>1.0</v>
      </c>
      <c r="K778" s="22" t="s">
        <v>583</v>
      </c>
      <c r="L778" s="22">
        <v>5.355117812E9</v>
      </c>
      <c r="M778" s="22" t="s">
        <v>71</v>
      </c>
      <c r="N778" s="22" t="s">
        <v>62</v>
      </c>
      <c r="O778" s="22" t="s">
        <v>584</v>
      </c>
      <c r="P778" s="22" t="s">
        <v>666</v>
      </c>
      <c r="Q778" s="309">
        <f>COUNTIF('Hedef Liste'!A:A,A778)</f>
        <v>1</v>
      </c>
    </row>
    <row r="779" hidden="1">
      <c r="A779" s="22" t="s">
        <v>1797</v>
      </c>
      <c r="B779" s="22" t="s">
        <v>1798</v>
      </c>
      <c r="C779" s="306" t="s">
        <v>3959</v>
      </c>
      <c r="D779" s="22" t="s">
        <v>653</v>
      </c>
      <c r="E779" s="307">
        <v>22.0</v>
      </c>
      <c r="F779" s="307">
        <v>2.0</v>
      </c>
      <c r="G779" s="307">
        <v>3.0</v>
      </c>
      <c r="H779" s="307">
        <v>2.0</v>
      </c>
      <c r="I779" s="307">
        <v>5.0</v>
      </c>
      <c r="J779" s="308">
        <v>0.6</v>
      </c>
      <c r="K779" s="22" t="s">
        <v>1799</v>
      </c>
      <c r="L779" s="22">
        <v>3.52503949E9</v>
      </c>
      <c r="M779" s="22" t="s">
        <v>61</v>
      </c>
      <c r="N779" s="22" t="s">
        <v>320</v>
      </c>
      <c r="O779" s="22" t="s">
        <v>1800</v>
      </c>
      <c r="P779" s="22" t="s">
        <v>666</v>
      </c>
      <c r="Q779" s="309">
        <f>COUNTIF('Hedef Liste'!A:A,A779)</f>
        <v>1</v>
      </c>
    </row>
    <row r="780" hidden="1">
      <c r="A780" s="22" t="s">
        <v>1820</v>
      </c>
      <c r="B780" s="22" t="s">
        <v>1821</v>
      </c>
      <c r="C780" s="306" t="s">
        <v>3959</v>
      </c>
      <c r="D780" s="22" t="s">
        <v>59</v>
      </c>
      <c r="E780" s="307">
        <v>843.0</v>
      </c>
      <c r="F780" s="307">
        <v>44.0</v>
      </c>
      <c r="G780" s="307">
        <v>0.0</v>
      </c>
      <c r="H780" s="307">
        <v>6.0</v>
      </c>
      <c r="I780" s="307">
        <v>6.0</v>
      </c>
      <c r="J780" s="308">
        <v>0.0</v>
      </c>
      <c r="K780" s="22" t="s">
        <v>1822</v>
      </c>
      <c r="L780" s="22">
        <v>3.524313136E9</v>
      </c>
      <c r="M780" s="22" t="s">
        <v>47</v>
      </c>
      <c r="N780" s="22" t="s">
        <v>496</v>
      </c>
      <c r="O780" s="22" t="s">
        <v>1823</v>
      </c>
      <c r="P780" s="22" t="s">
        <v>666</v>
      </c>
      <c r="Q780" s="309">
        <f>COUNTIF('Hedef Liste'!A:A,A780)</f>
        <v>1</v>
      </c>
    </row>
    <row r="781" hidden="1">
      <c r="A781" s="22" t="s">
        <v>2149</v>
      </c>
      <c r="B781" s="22" t="s">
        <v>4574</v>
      </c>
      <c r="C781" s="306" t="s">
        <v>3959</v>
      </c>
      <c r="D781" s="22" t="s">
        <v>69</v>
      </c>
      <c r="E781" s="307">
        <v>162.0</v>
      </c>
      <c r="F781" s="307">
        <v>26.0</v>
      </c>
      <c r="G781" s="307">
        <v>0.0</v>
      </c>
      <c r="H781" s="307">
        <v>3.0</v>
      </c>
      <c r="I781" s="307">
        <v>3.0</v>
      </c>
      <c r="J781" s="308">
        <v>0.0</v>
      </c>
      <c r="K781" s="22" t="s">
        <v>223</v>
      </c>
      <c r="L781" s="22">
        <v>5.534434688E9</v>
      </c>
      <c r="M781" s="22" t="s">
        <v>71</v>
      </c>
      <c r="N781" s="22" t="s">
        <v>224</v>
      </c>
      <c r="O781" s="22" t="s">
        <v>2148</v>
      </c>
      <c r="P781" s="22" t="s">
        <v>666</v>
      </c>
      <c r="Q781" s="309">
        <f>COUNTIF('Hedef Liste'!A:A,A781)</f>
        <v>1</v>
      </c>
    </row>
    <row r="782" hidden="1">
      <c r="A782" s="22" t="s">
        <v>117</v>
      </c>
      <c r="B782" s="22" t="s">
        <v>118</v>
      </c>
      <c r="C782" s="306" t="s">
        <v>3959</v>
      </c>
      <c r="D782" s="22" t="s">
        <v>100</v>
      </c>
      <c r="E782" s="307">
        <v>140.0</v>
      </c>
      <c r="F782" s="307">
        <v>32.0</v>
      </c>
      <c r="G782" s="307">
        <v>9.0</v>
      </c>
      <c r="H782" s="307">
        <v>2.0</v>
      </c>
      <c r="I782" s="307">
        <v>11.0</v>
      </c>
      <c r="J782" s="308">
        <v>0.82</v>
      </c>
      <c r="K782" s="22" t="s">
        <v>119</v>
      </c>
      <c r="L782" s="22">
        <v>5.465063838E9</v>
      </c>
      <c r="M782" s="22" t="s">
        <v>47</v>
      </c>
      <c r="N782" s="22" t="s">
        <v>48</v>
      </c>
      <c r="O782" s="22" t="s">
        <v>120</v>
      </c>
      <c r="P782" s="22" t="s">
        <v>666</v>
      </c>
      <c r="Q782" s="309">
        <f>COUNTIF('Hedef Liste'!A:A,A782)</f>
        <v>1</v>
      </c>
    </row>
    <row r="783" hidden="1">
      <c r="A783" s="22" t="s">
        <v>1596</v>
      </c>
      <c r="B783" s="22" t="s">
        <v>1597</v>
      </c>
      <c r="C783" s="306" t="s">
        <v>3959</v>
      </c>
      <c r="D783" s="22" t="s">
        <v>1598</v>
      </c>
      <c r="E783" s="307">
        <v>128.0</v>
      </c>
      <c r="F783" s="307">
        <v>44.0</v>
      </c>
      <c r="G783" s="307">
        <v>0.0</v>
      </c>
      <c r="H783" s="307">
        <v>4.0</v>
      </c>
      <c r="I783" s="307">
        <v>4.0</v>
      </c>
      <c r="J783" s="308">
        <v>0.0</v>
      </c>
      <c r="K783" s="22" t="s">
        <v>1599</v>
      </c>
      <c r="L783" s="22">
        <v>3.522481333E9</v>
      </c>
      <c r="M783" s="22" t="s">
        <v>47</v>
      </c>
      <c r="N783" s="22" t="s">
        <v>107</v>
      </c>
      <c r="O783" s="22" t="s">
        <v>1600</v>
      </c>
      <c r="P783" s="22" t="s">
        <v>666</v>
      </c>
      <c r="Q783" s="309">
        <f>COUNTIF('Hedef Liste'!A:A,A783)</f>
        <v>1</v>
      </c>
    </row>
    <row r="784" hidden="1">
      <c r="A784" s="22" t="s">
        <v>1802</v>
      </c>
      <c r="B784" s="22" t="s">
        <v>1803</v>
      </c>
      <c r="C784" s="306" t="s">
        <v>3959</v>
      </c>
      <c r="D784" s="22" t="s">
        <v>653</v>
      </c>
      <c r="E784" s="307">
        <v>1090.0</v>
      </c>
      <c r="F784" s="307">
        <v>20.0</v>
      </c>
      <c r="G784" s="307">
        <v>0.0</v>
      </c>
      <c r="H784" s="307">
        <v>5.0</v>
      </c>
      <c r="I784" s="307">
        <v>5.0</v>
      </c>
      <c r="J784" s="308">
        <v>0.0</v>
      </c>
      <c r="K784" s="22" t="s">
        <v>1804</v>
      </c>
      <c r="L784" s="22">
        <v>3.525049494E9</v>
      </c>
      <c r="M784" s="22" t="s">
        <v>61</v>
      </c>
      <c r="N784" s="22" t="s">
        <v>62</v>
      </c>
      <c r="O784" s="22" t="s">
        <v>1805</v>
      </c>
      <c r="P784" s="22" t="s">
        <v>666</v>
      </c>
      <c r="Q784" s="309">
        <f>COUNTIF('Hedef Liste'!A:A,A784)</f>
        <v>1</v>
      </c>
    </row>
    <row r="785" hidden="1">
      <c r="A785" s="22" t="s">
        <v>462</v>
      </c>
      <c r="B785" s="22" t="s">
        <v>463</v>
      </c>
      <c r="C785" s="306" t="s">
        <v>3959</v>
      </c>
      <c r="D785" s="22" t="s">
        <v>69</v>
      </c>
      <c r="E785" s="307">
        <v>249.0</v>
      </c>
      <c r="F785" s="307">
        <v>40.0</v>
      </c>
      <c r="G785" s="307">
        <v>2.0</v>
      </c>
      <c r="H785" s="307">
        <v>3.0</v>
      </c>
      <c r="I785" s="307">
        <v>5.0</v>
      </c>
      <c r="J785" s="308">
        <v>0.4</v>
      </c>
      <c r="K785" s="22" t="s">
        <v>464</v>
      </c>
      <c r="L785" s="22">
        <v>5.418372177E9</v>
      </c>
      <c r="M785" s="22" t="s">
        <v>71</v>
      </c>
      <c r="N785" s="22" t="s">
        <v>224</v>
      </c>
      <c r="O785" s="22" t="s">
        <v>465</v>
      </c>
      <c r="P785" s="22" t="s">
        <v>666</v>
      </c>
      <c r="Q785" s="309">
        <f>COUNTIF('Hedef Liste'!A:A,A785)</f>
        <v>1</v>
      </c>
    </row>
  </sheetData>
  <autoFilter ref="$A$1:$Q$785">
    <filterColumn colId="16">
      <filters>
        <filter val="0"/>
      </filters>
    </filterColumn>
    <filterColumn colId="15">
      <filters>
        <filter val="Geleneksel"/>
      </filters>
    </filterColumn>
    <filterColumn colId="2">
      <filters>
        <filter val="DOĞRU"/>
      </filters>
    </filterColumn>
    <filterColumn colId="9">
      <filters>
        <filter val="59%"/>
        <filter val="47%"/>
        <filter val="35%"/>
        <filter val="23%"/>
        <filter val="99%"/>
        <filter val="11%"/>
        <filter val="87%"/>
        <filter val="63%"/>
        <filter val="51%"/>
        <filter val="9%"/>
        <filter val="1%"/>
        <filter val="100.00%"/>
        <filter val="48%"/>
        <filter val="36%"/>
        <filter val="24%"/>
        <filter val="76%"/>
        <filter val="64%"/>
        <filter val="52%"/>
        <filter val="40%"/>
        <filter val="92%"/>
        <filter val="80%"/>
        <filter val="2%"/>
        <filter val="49%"/>
        <filter val="25%"/>
        <filter val="100%"/>
        <filter val="13%"/>
        <filter val="89%"/>
        <filter val="77%"/>
        <filter val="65%"/>
        <filter val="53%"/>
        <filter val="41%"/>
        <filter val="81%"/>
        <filter val="3%"/>
        <filter val="38%"/>
        <filter val="78%"/>
        <filter val="54%"/>
        <filter val="42%"/>
        <filter val="94%"/>
        <filter val="82%"/>
        <filter val="70%"/>
        <filter val="50.00%"/>
        <filter val="39%"/>
        <filter val="27%"/>
        <filter val="15%"/>
        <filter val="67%"/>
        <filter val="55%"/>
        <filter val="43%"/>
        <filter val="95%"/>
        <filter val="83%"/>
        <filter val="71%"/>
        <filter val="5%"/>
        <filter val="27.00%"/>
        <filter val="68%"/>
        <filter val="56%"/>
        <filter val="32%"/>
        <filter val="20%"/>
        <filter val="96%"/>
        <filter val="84%"/>
        <filter val="72%"/>
        <filter val="60%"/>
        <filter val="6%"/>
        <filter val="29%"/>
        <filter val="17%"/>
        <filter val="57%"/>
        <filter val="45%"/>
        <filter val="21%"/>
        <filter val="97%"/>
        <filter val="85%"/>
        <filter val="73%"/>
        <filter val="61%"/>
        <filter val="92.00%"/>
        <filter val="0.00%"/>
        <filter val="39.00%"/>
        <filter val="58%"/>
        <filter val="46%"/>
        <filter val="34%"/>
        <filter val="94.00%"/>
        <filter val="22%"/>
        <filter val="98%"/>
        <filter val="10%"/>
        <filter val="86%"/>
        <filter val="74%"/>
        <filter val="62%"/>
        <filter val="50%"/>
        <filter val="51.00%"/>
        <filter val="90%"/>
        <filter val="0%"/>
        <filter val="19%"/>
      </filters>
    </filterColumn>
  </autoFilter>
  <customSheetViews>
    <customSheetView guid="{A58F7F87-E105-4FC4-A245-3A897221D38F}" filter="1" showAutoFilter="1">
      <autoFilter ref="$A$1:$Q$785">
        <filterColumn colId="16">
          <filters>
            <filter val="0"/>
          </filters>
        </filterColumn>
        <filterColumn colId="15">
          <filters>
            <filter val="Geleneksel"/>
          </filters>
        </filterColumn>
        <filterColumn colId="9">
          <filters>
            <filter val="59%"/>
            <filter val="47%"/>
            <filter val="23%"/>
            <filter val="99%"/>
            <filter val="11%"/>
            <filter val="75%"/>
            <filter val="63%"/>
            <filter val="51%"/>
            <filter val="9%"/>
            <filter val="91%"/>
            <filter val="1%"/>
            <filter val="100.00%"/>
            <filter val="48%"/>
            <filter val="36%"/>
            <filter val="24%"/>
            <filter val="88%"/>
            <filter val="76%"/>
            <filter val="64%"/>
            <filter val="52%"/>
            <filter val="40%"/>
            <filter val="80%"/>
            <filter val="2%"/>
            <filter val="49%"/>
            <filter val="37%"/>
            <filter val="25%"/>
            <filter val="100%"/>
            <filter val="13%"/>
            <filter val="77%"/>
            <filter val="65%"/>
            <filter val="53%"/>
            <filter val="93%"/>
            <filter val="81%"/>
            <filter val="3%"/>
            <filter val="38%"/>
            <filter val="26%"/>
            <filter val="78%"/>
            <filter val="54%"/>
            <filter val="42%"/>
            <filter val="30%"/>
            <filter val="94%"/>
            <filter val="82%"/>
            <filter val="70%"/>
            <filter val="50.00%"/>
            <filter val="39%"/>
            <filter val="27%"/>
            <filter val="15%"/>
            <filter val="79%"/>
            <filter val="67%"/>
            <filter val="55%"/>
            <filter val="43%"/>
            <filter val="31%"/>
            <filter val="95%"/>
            <filter val="83%"/>
            <filter val="71%"/>
            <filter val="5%"/>
            <filter val="27.00%"/>
            <filter val="68%"/>
            <filter val="56%"/>
            <filter val="32%"/>
            <filter val="20%"/>
            <filter val="96%"/>
            <filter val="84%"/>
            <filter val="72%"/>
            <filter val="60%"/>
            <filter val="6%"/>
            <filter val="29%"/>
            <filter val="57%"/>
            <filter val="45%"/>
            <filter val="33%"/>
            <filter val="21%"/>
            <filter val="97%"/>
            <filter val="85%"/>
            <filter val="73%"/>
            <filter val="61%"/>
            <filter val="92.00%"/>
            <filter val="0.00%"/>
            <filter val="39.00%"/>
            <filter val="18%"/>
            <filter val="58%"/>
            <filter val="46%"/>
            <filter val="34%"/>
            <filter val="94.00%"/>
            <filter val="22%"/>
            <filter val="98%"/>
            <filter val="10%"/>
            <filter val="86%"/>
            <filter val="74%"/>
            <filter val="62%"/>
            <filter val="50%"/>
            <filter val="51.00%"/>
            <filter val="90%"/>
            <filter val="0%"/>
            <filter val="19%"/>
          </filters>
        </filterColumn>
        <filterColumn colId="2">
          <filters>
            <filter val="DOĞRU"/>
            <filter val="YANLIŞ"/>
          </filters>
        </filterColumn>
      </autoFilter>
    </customSheetView>
  </customSheetViews>
  <mergeCells count="20">
    <mergeCell ref="D428:E428"/>
    <mergeCell ref="D429:E429"/>
    <mergeCell ref="D496:E496"/>
    <mergeCell ref="D498:E498"/>
    <mergeCell ref="D580:E580"/>
    <mergeCell ref="D605:E605"/>
    <mergeCell ref="D606:E606"/>
    <mergeCell ref="D695:E695"/>
    <mergeCell ref="D697:E697"/>
    <mergeCell ref="D731:E731"/>
    <mergeCell ref="D736:E736"/>
    <mergeCell ref="D761:E761"/>
    <mergeCell ref="D765:E765"/>
    <mergeCell ref="D608:E608"/>
    <mergeCell ref="D620:E620"/>
    <mergeCell ref="D621:E621"/>
    <mergeCell ref="D622:E622"/>
    <mergeCell ref="D626:E626"/>
    <mergeCell ref="D647:E647"/>
    <mergeCell ref="D669:E669"/>
  </mergeCells>
  <conditionalFormatting sqref="C1:C785">
    <cfRule type="cellIs" dxfId="0" priority="1" operator="equal">
      <formula>"True"</formula>
    </cfRule>
  </conditionalFormatting>
  <conditionalFormatting sqref="C1:C785">
    <cfRule type="cellIs" dxfId="1" priority="2" operator="equal">
      <formula>"False"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row>
    <row r="2">
      <c r="A2" s="18"/>
      <c r="C2" s="251" t="s">
        <v>145</v>
      </c>
      <c r="H2" s="19" t="s">
        <v>3010</v>
      </c>
    </row>
    <row r="3">
      <c r="A3" s="18"/>
      <c r="C3" s="21" t="s">
        <v>199</v>
      </c>
      <c r="F3" s="19" t="s">
        <v>96</v>
      </c>
      <c r="H3" s="19" t="s">
        <v>3628</v>
      </c>
    </row>
    <row r="4">
      <c r="A4" s="313">
        <v>44197.0</v>
      </c>
      <c r="C4" s="21" t="s">
        <v>168</v>
      </c>
      <c r="F4" s="314"/>
      <c r="H4" s="19" t="s">
        <v>364</v>
      </c>
    </row>
    <row r="5">
      <c r="A5" s="313">
        <v>44198.0</v>
      </c>
      <c r="C5" s="21" t="s">
        <v>470</v>
      </c>
      <c r="F5" s="314"/>
      <c r="H5" s="19" t="s">
        <v>95</v>
      </c>
    </row>
    <row r="6">
      <c r="A6" s="313">
        <v>44199.0</v>
      </c>
      <c r="C6" s="21" t="s">
        <v>64</v>
      </c>
      <c r="F6" s="314"/>
      <c r="H6" s="19" t="s">
        <v>86</v>
      </c>
    </row>
    <row r="7">
      <c r="A7" s="313">
        <v>44200.0</v>
      </c>
      <c r="C7" s="107" t="s">
        <v>50</v>
      </c>
      <c r="H7" s="19" t="s">
        <v>352</v>
      </c>
    </row>
    <row r="8">
      <c r="A8" s="313">
        <v>44201.0</v>
      </c>
      <c r="C8" s="251" t="s">
        <v>133</v>
      </c>
      <c r="F8" s="315" t="s">
        <v>381</v>
      </c>
      <c r="H8" s="19" t="s">
        <v>4575</v>
      </c>
    </row>
    <row r="9">
      <c r="A9" s="313">
        <v>44202.0</v>
      </c>
      <c r="C9" s="107" t="s">
        <v>4576</v>
      </c>
      <c r="F9" s="315" t="s">
        <v>110</v>
      </c>
      <c r="H9" s="19" t="s">
        <v>127</v>
      </c>
    </row>
    <row r="10">
      <c r="A10" s="313">
        <v>44203.0</v>
      </c>
      <c r="C10" s="251" t="s">
        <v>4577</v>
      </c>
      <c r="F10" s="316" t="s">
        <v>95</v>
      </c>
      <c r="H10" s="19" t="s">
        <v>4578</v>
      </c>
    </row>
    <row r="11">
      <c r="A11" s="313">
        <v>44204.0</v>
      </c>
      <c r="C11" s="251" t="s">
        <v>2565</v>
      </c>
      <c r="F11" s="315" t="s">
        <v>80</v>
      </c>
      <c r="H11" s="19" t="s">
        <v>381</v>
      </c>
    </row>
    <row r="12">
      <c r="A12" s="313">
        <v>44205.0</v>
      </c>
      <c r="C12" s="21" t="s">
        <v>4579</v>
      </c>
      <c r="F12" s="317" t="s">
        <v>140</v>
      </c>
      <c r="H12" s="19" t="s">
        <v>4580</v>
      </c>
    </row>
    <row r="13">
      <c r="A13" s="313">
        <v>44206.0</v>
      </c>
      <c r="C13" s="21" t="s">
        <v>74</v>
      </c>
      <c r="F13" s="316" t="s">
        <v>127</v>
      </c>
      <c r="H13" s="19" t="s">
        <v>4581</v>
      </c>
    </row>
    <row r="14">
      <c r="A14" s="313">
        <v>44207.0</v>
      </c>
      <c r="C14" s="21" t="s">
        <v>94</v>
      </c>
      <c r="F14" s="315" t="s">
        <v>86</v>
      </c>
      <c r="H14" s="41" t="s">
        <v>4582</v>
      </c>
    </row>
    <row r="15">
      <c r="A15" s="313">
        <v>44208.0</v>
      </c>
      <c r="C15" s="107" t="s">
        <v>115</v>
      </c>
      <c r="F15" s="315" t="s">
        <v>75</v>
      </c>
      <c r="H15" s="41" t="s">
        <v>538</v>
      </c>
    </row>
    <row r="16">
      <c r="A16" s="313">
        <v>44209.0</v>
      </c>
      <c r="C16" s="251" t="s">
        <v>150</v>
      </c>
      <c r="F16" s="315" t="s">
        <v>66</v>
      </c>
      <c r="H16" s="41" t="s">
        <v>4583</v>
      </c>
    </row>
    <row r="17">
      <c r="A17" s="313">
        <v>44210.0</v>
      </c>
      <c r="C17" s="107" t="s">
        <v>1442</v>
      </c>
      <c r="F17" s="318" t="s">
        <v>2616</v>
      </c>
      <c r="H17" s="41" t="s">
        <v>4584</v>
      </c>
    </row>
    <row r="18">
      <c r="A18" s="313">
        <v>44211.0</v>
      </c>
      <c r="C18" s="107" t="s">
        <v>53</v>
      </c>
      <c r="F18" s="319"/>
      <c r="H18" s="41" t="s">
        <v>4585</v>
      </c>
    </row>
    <row r="19">
      <c r="A19" s="313">
        <v>44212.0</v>
      </c>
      <c r="C19" s="251" t="s">
        <v>4586</v>
      </c>
      <c r="F19" s="319"/>
      <c r="H19" s="41" t="s">
        <v>4587</v>
      </c>
    </row>
    <row r="20">
      <c r="A20" s="313">
        <v>44213.0</v>
      </c>
      <c r="F20" s="319"/>
      <c r="H20" s="41" t="s">
        <v>181</v>
      </c>
    </row>
    <row r="21">
      <c r="A21" s="313">
        <v>44214.0</v>
      </c>
      <c r="F21" s="320"/>
      <c r="H21" s="41" t="s">
        <v>4588</v>
      </c>
    </row>
    <row r="22">
      <c r="A22" s="313">
        <v>44215.0</v>
      </c>
      <c r="C22" s="21" t="s">
        <v>64</v>
      </c>
      <c r="F22" s="321"/>
      <c r="H22" s="41" t="s">
        <v>568</v>
      </c>
    </row>
    <row r="23">
      <c r="A23" s="313">
        <v>44216.0</v>
      </c>
      <c r="C23" s="21" t="s">
        <v>54</v>
      </c>
      <c r="F23" s="320"/>
      <c r="H23" s="41" t="s">
        <v>2938</v>
      </c>
    </row>
    <row r="24">
      <c r="A24" s="313">
        <v>44217.0</v>
      </c>
      <c r="C24" s="21" t="s">
        <v>78</v>
      </c>
      <c r="F24" s="321"/>
      <c r="H24" s="41" t="s">
        <v>4589</v>
      </c>
    </row>
    <row r="25">
      <c r="A25" s="313">
        <v>44218.0</v>
      </c>
      <c r="C25" s="21" t="s">
        <v>53</v>
      </c>
      <c r="F25" s="322"/>
      <c r="H25" s="41" t="s">
        <v>4590</v>
      </c>
    </row>
    <row r="26">
      <c r="A26" s="313">
        <v>44219.0</v>
      </c>
      <c r="C26" s="21" t="s">
        <v>347</v>
      </c>
      <c r="F26" s="322"/>
      <c r="H26" s="41" t="s">
        <v>4591</v>
      </c>
    </row>
    <row r="27">
      <c r="A27" s="313">
        <v>44220.0</v>
      </c>
      <c r="F27" s="323"/>
      <c r="H27" s="41" t="s">
        <v>4592</v>
      </c>
    </row>
    <row r="28">
      <c r="A28" s="313">
        <v>44221.0</v>
      </c>
      <c r="C28" s="41" t="s">
        <v>711</v>
      </c>
      <c r="F28" s="324"/>
      <c r="H28" s="41" t="s">
        <v>4593</v>
      </c>
    </row>
    <row r="29">
      <c r="A29" s="313">
        <v>44222.0</v>
      </c>
      <c r="C29" s="41" t="s">
        <v>1629</v>
      </c>
      <c r="F29" s="323"/>
      <c r="H29" s="41" t="s">
        <v>4594</v>
      </c>
    </row>
    <row r="30">
      <c r="A30" s="313">
        <v>44223.0</v>
      </c>
      <c r="C30" s="41" t="s">
        <v>2338</v>
      </c>
      <c r="F30" s="324"/>
    </row>
    <row r="31">
      <c r="A31" s="313">
        <v>44224.0</v>
      </c>
      <c r="F31" s="322"/>
    </row>
    <row r="32">
      <c r="A32" s="313">
        <v>44225.0</v>
      </c>
      <c r="C32" s="251" t="s">
        <v>4595</v>
      </c>
      <c r="F32" s="322"/>
    </row>
    <row r="33">
      <c r="A33" s="313">
        <v>44226.0</v>
      </c>
      <c r="C33" s="107" t="s">
        <v>168</v>
      </c>
      <c r="F33" s="21"/>
    </row>
    <row r="34">
      <c r="A34" s="313">
        <v>44227.0</v>
      </c>
      <c r="C34" s="251" t="s">
        <v>4596</v>
      </c>
      <c r="F34" s="21"/>
    </row>
    <row r="35">
      <c r="A35" s="313">
        <v>44228.0</v>
      </c>
      <c r="C35" s="251" t="s">
        <v>4597</v>
      </c>
    </row>
    <row r="36">
      <c r="A36" s="313">
        <v>44229.0</v>
      </c>
    </row>
    <row r="37">
      <c r="A37" s="313">
        <v>44230.0</v>
      </c>
    </row>
    <row r="38">
      <c r="A38" s="313">
        <v>44231.0</v>
      </c>
    </row>
    <row r="39">
      <c r="A39" s="313">
        <v>44232.0</v>
      </c>
    </row>
    <row r="40">
      <c r="A40" s="313">
        <v>44233.0</v>
      </c>
    </row>
    <row r="41">
      <c r="A41" s="313">
        <v>44234.0</v>
      </c>
    </row>
    <row r="42">
      <c r="A42" s="313">
        <v>44235.0</v>
      </c>
    </row>
    <row r="43">
      <c r="A43" s="313">
        <v>44236.0</v>
      </c>
    </row>
    <row r="44">
      <c r="A44" s="313">
        <v>44237.0</v>
      </c>
    </row>
    <row r="45">
      <c r="A45" s="313">
        <v>44238.0</v>
      </c>
    </row>
    <row r="46">
      <c r="A46" s="313">
        <v>44239.0</v>
      </c>
    </row>
    <row r="47">
      <c r="A47" s="313">
        <v>44240.0</v>
      </c>
    </row>
    <row r="48">
      <c r="A48" s="313">
        <v>44241.0</v>
      </c>
    </row>
    <row r="49">
      <c r="A49" s="313">
        <v>44242.0</v>
      </c>
    </row>
    <row r="50">
      <c r="A50" s="313">
        <v>44243.0</v>
      </c>
    </row>
    <row r="51">
      <c r="A51" s="313">
        <v>44244.0</v>
      </c>
    </row>
    <row r="52">
      <c r="A52" s="313">
        <v>44245.0</v>
      </c>
    </row>
    <row r="53">
      <c r="A53" s="313">
        <v>44246.0</v>
      </c>
    </row>
    <row r="54">
      <c r="A54" s="313">
        <v>44247.0</v>
      </c>
    </row>
    <row r="55">
      <c r="A55" s="313">
        <v>44248.0</v>
      </c>
    </row>
    <row r="56">
      <c r="A56" s="313">
        <v>44249.0</v>
      </c>
    </row>
    <row r="57">
      <c r="A57" s="313">
        <v>44250.0</v>
      </c>
    </row>
    <row r="58">
      <c r="A58" s="313">
        <v>44251.0</v>
      </c>
    </row>
    <row r="59">
      <c r="A59" s="313">
        <v>44252.0</v>
      </c>
    </row>
    <row r="60">
      <c r="A60" s="313">
        <v>44253.0</v>
      </c>
    </row>
    <row r="61">
      <c r="A61" s="313">
        <v>44254.0</v>
      </c>
    </row>
    <row r="62">
      <c r="A62" s="313">
        <v>44255.0</v>
      </c>
    </row>
    <row r="63">
      <c r="A63" s="313">
        <v>44256.0</v>
      </c>
    </row>
    <row r="64">
      <c r="A64" s="313">
        <v>44257.0</v>
      </c>
    </row>
    <row r="65">
      <c r="A65" s="313">
        <v>44258.0</v>
      </c>
    </row>
    <row r="66">
      <c r="A66" s="313">
        <v>44259.0</v>
      </c>
    </row>
    <row r="67">
      <c r="A67" s="313">
        <v>44260.0</v>
      </c>
    </row>
    <row r="68">
      <c r="A68" s="313">
        <v>44261.0</v>
      </c>
    </row>
    <row r="69">
      <c r="A69" s="313">
        <v>44262.0</v>
      </c>
    </row>
    <row r="70">
      <c r="A70" s="313">
        <v>44263.0</v>
      </c>
    </row>
    <row r="71">
      <c r="A71" s="313">
        <v>44264.0</v>
      </c>
    </row>
    <row r="72">
      <c r="A72" s="313">
        <v>44265.0</v>
      </c>
    </row>
    <row r="73">
      <c r="A73" s="313">
        <v>44266.0</v>
      </c>
    </row>
    <row r="74">
      <c r="A74" s="313">
        <v>44267.0</v>
      </c>
    </row>
    <row r="75">
      <c r="A75" s="313">
        <v>44268.0</v>
      </c>
    </row>
    <row r="76">
      <c r="A76" s="313">
        <v>44269.0</v>
      </c>
    </row>
    <row r="77">
      <c r="A77" s="313">
        <v>44270.0</v>
      </c>
    </row>
    <row r="78">
      <c r="A78" s="313">
        <v>44271.0</v>
      </c>
    </row>
    <row r="79">
      <c r="A79" s="313">
        <v>44272.0</v>
      </c>
    </row>
    <row r="80">
      <c r="A80" s="313">
        <v>44273.0</v>
      </c>
    </row>
    <row r="81">
      <c r="A81" s="313">
        <v>44274.0</v>
      </c>
    </row>
    <row r="82">
      <c r="A82" s="313">
        <v>44275.0</v>
      </c>
    </row>
    <row r="83">
      <c r="A83" s="313">
        <v>44276.0</v>
      </c>
    </row>
    <row r="84">
      <c r="A84" s="313">
        <v>44277.0</v>
      </c>
    </row>
    <row r="85">
      <c r="A85" s="313">
        <v>44278.0</v>
      </c>
    </row>
    <row r="86">
      <c r="A86" s="313">
        <v>44279.0</v>
      </c>
    </row>
    <row r="87">
      <c r="A87" s="313">
        <v>44280.0</v>
      </c>
    </row>
    <row r="88">
      <c r="A88" s="313">
        <v>44281.0</v>
      </c>
    </row>
    <row r="89">
      <c r="A89" s="313">
        <v>44282.0</v>
      </c>
    </row>
    <row r="90">
      <c r="A90" s="313">
        <v>44283.0</v>
      </c>
    </row>
    <row r="91">
      <c r="A91" s="313">
        <v>44284.0</v>
      </c>
    </row>
    <row r="92">
      <c r="A92" s="313">
        <v>44285.0</v>
      </c>
    </row>
    <row r="93">
      <c r="A93" s="313">
        <v>44286.0</v>
      </c>
    </row>
    <row r="94">
      <c r="A94" s="313">
        <v>44287.0</v>
      </c>
    </row>
    <row r="95">
      <c r="A95" s="313">
        <v>44288.0</v>
      </c>
    </row>
    <row r="96">
      <c r="A96" s="313">
        <v>44289.0</v>
      </c>
    </row>
    <row r="97">
      <c r="A97" s="313">
        <v>44290.0</v>
      </c>
    </row>
    <row r="98">
      <c r="A98" s="313">
        <v>44291.0</v>
      </c>
    </row>
    <row r="99">
      <c r="A99" s="313">
        <v>44292.0</v>
      </c>
    </row>
    <row r="100">
      <c r="A100" s="313">
        <v>44293.0</v>
      </c>
    </row>
    <row r="101">
      <c r="A101" s="313">
        <v>44294.0</v>
      </c>
    </row>
    <row r="102">
      <c r="A102" s="313">
        <v>44295.0</v>
      </c>
    </row>
    <row r="103">
      <c r="A103" s="313">
        <v>44296.0</v>
      </c>
    </row>
    <row r="104">
      <c r="A104" s="313">
        <v>44297.0</v>
      </c>
    </row>
    <row r="105">
      <c r="A105" s="313">
        <v>44298.0</v>
      </c>
    </row>
    <row r="106">
      <c r="A106" s="313">
        <v>44299.0</v>
      </c>
    </row>
    <row r="107">
      <c r="A107" s="313">
        <v>44300.0</v>
      </c>
    </row>
    <row r="108">
      <c r="A108" s="313">
        <v>44301.0</v>
      </c>
    </row>
    <row r="109">
      <c r="A109" s="313">
        <v>44302.0</v>
      </c>
    </row>
    <row r="110">
      <c r="A110" s="313">
        <v>44303.0</v>
      </c>
    </row>
    <row r="111">
      <c r="A111" s="313">
        <v>44304.0</v>
      </c>
    </row>
    <row r="112">
      <c r="A112" s="313">
        <v>44305.0</v>
      </c>
    </row>
    <row r="113">
      <c r="A113" s="313">
        <v>44306.0</v>
      </c>
    </row>
    <row r="114">
      <c r="A114" s="313">
        <v>44307.0</v>
      </c>
    </row>
    <row r="115">
      <c r="A115" s="313">
        <v>44308.0</v>
      </c>
    </row>
    <row r="116">
      <c r="A116" s="313">
        <v>44309.0</v>
      </c>
    </row>
    <row r="117">
      <c r="A117" s="313">
        <v>44310.0</v>
      </c>
    </row>
    <row r="118">
      <c r="A118" s="313">
        <v>44311.0</v>
      </c>
    </row>
    <row r="119">
      <c r="A119" s="313">
        <v>44312.0</v>
      </c>
    </row>
    <row r="120">
      <c r="A120" s="313">
        <v>44313.0</v>
      </c>
    </row>
    <row r="121">
      <c r="A121" s="313">
        <v>44314.0</v>
      </c>
    </row>
    <row r="122">
      <c r="A122" s="313">
        <v>44315.0</v>
      </c>
    </row>
    <row r="123">
      <c r="A123" s="313">
        <v>44316.0</v>
      </c>
    </row>
    <row r="124">
      <c r="A124" s="313">
        <v>44317.0</v>
      </c>
    </row>
    <row r="125">
      <c r="A125" s="313">
        <v>44318.0</v>
      </c>
    </row>
    <row r="126">
      <c r="A126" s="313">
        <v>44319.0</v>
      </c>
    </row>
    <row r="127">
      <c r="A127" s="313">
        <v>44320.0</v>
      </c>
    </row>
    <row r="128">
      <c r="A128" s="313">
        <v>44321.0</v>
      </c>
    </row>
    <row r="129">
      <c r="A129" s="313">
        <v>44322.0</v>
      </c>
    </row>
    <row r="130">
      <c r="A130" s="313">
        <v>44323.0</v>
      </c>
    </row>
    <row r="131">
      <c r="A131" s="313">
        <v>44324.0</v>
      </c>
    </row>
    <row r="132">
      <c r="A132" s="313">
        <v>44325.0</v>
      </c>
    </row>
    <row r="133">
      <c r="A133" s="313">
        <v>44326.0</v>
      </c>
    </row>
    <row r="134">
      <c r="A134" s="313">
        <v>44327.0</v>
      </c>
    </row>
    <row r="135">
      <c r="A135" s="313">
        <v>44328.0</v>
      </c>
    </row>
    <row r="136">
      <c r="A136" s="313">
        <v>44329.0</v>
      </c>
    </row>
    <row r="137">
      <c r="A137" s="313">
        <v>44330.0</v>
      </c>
    </row>
    <row r="138">
      <c r="A138" s="313">
        <v>44331.0</v>
      </c>
    </row>
    <row r="139">
      <c r="A139" s="313">
        <v>44332.0</v>
      </c>
    </row>
    <row r="140">
      <c r="A140" s="313">
        <v>44333.0</v>
      </c>
    </row>
    <row r="141">
      <c r="A141" s="313">
        <v>44334.0</v>
      </c>
    </row>
    <row r="142">
      <c r="A142" s="313">
        <v>44335.0</v>
      </c>
    </row>
    <row r="143">
      <c r="A143" s="313">
        <v>44336.0</v>
      </c>
    </row>
    <row r="144">
      <c r="A144" s="313">
        <v>44337.0</v>
      </c>
    </row>
    <row r="145">
      <c r="A145" s="313">
        <v>44338.0</v>
      </c>
    </row>
    <row r="146">
      <c r="A146" s="313">
        <v>44339.0</v>
      </c>
    </row>
    <row r="147">
      <c r="A147" s="313">
        <v>44340.0</v>
      </c>
    </row>
    <row r="148">
      <c r="A148" s="313">
        <v>44341.0</v>
      </c>
    </row>
    <row r="149">
      <c r="A149" s="313">
        <v>44342.0</v>
      </c>
    </row>
    <row r="150">
      <c r="A150" s="313">
        <v>44343.0</v>
      </c>
    </row>
    <row r="151">
      <c r="A151" s="313">
        <v>44344.0</v>
      </c>
    </row>
    <row r="152">
      <c r="A152" s="313">
        <v>44345.0</v>
      </c>
    </row>
    <row r="153">
      <c r="A153" s="313">
        <v>44346.0</v>
      </c>
    </row>
    <row r="154">
      <c r="A154" s="313">
        <v>44347.0</v>
      </c>
    </row>
    <row r="155">
      <c r="A155" s="313">
        <v>44348.0</v>
      </c>
    </row>
    <row r="156">
      <c r="A156" s="313">
        <v>44349.0</v>
      </c>
    </row>
    <row r="157">
      <c r="A157" s="313">
        <v>44350.0</v>
      </c>
    </row>
    <row r="158">
      <c r="A158" s="313">
        <v>44351.0</v>
      </c>
    </row>
    <row r="159">
      <c r="A159" s="313">
        <v>44352.0</v>
      </c>
    </row>
    <row r="160">
      <c r="A160" s="313">
        <v>44353.0</v>
      </c>
    </row>
    <row r="161">
      <c r="A161" s="313">
        <v>44354.0</v>
      </c>
    </row>
    <row r="162">
      <c r="A162" s="313">
        <v>44355.0</v>
      </c>
    </row>
    <row r="163">
      <c r="A163" s="313">
        <v>44356.0</v>
      </c>
    </row>
    <row r="164">
      <c r="A164" s="313">
        <v>44357.0</v>
      </c>
    </row>
    <row r="165">
      <c r="A165" s="313">
        <v>44358.0</v>
      </c>
    </row>
    <row r="166">
      <c r="A166" s="313">
        <v>44359.0</v>
      </c>
    </row>
    <row r="167">
      <c r="A167" s="313">
        <v>44360.0</v>
      </c>
    </row>
    <row r="168">
      <c r="A168" s="313">
        <v>44361.0</v>
      </c>
    </row>
    <row r="169">
      <c r="A169" s="313">
        <v>44362.0</v>
      </c>
    </row>
    <row r="170">
      <c r="A170" s="313">
        <v>44363.0</v>
      </c>
    </row>
    <row r="171">
      <c r="A171" s="313">
        <v>44364.0</v>
      </c>
    </row>
    <row r="172">
      <c r="A172" s="313">
        <v>44365.0</v>
      </c>
    </row>
    <row r="173">
      <c r="A173" s="313">
        <v>44366.0</v>
      </c>
    </row>
    <row r="174">
      <c r="A174" s="313">
        <v>44367.0</v>
      </c>
    </row>
    <row r="175">
      <c r="A175" s="313">
        <v>44368.0</v>
      </c>
    </row>
    <row r="176">
      <c r="A176" s="313">
        <v>44369.0</v>
      </c>
    </row>
    <row r="177">
      <c r="A177" s="313">
        <v>44370.0</v>
      </c>
    </row>
    <row r="178">
      <c r="A178" s="313">
        <v>44371.0</v>
      </c>
    </row>
    <row r="179">
      <c r="A179" s="313">
        <v>44372.0</v>
      </c>
    </row>
    <row r="180">
      <c r="A180" s="313">
        <v>44373.0</v>
      </c>
    </row>
    <row r="181">
      <c r="A181" s="313">
        <v>44374.0</v>
      </c>
    </row>
    <row r="182">
      <c r="A182" s="313">
        <v>44375.0</v>
      </c>
    </row>
    <row r="183">
      <c r="A183" s="313">
        <v>44376.0</v>
      </c>
    </row>
    <row r="184">
      <c r="A184" s="313">
        <v>44377.0</v>
      </c>
    </row>
    <row r="185">
      <c r="A185" s="313">
        <v>44378.0</v>
      </c>
    </row>
    <row r="186">
      <c r="A186" s="313">
        <v>44379.0</v>
      </c>
    </row>
    <row r="187">
      <c r="A187" s="313">
        <v>44380.0</v>
      </c>
    </row>
    <row r="188">
      <c r="A188" s="313">
        <v>44381.0</v>
      </c>
    </row>
    <row r="189">
      <c r="A189" s="313">
        <v>44382.0</v>
      </c>
    </row>
    <row r="190">
      <c r="A190" s="313">
        <v>44383.0</v>
      </c>
    </row>
    <row r="191">
      <c r="A191" s="313">
        <v>44384.0</v>
      </c>
    </row>
    <row r="192">
      <c r="A192" s="313">
        <v>44385.0</v>
      </c>
    </row>
    <row r="193">
      <c r="A193" s="313">
        <v>44386.0</v>
      </c>
    </row>
    <row r="194">
      <c r="A194" s="313">
        <v>44387.0</v>
      </c>
    </row>
    <row r="195">
      <c r="A195" s="313">
        <v>44388.0</v>
      </c>
    </row>
    <row r="196">
      <c r="A196" s="313">
        <v>44389.0</v>
      </c>
    </row>
    <row r="197">
      <c r="A197" s="313">
        <v>44390.0</v>
      </c>
    </row>
    <row r="198">
      <c r="A198" s="313">
        <v>44391.0</v>
      </c>
    </row>
    <row r="199">
      <c r="A199" s="313">
        <v>44392.0</v>
      </c>
    </row>
    <row r="200">
      <c r="A200" s="313">
        <v>44393.0</v>
      </c>
    </row>
    <row r="201">
      <c r="A201" s="313">
        <v>44394.0</v>
      </c>
    </row>
    <row r="202">
      <c r="A202" s="313">
        <v>44395.0</v>
      </c>
    </row>
    <row r="203">
      <c r="A203" s="313">
        <v>44396.0</v>
      </c>
    </row>
    <row r="204">
      <c r="A204" s="313">
        <v>44397.0</v>
      </c>
    </row>
    <row r="205">
      <c r="A205" s="313">
        <v>44398.0</v>
      </c>
    </row>
    <row r="206">
      <c r="A206" s="313">
        <v>44399.0</v>
      </c>
    </row>
    <row r="207">
      <c r="A207" s="313">
        <v>44400.0</v>
      </c>
    </row>
    <row r="208">
      <c r="A208" s="313">
        <v>44401.0</v>
      </c>
    </row>
    <row r="209">
      <c r="A209" s="313">
        <v>44402.0</v>
      </c>
    </row>
    <row r="210">
      <c r="A210" s="313">
        <v>44403.0</v>
      </c>
    </row>
    <row r="211">
      <c r="A211" s="313">
        <v>44404.0</v>
      </c>
    </row>
    <row r="212">
      <c r="A212" s="313">
        <v>44405.0</v>
      </c>
    </row>
    <row r="213">
      <c r="A213" s="313">
        <v>44406.0</v>
      </c>
    </row>
    <row r="214">
      <c r="A214" s="313">
        <v>44407.0</v>
      </c>
    </row>
    <row r="215">
      <c r="A215" s="313">
        <v>44408.0</v>
      </c>
    </row>
    <row r="216">
      <c r="A216" s="313">
        <v>44409.0</v>
      </c>
    </row>
    <row r="217">
      <c r="A217" s="313">
        <v>44410.0</v>
      </c>
    </row>
    <row r="218">
      <c r="A218" s="313">
        <v>44411.0</v>
      </c>
    </row>
    <row r="219">
      <c r="A219" s="313">
        <v>44412.0</v>
      </c>
    </row>
    <row r="220">
      <c r="A220" s="313">
        <v>44413.0</v>
      </c>
    </row>
    <row r="221">
      <c r="A221" s="313">
        <v>44414.0</v>
      </c>
    </row>
    <row r="222">
      <c r="A222" s="313">
        <v>44415.0</v>
      </c>
    </row>
    <row r="223">
      <c r="A223" s="313">
        <v>44416.0</v>
      </c>
    </row>
    <row r="224">
      <c r="A224" s="313">
        <v>44417.0</v>
      </c>
    </row>
    <row r="225">
      <c r="A225" s="313">
        <v>44418.0</v>
      </c>
    </row>
    <row r="226">
      <c r="A226" s="313">
        <v>44419.0</v>
      </c>
    </row>
    <row r="227">
      <c r="A227" s="313">
        <v>44420.0</v>
      </c>
    </row>
    <row r="228">
      <c r="A228" s="313">
        <v>44421.0</v>
      </c>
    </row>
    <row r="229">
      <c r="A229" s="313">
        <v>44422.0</v>
      </c>
    </row>
    <row r="230">
      <c r="A230" s="313">
        <v>44423.0</v>
      </c>
    </row>
    <row r="231">
      <c r="A231" s="313">
        <v>44424.0</v>
      </c>
    </row>
    <row r="232">
      <c r="A232" s="313">
        <v>44425.0</v>
      </c>
    </row>
    <row r="233">
      <c r="A233" s="313">
        <v>44426.0</v>
      </c>
    </row>
    <row r="234">
      <c r="A234" s="313">
        <v>44427.0</v>
      </c>
    </row>
    <row r="235">
      <c r="A235" s="313">
        <v>44428.0</v>
      </c>
    </row>
    <row r="236">
      <c r="A236" s="313">
        <v>44429.0</v>
      </c>
    </row>
    <row r="237">
      <c r="A237" s="313">
        <v>44430.0</v>
      </c>
    </row>
    <row r="238">
      <c r="A238" s="313">
        <v>44431.0</v>
      </c>
    </row>
    <row r="239">
      <c r="A239" s="313">
        <v>44432.0</v>
      </c>
    </row>
    <row r="240">
      <c r="A240" s="313">
        <v>44433.0</v>
      </c>
    </row>
    <row r="241">
      <c r="A241" s="313">
        <v>44434.0</v>
      </c>
    </row>
    <row r="242">
      <c r="A242" s="313">
        <v>44435.0</v>
      </c>
    </row>
    <row r="243">
      <c r="A243" s="313">
        <v>44436.0</v>
      </c>
    </row>
    <row r="244">
      <c r="A244" s="313">
        <v>44437.0</v>
      </c>
    </row>
    <row r="245">
      <c r="A245" s="313">
        <v>44438.0</v>
      </c>
    </row>
    <row r="246">
      <c r="A246" s="313">
        <v>44439.0</v>
      </c>
    </row>
    <row r="247">
      <c r="A247" s="313">
        <v>44440.0</v>
      </c>
    </row>
    <row r="248">
      <c r="A248" s="313">
        <v>44441.0</v>
      </c>
    </row>
    <row r="249">
      <c r="A249" s="313">
        <v>44442.0</v>
      </c>
    </row>
    <row r="250">
      <c r="A250" s="313">
        <v>44443.0</v>
      </c>
    </row>
    <row r="251">
      <c r="A251" s="313">
        <v>44444.0</v>
      </c>
    </row>
    <row r="252">
      <c r="A252" s="313">
        <v>44445.0</v>
      </c>
    </row>
    <row r="253">
      <c r="A253" s="313">
        <v>44446.0</v>
      </c>
    </row>
    <row r="254">
      <c r="A254" s="313">
        <v>44447.0</v>
      </c>
    </row>
    <row r="255">
      <c r="A255" s="313">
        <v>44448.0</v>
      </c>
    </row>
    <row r="256">
      <c r="A256" s="313">
        <v>44449.0</v>
      </c>
    </row>
    <row r="257">
      <c r="A257" s="313">
        <v>44450.0</v>
      </c>
    </row>
    <row r="258">
      <c r="A258" s="313">
        <v>44451.0</v>
      </c>
    </row>
    <row r="259">
      <c r="A259" s="313">
        <v>44452.0</v>
      </c>
    </row>
    <row r="260">
      <c r="A260" s="313">
        <v>44453.0</v>
      </c>
    </row>
    <row r="261">
      <c r="A261" s="313">
        <v>44454.0</v>
      </c>
    </row>
    <row r="262">
      <c r="A262" s="313">
        <v>44455.0</v>
      </c>
    </row>
    <row r="263">
      <c r="A263" s="313">
        <v>44456.0</v>
      </c>
    </row>
    <row r="264">
      <c r="A264" s="313">
        <v>44457.0</v>
      </c>
    </row>
    <row r="265">
      <c r="A265" s="313">
        <v>44458.0</v>
      </c>
    </row>
    <row r="266">
      <c r="A266" s="313">
        <v>44459.0</v>
      </c>
    </row>
    <row r="267">
      <c r="A267" s="313">
        <v>44460.0</v>
      </c>
    </row>
    <row r="268">
      <c r="A268" s="313">
        <v>44461.0</v>
      </c>
    </row>
    <row r="269">
      <c r="A269" s="313">
        <v>44462.0</v>
      </c>
    </row>
    <row r="270">
      <c r="A270" s="313">
        <v>44463.0</v>
      </c>
    </row>
    <row r="271">
      <c r="A271" s="313">
        <v>44464.0</v>
      </c>
    </row>
    <row r="272">
      <c r="A272" s="313">
        <v>44465.0</v>
      </c>
    </row>
    <row r="273">
      <c r="A273" s="313">
        <v>44466.0</v>
      </c>
    </row>
    <row r="274">
      <c r="A274" s="313">
        <v>44467.0</v>
      </c>
    </row>
    <row r="275">
      <c r="A275" s="313">
        <v>44468.0</v>
      </c>
    </row>
    <row r="276">
      <c r="A276" s="313">
        <v>44469.0</v>
      </c>
    </row>
    <row r="277">
      <c r="A277" s="313">
        <v>44470.0</v>
      </c>
    </row>
    <row r="278">
      <c r="A278" s="313">
        <v>44471.0</v>
      </c>
    </row>
    <row r="279">
      <c r="A279" s="313">
        <v>44472.0</v>
      </c>
    </row>
    <row r="280">
      <c r="A280" s="313">
        <v>44473.0</v>
      </c>
    </row>
    <row r="281">
      <c r="A281" s="313">
        <v>44474.0</v>
      </c>
    </row>
    <row r="282">
      <c r="A282" s="313">
        <v>44475.0</v>
      </c>
    </row>
    <row r="283">
      <c r="A283" s="313">
        <v>44476.0</v>
      </c>
    </row>
    <row r="284">
      <c r="A284" s="313">
        <v>44477.0</v>
      </c>
    </row>
    <row r="285">
      <c r="A285" s="313">
        <v>44478.0</v>
      </c>
    </row>
    <row r="286">
      <c r="A286" s="313">
        <v>44479.0</v>
      </c>
    </row>
    <row r="287">
      <c r="A287" s="313">
        <v>44480.0</v>
      </c>
    </row>
    <row r="288">
      <c r="A288" s="313">
        <v>44481.0</v>
      </c>
    </row>
    <row r="289">
      <c r="A289" s="313">
        <v>44482.0</v>
      </c>
    </row>
    <row r="290">
      <c r="A290" s="313">
        <v>44483.0</v>
      </c>
    </row>
    <row r="291">
      <c r="A291" s="313">
        <v>44484.0</v>
      </c>
    </row>
    <row r="292">
      <c r="A292" s="313">
        <v>44485.0</v>
      </c>
    </row>
    <row r="293">
      <c r="A293" s="313">
        <v>44486.0</v>
      </c>
    </row>
    <row r="294">
      <c r="A294" s="313">
        <v>44487.0</v>
      </c>
    </row>
    <row r="295">
      <c r="A295" s="313">
        <v>44488.0</v>
      </c>
    </row>
    <row r="296">
      <c r="A296" s="313">
        <v>44489.0</v>
      </c>
    </row>
    <row r="297">
      <c r="A297" s="313">
        <v>44490.0</v>
      </c>
    </row>
    <row r="298">
      <c r="A298" s="313">
        <v>44491.0</v>
      </c>
    </row>
    <row r="299">
      <c r="A299" s="313">
        <v>44492.0</v>
      </c>
    </row>
    <row r="300">
      <c r="A300" s="313">
        <v>44493.0</v>
      </c>
    </row>
    <row r="301">
      <c r="A301" s="313">
        <v>44494.0</v>
      </c>
    </row>
    <row r="302">
      <c r="A302" s="313">
        <v>44495.0</v>
      </c>
    </row>
    <row r="303">
      <c r="A303" s="313">
        <v>44496.0</v>
      </c>
    </row>
    <row r="304">
      <c r="A304" s="313">
        <v>44497.0</v>
      </c>
    </row>
    <row r="305">
      <c r="A305" s="313">
        <v>44498.0</v>
      </c>
    </row>
    <row r="306">
      <c r="A306" s="313">
        <v>44499.0</v>
      </c>
    </row>
    <row r="307">
      <c r="A307" s="313">
        <v>44500.0</v>
      </c>
    </row>
    <row r="308">
      <c r="A308" s="313">
        <v>44501.0</v>
      </c>
    </row>
    <row r="309">
      <c r="A309" s="313">
        <v>44502.0</v>
      </c>
    </row>
    <row r="310">
      <c r="A310" s="313">
        <v>44503.0</v>
      </c>
    </row>
    <row r="311">
      <c r="A311" s="313">
        <v>44504.0</v>
      </c>
    </row>
    <row r="312">
      <c r="A312" s="313">
        <v>44505.0</v>
      </c>
    </row>
    <row r="313">
      <c r="A313" s="313">
        <v>44506.0</v>
      </c>
    </row>
    <row r="314">
      <c r="A314" s="313">
        <v>44507.0</v>
      </c>
    </row>
    <row r="315">
      <c r="A315" s="313">
        <v>44508.0</v>
      </c>
    </row>
    <row r="316">
      <c r="A316" s="313">
        <v>44509.0</v>
      </c>
    </row>
    <row r="317">
      <c r="A317" s="313">
        <v>44510.0</v>
      </c>
    </row>
    <row r="318">
      <c r="A318" s="313">
        <v>44511.0</v>
      </c>
    </row>
    <row r="319">
      <c r="A319" s="313">
        <v>44512.0</v>
      </c>
    </row>
    <row r="320">
      <c r="A320" s="313">
        <v>44513.0</v>
      </c>
    </row>
    <row r="321">
      <c r="A321" s="313">
        <v>44514.0</v>
      </c>
    </row>
    <row r="322">
      <c r="A322" s="313">
        <v>44515.0</v>
      </c>
    </row>
    <row r="323">
      <c r="A323" s="313">
        <v>44516.0</v>
      </c>
    </row>
    <row r="324">
      <c r="A324" s="313">
        <v>44517.0</v>
      </c>
    </row>
    <row r="325">
      <c r="A325" s="313">
        <v>44518.0</v>
      </c>
    </row>
    <row r="326">
      <c r="A326" s="313">
        <v>44519.0</v>
      </c>
    </row>
    <row r="327">
      <c r="A327" s="313">
        <v>44520.0</v>
      </c>
    </row>
    <row r="328">
      <c r="A328" s="313">
        <v>44521.0</v>
      </c>
    </row>
    <row r="329">
      <c r="A329" s="313">
        <v>44522.0</v>
      </c>
    </row>
    <row r="330">
      <c r="A330" s="313">
        <v>44523.0</v>
      </c>
    </row>
    <row r="331">
      <c r="A331" s="313">
        <v>44524.0</v>
      </c>
    </row>
    <row r="332">
      <c r="A332" s="313">
        <v>44525.0</v>
      </c>
    </row>
    <row r="333">
      <c r="A333" s="313">
        <v>44526.0</v>
      </c>
    </row>
    <row r="334">
      <c r="A334" s="313">
        <v>44527.0</v>
      </c>
    </row>
    <row r="335">
      <c r="A335" s="313">
        <v>44528.0</v>
      </c>
    </row>
    <row r="336">
      <c r="A336" s="313">
        <v>44529.0</v>
      </c>
    </row>
    <row r="337">
      <c r="A337" s="313">
        <v>44530.0</v>
      </c>
    </row>
    <row r="338">
      <c r="A338" s="313">
        <v>44531.0</v>
      </c>
    </row>
    <row r="339">
      <c r="A339" s="313">
        <v>44532.0</v>
      </c>
    </row>
    <row r="340">
      <c r="A340" s="313">
        <v>44533.0</v>
      </c>
    </row>
    <row r="341">
      <c r="A341" s="313">
        <v>44534.0</v>
      </c>
    </row>
    <row r="342">
      <c r="A342" s="313">
        <v>44535.0</v>
      </c>
    </row>
    <row r="343">
      <c r="A343" s="313">
        <v>44536.0</v>
      </c>
    </row>
    <row r="344">
      <c r="A344" s="313">
        <v>44537.0</v>
      </c>
    </row>
    <row r="345">
      <c r="A345" s="313">
        <v>44538.0</v>
      </c>
    </row>
    <row r="346">
      <c r="A346" s="313">
        <v>44539.0</v>
      </c>
    </row>
    <row r="347">
      <c r="A347" s="313">
        <v>44540.0</v>
      </c>
    </row>
    <row r="348">
      <c r="A348" s="313">
        <v>44541.0</v>
      </c>
    </row>
    <row r="349">
      <c r="A349" s="313">
        <v>44542.0</v>
      </c>
    </row>
    <row r="350">
      <c r="A350" s="313">
        <v>44543.0</v>
      </c>
    </row>
    <row r="351">
      <c r="A351" s="313">
        <v>44544.0</v>
      </c>
    </row>
    <row r="352">
      <c r="A352" s="313">
        <v>44545.0</v>
      </c>
    </row>
    <row r="353">
      <c r="A353" s="313">
        <v>44546.0</v>
      </c>
    </row>
    <row r="354">
      <c r="A354" s="313">
        <v>44547.0</v>
      </c>
    </row>
    <row r="355">
      <c r="A355" s="313">
        <v>44548.0</v>
      </c>
    </row>
    <row r="356">
      <c r="A356" s="313">
        <v>44549.0</v>
      </c>
    </row>
    <row r="357">
      <c r="A357" s="313">
        <v>44550.0</v>
      </c>
    </row>
    <row r="358">
      <c r="A358" s="313">
        <v>44551.0</v>
      </c>
    </row>
    <row r="359">
      <c r="A359" s="313">
        <v>44552.0</v>
      </c>
    </row>
    <row r="360">
      <c r="A360" s="313">
        <v>44553.0</v>
      </c>
    </row>
    <row r="361">
      <c r="A361" s="313">
        <v>44554.0</v>
      </c>
    </row>
    <row r="362">
      <c r="A362" s="313">
        <v>44555.0</v>
      </c>
    </row>
    <row r="363">
      <c r="A363" s="313">
        <v>44556.0</v>
      </c>
    </row>
    <row r="364">
      <c r="A364" s="313">
        <v>44557.0</v>
      </c>
    </row>
    <row r="365">
      <c r="A365" s="313">
        <v>44558.0</v>
      </c>
    </row>
    <row r="366">
      <c r="A366" s="313">
        <v>44559.0</v>
      </c>
    </row>
    <row r="367">
      <c r="A367" s="313">
        <v>44560.0</v>
      </c>
    </row>
    <row r="368">
      <c r="A368" s="313">
        <v>44561.0</v>
      </c>
    </row>
    <row r="369">
      <c r="A369" s="313">
        <v>44562.0</v>
      </c>
    </row>
    <row r="370">
      <c r="A370" s="313">
        <v>44563.0</v>
      </c>
    </row>
    <row r="371">
      <c r="A371" s="313">
        <v>44564.0</v>
      </c>
    </row>
    <row r="372">
      <c r="A372" s="313">
        <v>44565.0</v>
      </c>
    </row>
    <row r="373">
      <c r="A373" s="313">
        <v>44566.0</v>
      </c>
    </row>
    <row r="374">
      <c r="A374" s="313">
        <v>44567.0</v>
      </c>
    </row>
    <row r="375">
      <c r="A375" s="313">
        <v>44568.0</v>
      </c>
    </row>
    <row r="376">
      <c r="A376" s="313">
        <v>44569.0</v>
      </c>
    </row>
    <row r="377">
      <c r="A377" s="313">
        <v>44570.0</v>
      </c>
    </row>
    <row r="378">
      <c r="A378" s="313">
        <v>44571.0</v>
      </c>
    </row>
    <row r="379">
      <c r="A379" s="313">
        <v>44572.0</v>
      </c>
    </row>
    <row r="380">
      <c r="A380" s="313">
        <v>44573.0</v>
      </c>
    </row>
    <row r="381">
      <c r="A381" s="313">
        <v>44574.0</v>
      </c>
    </row>
    <row r="382">
      <c r="A382" s="313">
        <v>44575.0</v>
      </c>
    </row>
    <row r="383">
      <c r="A383" s="313">
        <v>44576.0</v>
      </c>
    </row>
    <row r="384">
      <c r="A384" s="313">
        <v>44577.0</v>
      </c>
    </row>
    <row r="385">
      <c r="A385" s="313">
        <v>44578.0</v>
      </c>
    </row>
    <row r="386">
      <c r="A386" s="313">
        <v>44579.0</v>
      </c>
    </row>
    <row r="387">
      <c r="A387" s="313">
        <v>44580.0</v>
      </c>
    </row>
    <row r="388">
      <c r="A388" s="313">
        <v>44581.0</v>
      </c>
    </row>
    <row r="389">
      <c r="A389" s="313">
        <v>44582.0</v>
      </c>
    </row>
    <row r="390">
      <c r="A390" s="313">
        <v>44583.0</v>
      </c>
    </row>
    <row r="391">
      <c r="A391" s="313">
        <v>44584.0</v>
      </c>
    </row>
    <row r="392">
      <c r="A392" s="313">
        <v>44585.0</v>
      </c>
    </row>
    <row r="393">
      <c r="A393" s="313">
        <v>44586.0</v>
      </c>
    </row>
    <row r="394">
      <c r="A394" s="313">
        <v>44587.0</v>
      </c>
    </row>
    <row r="395">
      <c r="A395" s="313">
        <v>44588.0</v>
      </c>
    </row>
    <row r="396">
      <c r="A396" s="313">
        <v>44589.0</v>
      </c>
    </row>
    <row r="397">
      <c r="A397" s="313">
        <v>44590.0</v>
      </c>
    </row>
    <row r="398">
      <c r="A398" s="313">
        <v>44591.0</v>
      </c>
    </row>
    <row r="399">
      <c r="A399" s="313">
        <v>44592.0</v>
      </c>
    </row>
    <row r="400">
      <c r="A400" s="313">
        <v>44593.0</v>
      </c>
    </row>
    <row r="401">
      <c r="A401" s="313">
        <v>44594.0</v>
      </c>
    </row>
    <row r="402">
      <c r="A402" s="313">
        <v>44595.0</v>
      </c>
    </row>
    <row r="403">
      <c r="A403" s="313">
        <v>44596.0</v>
      </c>
    </row>
    <row r="404">
      <c r="A404" s="313">
        <v>44597.0</v>
      </c>
    </row>
    <row r="405">
      <c r="A405" s="313">
        <v>44598.0</v>
      </c>
    </row>
    <row r="406">
      <c r="A406" s="313">
        <v>44599.0</v>
      </c>
    </row>
    <row r="407">
      <c r="A407" s="313">
        <v>44600.0</v>
      </c>
    </row>
    <row r="408">
      <c r="A408" s="313">
        <v>44601.0</v>
      </c>
    </row>
    <row r="409">
      <c r="A409" s="313">
        <v>44602.0</v>
      </c>
    </row>
    <row r="410">
      <c r="A410" s="313">
        <v>44603.0</v>
      </c>
    </row>
    <row r="411">
      <c r="A411" s="313">
        <v>44604.0</v>
      </c>
    </row>
    <row r="412">
      <c r="A412" s="313">
        <v>44605.0</v>
      </c>
    </row>
    <row r="413">
      <c r="A413" s="313">
        <v>44606.0</v>
      </c>
    </row>
    <row r="414">
      <c r="A414" s="313">
        <v>44607.0</v>
      </c>
    </row>
    <row r="415">
      <c r="A415" s="313">
        <v>44608.0</v>
      </c>
    </row>
    <row r="416">
      <c r="A416" s="313">
        <v>44609.0</v>
      </c>
    </row>
    <row r="417">
      <c r="A417" s="313">
        <v>44610.0</v>
      </c>
    </row>
    <row r="418">
      <c r="A418" s="313">
        <v>44611.0</v>
      </c>
    </row>
    <row r="419">
      <c r="A419" s="313">
        <v>44612.0</v>
      </c>
    </row>
    <row r="420">
      <c r="A420" s="313">
        <v>44613.0</v>
      </c>
    </row>
    <row r="421">
      <c r="A421" s="313">
        <v>44614.0</v>
      </c>
    </row>
    <row r="422">
      <c r="A422" s="313">
        <v>44615.0</v>
      </c>
    </row>
    <row r="423">
      <c r="A423" s="313">
        <v>44616.0</v>
      </c>
    </row>
    <row r="424">
      <c r="A424" s="313">
        <v>44617.0</v>
      </c>
    </row>
    <row r="425">
      <c r="A425" s="313">
        <v>44618.0</v>
      </c>
    </row>
    <row r="426">
      <c r="A426" s="313">
        <v>44619.0</v>
      </c>
    </row>
    <row r="427">
      <c r="A427" s="313">
        <v>44620.0</v>
      </c>
    </row>
    <row r="428">
      <c r="A428" s="313">
        <v>44621.0</v>
      </c>
    </row>
    <row r="429">
      <c r="A429" s="313">
        <v>44622.0</v>
      </c>
    </row>
    <row r="430">
      <c r="A430" s="313">
        <v>44623.0</v>
      </c>
    </row>
    <row r="431">
      <c r="A431" s="313">
        <v>44624.0</v>
      </c>
    </row>
    <row r="432">
      <c r="A432" s="313">
        <v>44625.0</v>
      </c>
    </row>
    <row r="433">
      <c r="A433" s="313">
        <v>44626.0</v>
      </c>
    </row>
    <row r="434">
      <c r="A434" s="313">
        <v>44627.0</v>
      </c>
    </row>
    <row r="435">
      <c r="A435" s="313">
        <v>44628.0</v>
      </c>
    </row>
    <row r="436">
      <c r="A436" s="313">
        <v>44629.0</v>
      </c>
    </row>
    <row r="437">
      <c r="A437" s="313">
        <v>44630.0</v>
      </c>
    </row>
    <row r="438">
      <c r="A438" s="313">
        <v>44631.0</v>
      </c>
    </row>
    <row r="439">
      <c r="A439" s="313">
        <v>44632.0</v>
      </c>
    </row>
    <row r="440">
      <c r="A440" s="313">
        <v>44633.0</v>
      </c>
    </row>
    <row r="441">
      <c r="A441" s="313">
        <v>44634.0</v>
      </c>
    </row>
    <row r="442">
      <c r="A442" s="313">
        <v>44635.0</v>
      </c>
    </row>
    <row r="443">
      <c r="A443" s="313">
        <v>44636.0</v>
      </c>
    </row>
    <row r="444">
      <c r="A444" s="313">
        <v>44637.0</v>
      </c>
    </row>
    <row r="445">
      <c r="A445" s="313">
        <v>44638.0</v>
      </c>
    </row>
    <row r="446">
      <c r="A446" s="313">
        <v>44639.0</v>
      </c>
    </row>
    <row r="447">
      <c r="A447" s="313">
        <v>44640.0</v>
      </c>
    </row>
    <row r="448">
      <c r="A448" s="313">
        <v>44641.0</v>
      </c>
    </row>
    <row r="449">
      <c r="A449" s="313">
        <v>44642.0</v>
      </c>
    </row>
    <row r="450">
      <c r="A450" s="313">
        <v>44643.0</v>
      </c>
    </row>
    <row r="451">
      <c r="A451" s="313">
        <v>44644.0</v>
      </c>
    </row>
    <row r="452">
      <c r="A452" s="313">
        <v>44645.0</v>
      </c>
    </row>
    <row r="453">
      <c r="A453" s="313">
        <v>44646.0</v>
      </c>
    </row>
    <row r="454">
      <c r="A454" s="313">
        <v>44647.0</v>
      </c>
    </row>
    <row r="455">
      <c r="A455" s="313">
        <v>44648.0</v>
      </c>
    </row>
    <row r="456">
      <c r="A456" s="313">
        <v>44649.0</v>
      </c>
    </row>
    <row r="457">
      <c r="A457" s="313">
        <v>44650.0</v>
      </c>
    </row>
    <row r="458">
      <c r="A458" s="313">
        <v>44651.0</v>
      </c>
    </row>
    <row r="459">
      <c r="A459" s="313">
        <v>44652.0</v>
      </c>
    </row>
    <row r="460">
      <c r="A460" s="313">
        <v>44653.0</v>
      </c>
    </row>
    <row r="461">
      <c r="A461" s="313">
        <v>44654.0</v>
      </c>
    </row>
    <row r="462">
      <c r="A462" s="313">
        <v>44655.0</v>
      </c>
    </row>
    <row r="463">
      <c r="A463" s="313">
        <v>44656.0</v>
      </c>
    </row>
    <row r="464">
      <c r="A464" s="313">
        <v>44657.0</v>
      </c>
    </row>
    <row r="465">
      <c r="A465" s="313">
        <v>44658.0</v>
      </c>
    </row>
    <row r="466">
      <c r="A466" s="313">
        <v>44659.0</v>
      </c>
    </row>
    <row r="467">
      <c r="A467" s="313">
        <v>44660.0</v>
      </c>
    </row>
    <row r="468">
      <c r="A468" s="313">
        <v>44661.0</v>
      </c>
    </row>
    <row r="469">
      <c r="A469" s="313">
        <v>44662.0</v>
      </c>
    </row>
    <row r="470">
      <c r="A470" s="313">
        <v>44663.0</v>
      </c>
    </row>
    <row r="471">
      <c r="A471" s="313">
        <v>44664.0</v>
      </c>
    </row>
    <row r="472">
      <c r="A472" s="313">
        <v>44665.0</v>
      </c>
    </row>
    <row r="473">
      <c r="A473" s="313">
        <v>44666.0</v>
      </c>
    </row>
    <row r="474">
      <c r="A474" s="313">
        <v>44667.0</v>
      </c>
    </row>
    <row r="475">
      <c r="A475" s="313">
        <v>44668.0</v>
      </c>
    </row>
    <row r="476">
      <c r="A476" s="313">
        <v>44669.0</v>
      </c>
    </row>
    <row r="477">
      <c r="A477" s="313">
        <v>44670.0</v>
      </c>
    </row>
    <row r="478">
      <c r="A478" s="313">
        <v>44671.0</v>
      </c>
    </row>
    <row r="479">
      <c r="A479" s="313">
        <v>44672.0</v>
      </c>
    </row>
    <row r="480">
      <c r="A480" s="313">
        <v>44673.0</v>
      </c>
    </row>
    <row r="481">
      <c r="A481" s="313">
        <v>44674.0</v>
      </c>
    </row>
    <row r="482">
      <c r="A482" s="313">
        <v>44675.0</v>
      </c>
    </row>
    <row r="483">
      <c r="A483" s="313">
        <v>44676.0</v>
      </c>
    </row>
    <row r="484">
      <c r="A484" s="313">
        <v>44677.0</v>
      </c>
    </row>
    <row r="485">
      <c r="A485" s="313">
        <v>44678.0</v>
      </c>
    </row>
    <row r="486">
      <c r="A486" s="313">
        <v>44679.0</v>
      </c>
    </row>
    <row r="487">
      <c r="A487" s="313">
        <v>44680.0</v>
      </c>
    </row>
    <row r="488">
      <c r="A488" s="313">
        <v>44681.0</v>
      </c>
    </row>
    <row r="489">
      <c r="A489" s="313">
        <v>44682.0</v>
      </c>
    </row>
    <row r="490">
      <c r="A490" s="313">
        <v>44683.0</v>
      </c>
    </row>
    <row r="491">
      <c r="A491" s="313">
        <v>44684.0</v>
      </c>
    </row>
    <row r="492">
      <c r="A492" s="313">
        <v>44685.0</v>
      </c>
    </row>
    <row r="493">
      <c r="A493" s="313">
        <v>44686.0</v>
      </c>
    </row>
    <row r="494">
      <c r="A494" s="313">
        <v>44687.0</v>
      </c>
    </row>
    <row r="495">
      <c r="A495" s="313">
        <v>44688.0</v>
      </c>
    </row>
    <row r="496">
      <c r="A496" s="313">
        <v>44689.0</v>
      </c>
    </row>
    <row r="497">
      <c r="A497" s="313">
        <v>44690.0</v>
      </c>
    </row>
    <row r="498">
      <c r="A498" s="313">
        <v>44691.0</v>
      </c>
    </row>
    <row r="499">
      <c r="A499" s="313">
        <v>44692.0</v>
      </c>
    </row>
    <row r="500">
      <c r="A500" s="313">
        <v>44693.0</v>
      </c>
    </row>
    <row r="501">
      <c r="A501" s="313">
        <v>44694.0</v>
      </c>
    </row>
    <row r="502">
      <c r="A502" s="313">
        <v>44695.0</v>
      </c>
    </row>
    <row r="503">
      <c r="A503" s="313">
        <v>44696.0</v>
      </c>
    </row>
    <row r="504">
      <c r="A504" s="313">
        <v>44697.0</v>
      </c>
    </row>
    <row r="505">
      <c r="A505" s="313">
        <v>44698.0</v>
      </c>
    </row>
    <row r="506">
      <c r="A506" s="313">
        <v>44699.0</v>
      </c>
    </row>
    <row r="507">
      <c r="A507" s="313">
        <v>44700.0</v>
      </c>
    </row>
    <row r="508">
      <c r="A508" s="313">
        <v>44701.0</v>
      </c>
    </row>
    <row r="509">
      <c r="A509" s="313">
        <v>44702.0</v>
      </c>
    </row>
    <row r="510">
      <c r="A510" s="313">
        <v>44703.0</v>
      </c>
    </row>
    <row r="511">
      <c r="A511" s="313">
        <v>44704.0</v>
      </c>
    </row>
    <row r="512">
      <c r="A512" s="313">
        <v>44705.0</v>
      </c>
    </row>
    <row r="513">
      <c r="A513" s="313">
        <v>44706.0</v>
      </c>
    </row>
    <row r="514">
      <c r="A514" s="313">
        <v>44707.0</v>
      </c>
    </row>
    <row r="515">
      <c r="A515" s="313">
        <v>44708.0</v>
      </c>
    </row>
    <row r="516">
      <c r="A516" s="313">
        <v>44709.0</v>
      </c>
    </row>
    <row r="517">
      <c r="A517" s="313">
        <v>44710.0</v>
      </c>
    </row>
    <row r="518">
      <c r="A518" s="313">
        <v>44711.0</v>
      </c>
    </row>
    <row r="519">
      <c r="A519" s="313">
        <v>44712.0</v>
      </c>
    </row>
    <row r="520">
      <c r="A520" s="313">
        <v>44713.0</v>
      </c>
    </row>
    <row r="521">
      <c r="A521" s="313">
        <v>44714.0</v>
      </c>
    </row>
    <row r="522">
      <c r="A522" s="313">
        <v>44715.0</v>
      </c>
    </row>
    <row r="523">
      <c r="A523" s="313">
        <v>44716.0</v>
      </c>
    </row>
    <row r="524">
      <c r="A524" s="313">
        <v>44717.0</v>
      </c>
    </row>
    <row r="525">
      <c r="A525" s="313">
        <v>44718.0</v>
      </c>
    </row>
    <row r="526">
      <c r="A526" s="313">
        <v>44719.0</v>
      </c>
    </row>
    <row r="527">
      <c r="A527" s="313">
        <v>44720.0</v>
      </c>
    </row>
    <row r="528">
      <c r="A528" s="313">
        <v>44721.0</v>
      </c>
    </row>
    <row r="529">
      <c r="A529" s="313">
        <v>44722.0</v>
      </c>
    </row>
    <row r="530">
      <c r="A530" s="313">
        <v>44723.0</v>
      </c>
    </row>
    <row r="531">
      <c r="A531" s="313">
        <v>44724.0</v>
      </c>
    </row>
    <row r="532">
      <c r="A532" s="313">
        <v>44725.0</v>
      </c>
    </row>
    <row r="533">
      <c r="A533" s="313">
        <v>44726.0</v>
      </c>
    </row>
    <row r="534">
      <c r="A534" s="313">
        <v>44727.0</v>
      </c>
    </row>
    <row r="535">
      <c r="A535" s="313">
        <v>44728.0</v>
      </c>
    </row>
    <row r="536">
      <c r="A536" s="313">
        <v>44729.0</v>
      </c>
    </row>
    <row r="537">
      <c r="A537" s="313">
        <v>44730.0</v>
      </c>
    </row>
    <row r="538">
      <c r="A538" s="313">
        <v>44731.0</v>
      </c>
    </row>
    <row r="539">
      <c r="A539" s="313">
        <v>44732.0</v>
      </c>
    </row>
    <row r="540">
      <c r="A540" s="313">
        <v>44733.0</v>
      </c>
    </row>
    <row r="541">
      <c r="A541" s="313">
        <v>44734.0</v>
      </c>
    </row>
    <row r="542">
      <c r="A542" s="313">
        <v>44735.0</v>
      </c>
    </row>
    <row r="543">
      <c r="A543" s="313">
        <v>44736.0</v>
      </c>
    </row>
    <row r="544">
      <c r="A544" s="313">
        <v>44737.0</v>
      </c>
    </row>
    <row r="545">
      <c r="A545" s="313">
        <v>44738.0</v>
      </c>
    </row>
    <row r="546">
      <c r="A546" s="313">
        <v>44739.0</v>
      </c>
    </row>
    <row r="547">
      <c r="A547" s="313">
        <v>44740.0</v>
      </c>
    </row>
    <row r="548">
      <c r="A548" s="313">
        <v>44741.0</v>
      </c>
    </row>
    <row r="549">
      <c r="A549" s="313">
        <v>44742.0</v>
      </c>
    </row>
    <row r="550">
      <c r="A550" s="313">
        <v>44743.0</v>
      </c>
    </row>
    <row r="551">
      <c r="A551" s="313">
        <v>44744.0</v>
      </c>
    </row>
    <row r="552">
      <c r="A552" s="313">
        <v>44745.0</v>
      </c>
    </row>
    <row r="553">
      <c r="A553" s="313">
        <v>44746.0</v>
      </c>
    </row>
    <row r="554">
      <c r="A554" s="313">
        <v>44747.0</v>
      </c>
    </row>
    <row r="555">
      <c r="A555" s="313">
        <v>44748.0</v>
      </c>
    </row>
    <row r="556">
      <c r="A556" s="313">
        <v>44749.0</v>
      </c>
    </row>
    <row r="557">
      <c r="A557" s="313">
        <v>44750.0</v>
      </c>
    </row>
    <row r="558">
      <c r="A558" s="313">
        <v>44751.0</v>
      </c>
    </row>
    <row r="559">
      <c r="A559" s="313">
        <v>44752.0</v>
      </c>
    </row>
    <row r="560">
      <c r="A560" s="313">
        <v>44753.0</v>
      </c>
    </row>
    <row r="561">
      <c r="A561" s="313">
        <v>44754.0</v>
      </c>
    </row>
    <row r="562">
      <c r="A562" s="313">
        <v>44755.0</v>
      </c>
    </row>
    <row r="563">
      <c r="A563" s="313">
        <v>44756.0</v>
      </c>
    </row>
    <row r="564">
      <c r="A564" s="313">
        <v>44757.0</v>
      </c>
    </row>
    <row r="565">
      <c r="A565" s="313">
        <v>44758.0</v>
      </c>
    </row>
    <row r="566">
      <c r="A566" s="313">
        <v>44759.0</v>
      </c>
    </row>
    <row r="567">
      <c r="A567" s="313">
        <v>44760.0</v>
      </c>
    </row>
    <row r="568">
      <c r="A568" s="313">
        <v>44761.0</v>
      </c>
    </row>
    <row r="569">
      <c r="A569" s="313">
        <v>44762.0</v>
      </c>
    </row>
    <row r="570">
      <c r="A570" s="313">
        <v>44763.0</v>
      </c>
    </row>
    <row r="571">
      <c r="A571" s="313">
        <v>44764.0</v>
      </c>
    </row>
    <row r="572">
      <c r="A572" s="313">
        <v>44765.0</v>
      </c>
    </row>
    <row r="573">
      <c r="A573" s="313">
        <v>44766.0</v>
      </c>
    </row>
    <row r="574">
      <c r="A574" s="313">
        <v>44767.0</v>
      </c>
    </row>
    <row r="575">
      <c r="A575" s="313">
        <v>44768.0</v>
      </c>
    </row>
    <row r="576">
      <c r="A576" s="313">
        <v>44769.0</v>
      </c>
    </row>
    <row r="577">
      <c r="A577" s="313">
        <v>44770.0</v>
      </c>
    </row>
    <row r="578">
      <c r="A578" s="313">
        <v>44771.0</v>
      </c>
    </row>
    <row r="579">
      <c r="A579" s="313">
        <v>44772.0</v>
      </c>
    </row>
    <row r="580">
      <c r="A580" s="313">
        <v>44773.0</v>
      </c>
    </row>
    <row r="581">
      <c r="A581" s="313">
        <v>44774.0</v>
      </c>
    </row>
    <row r="582">
      <c r="A582" s="313">
        <v>44775.0</v>
      </c>
    </row>
    <row r="583">
      <c r="A583" s="313">
        <v>44776.0</v>
      </c>
    </row>
    <row r="584">
      <c r="A584" s="313">
        <v>44777.0</v>
      </c>
    </row>
    <row r="585">
      <c r="A585" s="313">
        <v>44778.0</v>
      </c>
    </row>
    <row r="586">
      <c r="A586" s="313">
        <v>44779.0</v>
      </c>
    </row>
    <row r="587">
      <c r="A587" s="313">
        <v>44780.0</v>
      </c>
    </row>
    <row r="588">
      <c r="A588" s="313">
        <v>44781.0</v>
      </c>
    </row>
    <row r="589">
      <c r="A589" s="313">
        <v>44782.0</v>
      </c>
    </row>
    <row r="590">
      <c r="A590" s="313">
        <v>44783.0</v>
      </c>
    </row>
    <row r="591">
      <c r="A591" s="313">
        <v>44784.0</v>
      </c>
    </row>
    <row r="592">
      <c r="A592" s="313">
        <v>44785.0</v>
      </c>
    </row>
    <row r="593">
      <c r="A593" s="313">
        <v>44786.0</v>
      </c>
    </row>
    <row r="594">
      <c r="A594" s="313">
        <v>44787.0</v>
      </c>
    </row>
    <row r="595">
      <c r="A595" s="313">
        <v>44788.0</v>
      </c>
    </row>
    <row r="596">
      <c r="A596" s="313">
        <v>44789.0</v>
      </c>
    </row>
    <row r="597">
      <c r="A597" s="313">
        <v>44790.0</v>
      </c>
    </row>
    <row r="598">
      <c r="A598" s="313">
        <v>44791.0</v>
      </c>
    </row>
    <row r="599">
      <c r="A599" s="313">
        <v>44792.0</v>
      </c>
    </row>
    <row r="600">
      <c r="A600" s="313">
        <v>44793.0</v>
      </c>
    </row>
    <row r="601">
      <c r="A601" s="313">
        <v>44794.0</v>
      </c>
    </row>
    <row r="602">
      <c r="A602" s="313">
        <v>44795.0</v>
      </c>
    </row>
    <row r="603">
      <c r="A603" s="313">
        <v>44796.0</v>
      </c>
    </row>
    <row r="604">
      <c r="A604" s="313">
        <v>44797.0</v>
      </c>
    </row>
    <row r="605">
      <c r="A605" s="313">
        <v>44798.0</v>
      </c>
    </row>
    <row r="606">
      <c r="A606" s="313">
        <v>44799.0</v>
      </c>
    </row>
    <row r="607">
      <c r="A607" s="313">
        <v>44800.0</v>
      </c>
    </row>
    <row r="608">
      <c r="A608" s="313">
        <v>44801.0</v>
      </c>
    </row>
    <row r="609">
      <c r="A609" s="313">
        <v>44802.0</v>
      </c>
    </row>
    <row r="610">
      <c r="A610" s="313">
        <v>44803.0</v>
      </c>
    </row>
    <row r="611">
      <c r="A611" s="313">
        <v>44804.0</v>
      </c>
    </row>
    <row r="612">
      <c r="A612" s="313">
        <v>44805.0</v>
      </c>
    </row>
    <row r="613">
      <c r="A613" s="313">
        <v>44806.0</v>
      </c>
    </row>
    <row r="614">
      <c r="A614" s="313">
        <v>44807.0</v>
      </c>
    </row>
    <row r="615">
      <c r="A615" s="313">
        <v>44808.0</v>
      </c>
    </row>
    <row r="616">
      <c r="A616" s="313">
        <v>44809.0</v>
      </c>
    </row>
    <row r="617">
      <c r="A617" s="313">
        <v>44810.0</v>
      </c>
    </row>
    <row r="618">
      <c r="A618" s="313">
        <v>44811.0</v>
      </c>
    </row>
    <row r="619">
      <c r="A619" s="313">
        <v>44812.0</v>
      </c>
    </row>
    <row r="620">
      <c r="A620" s="313">
        <v>44813.0</v>
      </c>
    </row>
    <row r="621">
      <c r="A621" s="313">
        <v>44814.0</v>
      </c>
    </row>
    <row r="622">
      <c r="A622" s="313">
        <v>44815.0</v>
      </c>
    </row>
    <row r="623">
      <c r="A623" s="313">
        <v>44816.0</v>
      </c>
    </row>
    <row r="624">
      <c r="A624" s="313">
        <v>44817.0</v>
      </c>
    </row>
    <row r="625">
      <c r="A625" s="313">
        <v>44818.0</v>
      </c>
    </row>
    <row r="626">
      <c r="A626" s="313">
        <v>44819.0</v>
      </c>
    </row>
    <row r="627">
      <c r="A627" s="313">
        <v>44820.0</v>
      </c>
    </row>
    <row r="628">
      <c r="A628" s="313">
        <v>44821.0</v>
      </c>
    </row>
    <row r="629">
      <c r="A629" s="313">
        <v>44822.0</v>
      </c>
    </row>
    <row r="630">
      <c r="A630" s="313">
        <v>44823.0</v>
      </c>
    </row>
    <row r="631">
      <c r="A631" s="313">
        <v>44824.0</v>
      </c>
    </row>
    <row r="632">
      <c r="A632" s="313">
        <v>44825.0</v>
      </c>
    </row>
    <row r="633">
      <c r="A633" s="313">
        <v>44826.0</v>
      </c>
    </row>
    <row r="634">
      <c r="A634" s="313">
        <v>44827.0</v>
      </c>
    </row>
    <row r="635">
      <c r="A635" s="313">
        <v>44828.0</v>
      </c>
    </row>
    <row r="636">
      <c r="A636" s="313">
        <v>44829.0</v>
      </c>
    </row>
    <row r="637">
      <c r="A637" s="313">
        <v>44830.0</v>
      </c>
    </row>
    <row r="638">
      <c r="A638" s="313">
        <v>44831.0</v>
      </c>
    </row>
    <row r="639">
      <c r="A639" s="313">
        <v>44832.0</v>
      </c>
    </row>
    <row r="640">
      <c r="A640" s="313">
        <v>44833.0</v>
      </c>
    </row>
    <row r="641">
      <c r="A641" s="313">
        <v>44834.0</v>
      </c>
    </row>
    <row r="642">
      <c r="A642" s="313">
        <v>44835.0</v>
      </c>
    </row>
    <row r="643">
      <c r="A643" s="313">
        <v>44836.0</v>
      </c>
    </row>
    <row r="644">
      <c r="A644" s="313">
        <v>44837.0</v>
      </c>
    </row>
    <row r="645">
      <c r="A645" s="313">
        <v>44838.0</v>
      </c>
    </row>
    <row r="646">
      <c r="A646" s="313">
        <v>44839.0</v>
      </c>
    </row>
    <row r="647">
      <c r="A647" s="313">
        <v>44840.0</v>
      </c>
    </row>
    <row r="648">
      <c r="A648" s="313">
        <v>44841.0</v>
      </c>
    </row>
    <row r="649">
      <c r="A649" s="313">
        <v>44842.0</v>
      </c>
    </row>
    <row r="650">
      <c r="A650" s="313">
        <v>44843.0</v>
      </c>
    </row>
    <row r="651">
      <c r="A651" s="313">
        <v>44844.0</v>
      </c>
    </row>
    <row r="652">
      <c r="A652" s="313">
        <v>44845.0</v>
      </c>
    </row>
    <row r="653">
      <c r="A653" s="313">
        <v>44846.0</v>
      </c>
    </row>
    <row r="654">
      <c r="A654" s="313">
        <v>44847.0</v>
      </c>
    </row>
    <row r="655">
      <c r="A655" s="313">
        <v>44848.0</v>
      </c>
    </row>
    <row r="656">
      <c r="A656" s="313">
        <v>44849.0</v>
      </c>
    </row>
    <row r="657">
      <c r="A657" s="313">
        <v>44850.0</v>
      </c>
    </row>
    <row r="658">
      <c r="A658" s="313">
        <v>44851.0</v>
      </c>
    </row>
    <row r="659">
      <c r="A659" s="313">
        <v>44852.0</v>
      </c>
    </row>
    <row r="660">
      <c r="A660" s="313">
        <v>44853.0</v>
      </c>
    </row>
    <row r="661">
      <c r="A661" s="313">
        <v>44854.0</v>
      </c>
    </row>
    <row r="662">
      <c r="A662" s="313">
        <v>44855.0</v>
      </c>
    </row>
    <row r="663">
      <c r="A663" s="313">
        <v>44856.0</v>
      </c>
    </row>
    <row r="664">
      <c r="A664" s="313">
        <v>44857.0</v>
      </c>
    </row>
    <row r="665">
      <c r="A665" s="313">
        <v>44858.0</v>
      </c>
    </row>
    <row r="666">
      <c r="A666" s="313">
        <v>44859.0</v>
      </c>
    </row>
    <row r="667">
      <c r="A667" s="313">
        <v>44860.0</v>
      </c>
    </row>
    <row r="668">
      <c r="A668" s="313">
        <v>44861.0</v>
      </c>
    </row>
    <row r="669">
      <c r="A669" s="313">
        <v>44862.0</v>
      </c>
    </row>
    <row r="670">
      <c r="A670" s="313">
        <v>44863.0</v>
      </c>
    </row>
    <row r="671">
      <c r="A671" s="313">
        <v>44864.0</v>
      </c>
    </row>
    <row r="672">
      <c r="A672" s="313">
        <v>44865.0</v>
      </c>
    </row>
    <row r="673">
      <c r="A673" s="313">
        <v>44866.0</v>
      </c>
    </row>
    <row r="674">
      <c r="A674" s="313">
        <v>44867.0</v>
      </c>
    </row>
    <row r="675">
      <c r="A675" s="313">
        <v>44868.0</v>
      </c>
    </row>
    <row r="676">
      <c r="A676" s="313">
        <v>44869.0</v>
      </c>
    </row>
    <row r="677">
      <c r="A677" s="313">
        <v>44870.0</v>
      </c>
    </row>
    <row r="678">
      <c r="A678" s="313">
        <v>44871.0</v>
      </c>
    </row>
    <row r="679">
      <c r="A679" s="313">
        <v>44872.0</v>
      </c>
    </row>
    <row r="680">
      <c r="A680" s="313">
        <v>44873.0</v>
      </c>
    </row>
    <row r="681">
      <c r="A681" s="313">
        <v>44874.0</v>
      </c>
    </row>
    <row r="682">
      <c r="A682" s="313">
        <v>44875.0</v>
      </c>
    </row>
    <row r="683">
      <c r="A683" s="313">
        <v>44876.0</v>
      </c>
    </row>
    <row r="684">
      <c r="A684" s="313">
        <v>44877.0</v>
      </c>
    </row>
    <row r="685">
      <c r="A685" s="313">
        <v>44878.0</v>
      </c>
    </row>
    <row r="686">
      <c r="A686" s="313">
        <v>44879.0</v>
      </c>
    </row>
    <row r="687">
      <c r="A687" s="313">
        <v>44880.0</v>
      </c>
    </row>
    <row r="688">
      <c r="A688" s="313">
        <v>44881.0</v>
      </c>
    </row>
    <row r="689">
      <c r="A689" s="313">
        <v>44882.0</v>
      </c>
    </row>
    <row r="690">
      <c r="A690" s="313">
        <v>44883.0</v>
      </c>
    </row>
    <row r="691">
      <c r="A691" s="313">
        <v>44884.0</v>
      </c>
    </row>
    <row r="692">
      <c r="A692" s="313">
        <v>44885.0</v>
      </c>
    </row>
    <row r="693">
      <c r="A693" s="313">
        <v>44886.0</v>
      </c>
    </row>
    <row r="694">
      <c r="A694" s="313">
        <v>44887.0</v>
      </c>
    </row>
    <row r="695">
      <c r="A695" s="313">
        <v>44888.0</v>
      </c>
    </row>
    <row r="696">
      <c r="A696" s="313">
        <v>44889.0</v>
      </c>
    </row>
    <row r="697">
      <c r="A697" s="313">
        <v>44890.0</v>
      </c>
    </row>
    <row r="698">
      <c r="A698" s="313">
        <v>44891.0</v>
      </c>
    </row>
    <row r="699">
      <c r="A699" s="313">
        <v>44892.0</v>
      </c>
    </row>
    <row r="700">
      <c r="A700" s="313">
        <v>44893.0</v>
      </c>
    </row>
    <row r="701">
      <c r="A701" s="313">
        <v>44894.0</v>
      </c>
    </row>
    <row r="702">
      <c r="A702" s="313">
        <v>44895.0</v>
      </c>
    </row>
    <row r="703">
      <c r="A703" s="313">
        <v>44896.0</v>
      </c>
    </row>
    <row r="704">
      <c r="A704" s="313">
        <v>44897.0</v>
      </c>
    </row>
    <row r="705">
      <c r="A705" s="313">
        <v>44898.0</v>
      </c>
    </row>
    <row r="706">
      <c r="A706" s="313">
        <v>44899.0</v>
      </c>
    </row>
    <row r="707">
      <c r="A707" s="313">
        <v>44900.0</v>
      </c>
    </row>
    <row r="708">
      <c r="A708" s="313">
        <v>44901.0</v>
      </c>
    </row>
    <row r="709">
      <c r="A709" s="313">
        <v>44902.0</v>
      </c>
    </row>
    <row r="710">
      <c r="A710" s="313">
        <v>44903.0</v>
      </c>
    </row>
    <row r="711">
      <c r="A711" s="313">
        <v>44904.0</v>
      </c>
    </row>
    <row r="712">
      <c r="A712" s="313">
        <v>44905.0</v>
      </c>
    </row>
    <row r="713">
      <c r="A713" s="313">
        <v>44906.0</v>
      </c>
    </row>
    <row r="714">
      <c r="A714" s="313">
        <v>44907.0</v>
      </c>
    </row>
    <row r="715">
      <c r="A715" s="313">
        <v>44908.0</v>
      </c>
    </row>
    <row r="716">
      <c r="A716" s="313">
        <v>44909.0</v>
      </c>
    </row>
    <row r="717">
      <c r="A717" s="313">
        <v>44910.0</v>
      </c>
    </row>
    <row r="718">
      <c r="A718" s="313">
        <v>44911.0</v>
      </c>
    </row>
    <row r="719">
      <c r="A719" s="313">
        <v>44912.0</v>
      </c>
    </row>
    <row r="720">
      <c r="A720" s="313">
        <v>44913.0</v>
      </c>
    </row>
    <row r="721">
      <c r="A721" s="313">
        <v>44914.0</v>
      </c>
    </row>
    <row r="722">
      <c r="A722" s="313">
        <v>44915.0</v>
      </c>
    </row>
    <row r="723">
      <c r="A723" s="313">
        <v>44916.0</v>
      </c>
    </row>
    <row r="724">
      <c r="A724" s="313">
        <v>44917.0</v>
      </c>
    </row>
    <row r="725">
      <c r="A725" s="313">
        <v>44918.0</v>
      </c>
    </row>
    <row r="726">
      <c r="A726" s="313">
        <v>44919.0</v>
      </c>
    </row>
    <row r="727">
      <c r="A727" s="313">
        <v>44920.0</v>
      </c>
    </row>
    <row r="728">
      <c r="A728" s="313">
        <v>44921.0</v>
      </c>
    </row>
    <row r="729">
      <c r="A729" s="313">
        <v>44922.0</v>
      </c>
    </row>
    <row r="730">
      <c r="A730" s="313">
        <v>44923.0</v>
      </c>
    </row>
    <row r="731">
      <c r="A731" s="313">
        <v>44924.0</v>
      </c>
    </row>
    <row r="732">
      <c r="A732" s="313">
        <v>44925.0</v>
      </c>
    </row>
    <row r="733">
      <c r="A733" s="313">
        <v>44926.0</v>
      </c>
    </row>
    <row r="734">
      <c r="A734" s="313">
        <v>44927.0</v>
      </c>
    </row>
    <row r="735">
      <c r="A735" s="313">
        <v>44928.0</v>
      </c>
    </row>
    <row r="736">
      <c r="A736" s="313">
        <v>44929.0</v>
      </c>
    </row>
    <row r="737">
      <c r="A737" s="313">
        <v>44930.0</v>
      </c>
    </row>
    <row r="738">
      <c r="A738" s="313">
        <v>44931.0</v>
      </c>
    </row>
    <row r="739">
      <c r="A739" s="313">
        <v>44932.0</v>
      </c>
    </row>
    <row r="740">
      <c r="A740" s="313">
        <v>44933.0</v>
      </c>
    </row>
    <row r="741">
      <c r="A741" s="313">
        <v>44934.0</v>
      </c>
    </row>
    <row r="742">
      <c r="A742" s="313">
        <v>44935.0</v>
      </c>
    </row>
    <row r="743">
      <c r="A743" s="313">
        <v>44936.0</v>
      </c>
    </row>
    <row r="744">
      <c r="A744" s="313">
        <v>44937.0</v>
      </c>
    </row>
    <row r="745">
      <c r="A745" s="313">
        <v>44938.0</v>
      </c>
    </row>
    <row r="746">
      <c r="A746" s="313">
        <v>44939.0</v>
      </c>
    </row>
    <row r="747">
      <c r="A747" s="313">
        <v>44940.0</v>
      </c>
    </row>
    <row r="748">
      <c r="A748" s="313">
        <v>44941.0</v>
      </c>
    </row>
    <row r="749">
      <c r="A749" s="313">
        <v>44942.0</v>
      </c>
    </row>
    <row r="750">
      <c r="A750" s="313">
        <v>44943.0</v>
      </c>
    </row>
    <row r="751">
      <c r="A751" s="313">
        <v>44944.0</v>
      </c>
    </row>
    <row r="752">
      <c r="A752" s="313">
        <v>44945.0</v>
      </c>
    </row>
    <row r="753">
      <c r="A753" s="313">
        <v>44946.0</v>
      </c>
    </row>
    <row r="754">
      <c r="A754" s="313">
        <v>44947.0</v>
      </c>
    </row>
    <row r="755">
      <c r="A755" s="313">
        <v>44948.0</v>
      </c>
    </row>
    <row r="756">
      <c r="A756" s="313">
        <v>44949.0</v>
      </c>
    </row>
    <row r="757">
      <c r="A757" s="313">
        <v>44950.0</v>
      </c>
    </row>
    <row r="758">
      <c r="A758" s="313">
        <v>44951.0</v>
      </c>
    </row>
    <row r="759">
      <c r="A759" s="313">
        <v>44952.0</v>
      </c>
    </row>
    <row r="760">
      <c r="A760" s="313">
        <v>44953.0</v>
      </c>
    </row>
    <row r="761">
      <c r="A761" s="313">
        <v>44954.0</v>
      </c>
    </row>
    <row r="762">
      <c r="A762" s="313">
        <v>44955.0</v>
      </c>
    </row>
    <row r="763">
      <c r="A763" s="313">
        <v>44956.0</v>
      </c>
    </row>
    <row r="764">
      <c r="A764" s="313">
        <v>44957.0</v>
      </c>
    </row>
    <row r="765">
      <c r="A765" s="313">
        <v>44958.0</v>
      </c>
    </row>
    <row r="766">
      <c r="A766" s="313">
        <v>44959.0</v>
      </c>
    </row>
    <row r="767">
      <c r="A767" s="313">
        <v>44960.0</v>
      </c>
    </row>
    <row r="768">
      <c r="A768" s="313">
        <v>44961.0</v>
      </c>
    </row>
    <row r="769">
      <c r="A769" s="313">
        <v>44962.0</v>
      </c>
    </row>
    <row r="770">
      <c r="A770" s="313">
        <v>44963.0</v>
      </c>
    </row>
    <row r="771">
      <c r="A771" s="313">
        <v>44964.0</v>
      </c>
    </row>
    <row r="772">
      <c r="A772" s="313">
        <v>44965.0</v>
      </c>
    </row>
    <row r="773">
      <c r="A773" s="313">
        <v>44966.0</v>
      </c>
    </row>
    <row r="774">
      <c r="A774" s="313">
        <v>44967.0</v>
      </c>
    </row>
    <row r="775">
      <c r="A775" s="313">
        <v>44968.0</v>
      </c>
    </row>
    <row r="776">
      <c r="A776" s="313">
        <v>44969.0</v>
      </c>
    </row>
    <row r="777">
      <c r="A777" s="313">
        <v>44970.0</v>
      </c>
    </row>
    <row r="778">
      <c r="A778" s="313">
        <v>44971.0</v>
      </c>
    </row>
    <row r="779">
      <c r="A779" s="313">
        <v>44972.0</v>
      </c>
    </row>
    <row r="780">
      <c r="A780" s="313">
        <v>44973.0</v>
      </c>
    </row>
    <row r="781">
      <c r="A781" s="313">
        <v>44974.0</v>
      </c>
    </row>
    <row r="782">
      <c r="A782" s="313">
        <v>44975.0</v>
      </c>
    </row>
    <row r="783">
      <c r="A783" s="313">
        <v>44976.0</v>
      </c>
    </row>
    <row r="784">
      <c r="A784" s="313">
        <v>44977.0</v>
      </c>
    </row>
    <row r="785">
      <c r="A785" s="313">
        <v>44978.0</v>
      </c>
    </row>
    <row r="786">
      <c r="A786" s="313">
        <v>44979.0</v>
      </c>
    </row>
    <row r="787">
      <c r="A787" s="313">
        <v>44980.0</v>
      </c>
    </row>
    <row r="788">
      <c r="A788" s="313">
        <v>44981.0</v>
      </c>
    </row>
    <row r="789">
      <c r="A789" s="313">
        <v>44982.0</v>
      </c>
    </row>
    <row r="790">
      <c r="A790" s="313">
        <v>44983.0</v>
      </c>
    </row>
    <row r="791">
      <c r="A791" s="313">
        <v>44984.0</v>
      </c>
    </row>
    <row r="792">
      <c r="A792" s="313">
        <v>44985.0</v>
      </c>
    </row>
    <row r="793">
      <c r="A793" s="313">
        <v>44986.0</v>
      </c>
    </row>
    <row r="794">
      <c r="A794" s="313">
        <v>44987.0</v>
      </c>
    </row>
    <row r="795">
      <c r="A795" s="313">
        <v>44988.0</v>
      </c>
    </row>
    <row r="796">
      <c r="A796" s="313">
        <v>44989.0</v>
      </c>
    </row>
    <row r="797">
      <c r="A797" s="313">
        <v>44990.0</v>
      </c>
    </row>
    <row r="798">
      <c r="A798" s="313">
        <v>44991.0</v>
      </c>
    </row>
    <row r="799">
      <c r="A799" s="313">
        <v>44992.0</v>
      </c>
    </row>
    <row r="800">
      <c r="A800" s="313">
        <v>44993.0</v>
      </c>
    </row>
    <row r="801">
      <c r="A801" s="313">
        <v>44994.0</v>
      </c>
    </row>
    <row r="802">
      <c r="A802" s="313">
        <v>44995.0</v>
      </c>
    </row>
    <row r="803">
      <c r="A803" s="313">
        <v>44996.0</v>
      </c>
    </row>
    <row r="804">
      <c r="A804" s="313">
        <v>44997.0</v>
      </c>
    </row>
    <row r="805">
      <c r="A805" s="313">
        <v>44998.0</v>
      </c>
    </row>
    <row r="806">
      <c r="A806" s="313">
        <v>44999.0</v>
      </c>
    </row>
    <row r="807">
      <c r="A807" s="313">
        <v>45000.0</v>
      </c>
    </row>
    <row r="808">
      <c r="A808" s="313">
        <v>45001.0</v>
      </c>
    </row>
    <row r="809">
      <c r="A809" s="313">
        <v>45002.0</v>
      </c>
    </row>
    <row r="810">
      <c r="A810" s="313">
        <v>45003.0</v>
      </c>
    </row>
    <row r="811">
      <c r="A811" s="313">
        <v>45004.0</v>
      </c>
    </row>
    <row r="812">
      <c r="A812" s="313">
        <v>45005.0</v>
      </c>
    </row>
    <row r="813">
      <c r="A813" s="313">
        <v>45006.0</v>
      </c>
    </row>
    <row r="814">
      <c r="A814" s="313">
        <v>45007.0</v>
      </c>
    </row>
    <row r="815">
      <c r="A815" s="313">
        <v>45008.0</v>
      </c>
    </row>
    <row r="816">
      <c r="A816" s="313">
        <v>45009.0</v>
      </c>
    </row>
    <row r="817">
      <c r="A817" s="313">
        <v>45010.0</v>
      </c>
    </row>
    <row r="818">
      <c r="A818" s="313">
        <v>45011.0</v>
      </c>
    </row>
    <row r="819">
      <c r="A819" s="313">
        <v>45012.0</v>
      </c>
    </row>
    <row r="820">
      <c r="A820" s="313">
        <v>45013.0</v>
      </c>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s>
  <sheetData>
    <row r="1"/>
    <row r="2"/>
    <row r="3"/>
    <row r="4">
      <c r="G4" s="327" t="s">
        <v>4600</v>
      </c>
      <c r="H4" s="327" t="s">
        <v>4601</v>
      </c>
      <c r="I4" s="327" t="s">
        <v>4602</v>
      </c>
      <c r="J4" s="328" t="s">
        <v>4603</v>
      </c>
      <c r="K4" s="329">
        <f>COUNTIFS(import!$C:$C,"true",import!$P:$P,"Geleneksel")</f>
        <v>0</v>
      </c>
      <c r="O4" s="330" t="s">
        <v>4602</v>
      </c>
      <c r="P4" s="331" t="s">
        <v>4604</v>
      </c>
      <c r="Q4" s="331" t="s">
        <v>4605</v>
      </c>
    </row>
    <row r="5">
      <c r="B5" s="332" t="s">
        <v>145</v>
      </c>
      <c r="C5" s="333">
        <f>COUNTIFS('Hedef Liste'!T:T,B5,'Hedef Liste'!C:C,"true",'Hedef Liste'!P:P,"Geleneksel",'Hedef Liste'!J:J,"=0%")</f>
        <v>0</v>
      </c>
      <c r="D5" s="19" t="s">
        <v>4606</v>
      </c>
      <c r="E5" s="325">
        <f>COUNTIFS(import!C:C,"true",import!P:P,"Geleneksel")</f>
        <v>0</v>
      </c>
      <c r="G5" s="334"/>
      <c r="J5" s="328" t="s">
        <v>4607</v>
      </c>
      <c r="K5" s="335">
        <f>COUNTIFS(import!$C:$C,"true",import!$P:$P,"Geleneksel",import!$J:$J,"&gt;0%")</f>
        <v>0</v>
      </c>
      <c r="M5" s="336" t="str">
        <f>$K$5/$K$4</f>
        <v>#DIV/0!</v>
      </c>
      <c r="O5" s="337"/>
      <c r="P5" s="337"/>
      <c r="Q5" s="338"/>
    </row>
    <row r="6">
      <c r="B6" s="332" t="s">
        <v>199</v>
      </c>
      <c r="C6" s="333">
        <f>COUNTIF('Hedef Liste'!T:T,B6)</f>
        <v>4</v>
      </c>
      <c r="D6" s="19" t="s">
        <v>4608</v>
      </c>
      <c r="E6" s="325">
        <f>COUNTIFS(import!C:C,"true",import!P:P,"Geleneksel",import!J:J,"&gt;0%")</f>
        <v>0</v>
      </c>
      <c r="G6" s="334"/>
      <c r="J6" s="21"/>
      <c r="K6" s="339"/>
      <c r="L6" s="21"/>
      <c r="M6" s="340"/>
      <c r="N6" s="314"/>
      <c r="O6" s="337"/>
      <c r="P6" s="337"/>
      <c r="Q6" s="338"/>
    </row>
    <row r="7">
      <c r="B7" s="332" t="s">
        <v>168</v>
      </c>
      <c r="C7" s="333">
        <f>COUNTIFS('Hedef Liste'!T:T,B7,'Hedef Liste'!C:C,"true",'Hedef Liste'!P:P,"Geleneksel",'Hedef Liste'!J:J,"=0%")</f>
        <v>0</v>
      </c>
      <c r="D7" s="19" t="s">
        <v>4609</v>
      </c>
      <c r="E7" s="341" t="str">
        <f>E6/E5</f>
        <v>#DIV/0!</v>
      </c>
      <c r="G7" s="334"/>
      <c r="J7" s="328" t="s">
        <v>4610</v>
      </c>
      <c r="K7" s="342" t="s">
        <v>4611</v>
      </c>
      <c r="M7" s="343" t="s">
        <v>4612</v>
      </c>
      <c r="O7" s="337"/>
      <c r="P7" s="337"/>
      <c r="Q7" s="338"/>
      <c r="S7" s="344" t="s">
        <v>4613</v>
      </c>
    </row>
    <row r="8">
      <c r="B8" s="332" t="s">
        <v>470</v>
      </c>
      <c r="C8" s="333">
        <f>COUNTIF('Hedef Liste'!T:T,B8)</f>
        <v>2</v>
      </c>
      <c r="D8" s="21"/>
      <c r="G8" s="345"/>
      <c r="J8" s="346" t="s">
        <v>4607</v>
      </c>
      <c r="K8" s="347">
        <f>COUNTIFS(import!$C:$C,"true",import!$J:$J,"&gt;0%",import!$P:$P,"Geleneksel",import!$I:$I,"&lt;=25")</f>
        <v>0</v>
      </c>
      <c r="L8" s="336" t="str">
        <f>K8/K5</f>
        <v>#DIV/0!</v>
      </c>
      <c r="M8" s="347">
        <f>COUNTIFS(import!C:C,"true",import!J:J,"&gt;0%",import!P:P,"Geleneksel",import!I:I,"&gt;25")</f>
        <v>0</v>
      </c>
      <c r="N8" s="336" t="str">
        <f>M8/K5</f>
        <v>#DIV/0!</v>
      </c>
      <c r="O8" s="337"/>
      <c r="P8" s="337"/>
      <c r="Q8" s="338"/>
      <c r="S8" s="348" t="str">
        <f>O13/N13</f>
        <v>#DIV/0!</v>
      </c>
    </row>
    <row r="9">
      <c r="B9" s="332" t="s">
        <v>64</v>
      </c>
      <c r="C9" s="333">
        <f>COUNTIFS('Hedef Liste'!T:T,B9,'Hedef Liste'!C:C,"true",'Hedef Liste'!P:P,"Geleneksel",'Hedef Liste'!J:J,"=0%")</f>
        <v>0</v>
      </c>
      <c r="D9" s="21"/>
      <c r="G9" s="334"/>
      <c r="J9" s="346" t="s">
        <v>4614</v>
      </c>
      <c r="K9" s="349">
        <f>COUNTIFS(import!C:C,"true",import!J:J,"&gt;0%",import!J:J,"&lt;=20%",import!P:P,"Geleneksel",import!I:I,"&lt;=25")</f>
        <v>0</v>
      </c>
      <c r="L9" s="350" t="str">
        <f>K9/K8</f>
        <v>#DIV/0!</v>
      </c>
      <c r="M9" s="349">
        <f>COUNTIFS(import!C:C,"true",import!J:J,"&gt;0%",import!J:J,"&lt;=20%",import!P:P,"Geleneksel",import!I:I,"&gt;25")</f>
        <v>0</v>
      </c>
      <c r="N9" s="350" t="str">
        <f>M9/M8</f>
        <v>#DIV/0!</v>
      </c>
      <c r="O9" s="337"/>
      <c r="P9" s="337"/>
      <c r="Q9" s="338"/>
    </row>
    <row r="10">
      <c r="B10" s="332" t="s">
        <v>50</v>
      </c>
      <c r="C10" s="333">
        <f>COUNTIFS('Hedef Liste'!T:T,B10,'Hedef Liste'!C:C,"true",'Hedef Liste'!P:P,"Geleneksel",'Hedef Liste'!J:J,"=0%")</f>
        <v>0</v>
      </c>
      <c r="D10" s="21"/>
      <c r="G10" s="334"/>
      <c r="J10" s="346" t="s">
        <v>4615</v>
      </c>
      <c r="K10" s="347">
        <f>COUNTIFS(import!C:C,"true",import!J:J,"&gt;20%",import!J:J,"&lt;=50%",import!P:P,"Geleneksel",import!I:I,"&lt;=25")</f>
        <v>0</v>
      </c>
      <c r="L10" s="351" t="str">
        <f>K10/K8</f>
        <v>#DIV/0!</v>
      </c>
      <c r="M10" s="347">
        <f>COUNTIFS(import!C:C,"true",import!J:J,"&gt;20%",import!J:J,"&lt;=50%",import!P:P,"Geleneksel",import!I:I,"&gt;25")</f>
        <v>0</v>
      </c>
      <c r="N10" s="351" t="str">
        <f>M10/M8</f>
        <v>#DIV/0!</v>
      </c>
      <c r="O10" s="337"/>
      <c r="P10" s="337"/>
      <c r="Q10" s="338"/>
    </row>
    <row r="11">
      <c r="B11" s="332" t="s">
        <v>133</v>
      </c>
      <c r="C11" s="333">
        <f>COUNTIFS('Hedef Liste'!T:T,B11,'Hedef Liste'!C:C,"true",'Hedef Liste'!P:P,"Geleneksel",'Hedef Liste'!J:J,"=0%")</f>
        <v>0</v>
      </c>
      <c r="D11" s="21"/>
      <c r="G11" s="334"/>
      <c r="J11" s="346" t="s">
        <v>4616</v>
      </c>
      <c r="K11" s="349">
        <f>COUNTIFS(import!C:C,"true",import!J:J,"&gt;50%",import!J:J,"&lt;=80%",import!P:P,"Geleneksel",import!I:I,"&lt;=25")</f>
        <v>0</v>
      </c>
      <c r="L11" s="350" t="str">
        <f>K11/K8</f>
        <v>#DIV/0!</v>
      </c>
      <c r="M11" s="349">
        <f>COUNTIFS(import!C:C,"true",import!J:J,"&gt;50%",import!J:J,"&lt;=80%",import!P:P,"Geleneksel",import!I:I,"&gt;25")</f>
        <v>0</v>
      </c>
      <c r="N11" s="350" t="str">
        <f>M11/M8</f>
        <v>#DIV/0!</v>
      </c>
      <c r="O11" s="337"/>
      <c r="P11" s="337"/>
      <c r="Q11" s="338"/>
    </row>
    <row r="12">
      <c r="B12" s="332" t="s">
        <v>4576</v>
      </c>
      <c r="C12" s="333">
        <f>COUNTIFS('Hedef Liste'!T:T,B12,'Hedef Liste'!C:C,"true",'Hedef Liste'!P:P,"Geleneksel",'Hedef Liste'!J:J,"=0%")</f>
        <v>0</v>
      </c>
      <c r="D12" s="21"/>
      <c r="G12" s="334"/>
      <c r="J12" s="346" t="s">
        <v>4617</v>
      </c>
      <c r="K12" s="347">
        <f>COUNTIFS(import!C:C,"true",import!J:J,"&gt;80%",import!P:P,"Geleneksel",import!I:I,"&lt;=25")</f>
        <v>0</v>
      </c>
      <c r="L12" s="351" t="str">
        <f>K12/K8</f>
        <v>#DIV/0!</v>
      </c>
      <c r="M12" s="347">
        <f>COUNTIFS(import!C:C,"true",import!J:J,"&gt;80%",import!P:P,"Geleneksel",import!I:I,"&gt;25")</f>
        <v>0</v>
      </c>
      <c r="N12" s="351" t="str">
        <f>M12/M8</f>
        <v>#DIV/0!</v>
      </c>
      <c r="O12" s="337"/>
      <c r="P12" s="337"/>
      <c r="Q12" s="338"/>
    </row>
    <row r="13">
      <c r="B13" s="332" t="s">
        <v>4577</v>
      </c>
      <c r="C13" s="333">
        <f>COUNTIFS('Hedef Liste'!T:T,B13,'Hedef Liste'!C:C,"true",'Hedef Liste'!P:P,"Geleneksel",'Hedef Liste'!J:J,"=0%")</f>
        <v>0</v>
      </c>
      <c r="D13" s="21"/>
      <c r="G13" s="334"/>
      <c r="K13" s="352"/>
      <c r="M13" s="344"/>
      <c r="N13" s="353"/>
      <c r="O13" s="353"/>
      <c r="P13" s="353"/>
      <c r="Q13" s="354"/>
    </row>
    <row r="14">
      <c r="B14" s="332" t="s">
        <v>2565</v>
      </c>
      <c r="C14" s="333">
        <f>COUNTIFS('Hedef Liste'!T:T,B14,'Hedef Liste'!C:C,"true",'Hedef Liste'!P:P,"Geleneksel",'Hedef Liste'!J:J,"=0%")</f>
        <v>0</v>
      </c>
      <c r="D14" s="21"/>
      <c r="G14" s="334"/>
    </row>
    <row r="15">
      <c r="B15" s="332" t="s">
        <v>4579</v>
      </c>
      <c r="C15" s="333">
        <f>COUNTIFS('Hedef Liste'!T:T,B15,'Hedef Liste'!C:C,"true",'Hedef Liste'!P:P,"Geleneksel",'Hedef Liste'!J:J,"=0%")</f>
        <v>0</v>
      </c>
      <c r="D15" s="21"/>
      <c r="G15" s="334"/>
    </row>
    <row r="16">
      <c r="B16" s="332" t="s">
        <v>74</v>
      </c>
      <c r="C16" s="333">
        <f>COUNTIFS('Hedef Liste'!T:T,B16,'Hedef Liste'!C:C,"true",'Hedef Liste'!P:P,"Geleneksel",'Hedef Liste'!J:J,"=0%")</f>
        <v>0</v>
      </c>
      <c r="D16" s="21"/>
    </row>
    <row r="17">
      <c r="B17" s="332" t="s">
        <v>94</v>
      </c>
      <c r="C17" s="333">
        <f>COUNTIFS('Hedef Liste'!T:T,B17,'Hedef Liste'!C:C,"true",'Hedef Liste'!P:P,"Geleneksel",'Hedef Liste'!J:J,"=0%")</f>
        <v>0</v>
      </c>
      <c r="D17" s="21"/>
    </row>
    <row r="18">
      <c r="B18" s="332" t="s">
        <v>115</v>
      </c>
      <c r="C18" s="333">
        <f>COUNTIFS('Hedef Liste'!T:T,B18,'Hedef Liste'!C:C,"true",'Hedef Liste'!P:P,"Geleneksel",'Hedef Liste'!J:J,"=0%")</f>
        <v>0</v>
      </c>
      <c r="D18" s="21"/>
    </row>
    <row r="19">
      <c r="B19" s="332" t="s">
        <v>150</v>
      </c>
      <c r="C19" s="333">
        <f>COUNTIFS('Hedef Liste'!T:T,B19,'Hedef Liste'!C:C,"true",'Hedef Liste'!P:P,"Geleneksel",'Hedef Liste'!J:J,"=0%")</f>
        <v>0</v>
      </c>
      <c r="D19" s="21"/>
    </row>
    <row r="20">
      <c r="B20" s="332" t="s">
        <v>1442</v>
      </c>
      <c r="C20" s="333">
        <f>COUNTIFS('Hedef Liste'!T:T,B20,'Hedef Liste'!C:C,"true",'Hedef Liste'!P:P,"Geleneksel",'Hedef Liste'!J:J,"=0%")</f>
        <v>0</v>
      </c>
      <c r="D20" s="21"/>
    </row>
    <row r="21">
      <c r="B21" s="332" t="s">
        <v>53</v>
      </c>
      <c r="C21" s="333">
        <f>COUNTIFS('Hedef Liste'!T:T,B21,'Hedef Liste'!C:C,"true",'Hedef Liste'!P:P,"Geleneksel",'Hedef Liste'!J:J,"=0%")</f>
        <v>0</v>
      </c>
      <c r="D21" s="21"/>
    </row>
    <row r="22">
      <c r="B22" s="332" t="s">
        <v>4619</v>
      </c>
      <c r="C22" s="333">
        <f>COUNTIFS('Hedef Liste'!T:T,B22,'Hedef Liste'!C:C,"true",'Hedef Liste'!P:P,"Geleneksel",'Hedef Liste'!J:J,"=0%")</f>
        <v>0</v>
      </c>
      <c r="D22" s="21"/>
    </row>
    <row r="23">
      <c r="B23" s="332" t="s">
        <v>4620</v>
      </c>
      <c r="C23" s="333">
        <f>COUNTIFS('Hedef Liste'!S:S,"True",'Hedef Liste'!C:C,"true",'Hedef Liste'!P:P,"Geleneksel",'Hedef Liste'!J:J,"=0%",'Hedef Liste'!T:T,"")</f>
        <v>0</v>
      </c>
      <c r="D23" s="21"/>
    </row>
    <row r="24">
      <c r="B24" s="355" t="s">
        <v>4621</v>
      </c>
      <c r="C24" s="333">
        <f>SUM(C5:C23)</f>
        <v>6</v>
      </c>
      <c r="D24" s="333">
        <f>COUNTIFS('Hedef Liste'!C:C,"true",'Hedef Liste'!P:P,"Geleneksel")</f>
        <v>0</v>
      </c>
    </row>
    <row r="25">
      <c r="B25" s="356"/>
      <c r="C25" s="21"/>
      <c r="D25" s="21"/>
    </row>
    <row r="26">
      <c r="B26" s="21"/>
      <c r="C26" s="21"/>
      <c r="D26" s="21"/>
    </row>
    <row r="27">
      <c r="B27" s="357" t="s">
        <v>4622</v>
      </c>
      <c r="C27" s="21"/>
      <c r="D27" s="21"/>
    </row>
    <row r="28">
      <c r="B28" s="358" t="str">
        <f>C16/COUNTIFS('Hedef Liste'!R:R,"true",'Hedef Liste'!C:C,"true")</f>
        <v>#DIV/0!</v>
      </c>
      <c r="C28" s="21"/>
      <c r="D28" s="21"/>
    </row>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mergeCells count="5">
    <mergeCell ref="K4:N4"/>
    <mergeCell ref="K5:L5"/>
    <mergeCell ref="M5:N5"/>
    <mergeCell ref="K7:L7"/>
    <mergeCell ref="M7:N7"/>
  </mergeCells>
  <drawing r:id="rId3"/>
</worksheet>
</file>